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7.xml"/>
  <Override ContentType="application/vnd.openxmlformats-officedocument.drawingml.chart+xml" PartName="/xl/charts/chart27.xml"/>
  <Override ContentType="application/vnd.openxmlformats-officedocument.drawingml.chart+xml" PartName="/xl/charts/chart14.xml"/>
  <Override ContentType="application/vnd.openxmlformats-officedocument.drawingml.chart+xml" PartName="/xl/charts/chart30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31.xml"/>
  <Override ContentType="application/vnd.openxmlformats-officedocument.drawingml.chart+xml" PartName="/xl/charts/chart26.xml"/>
  <Override ContentType="application/vnd.openxmlformats-officedocument.drawingml.chart+xml" PartName="/xl/charts/chart39.xml"/>
  <Override ContentType="application/vnd.openxmlformats-officedocument.drawingml.chart+xml" PartName="/xl/charts/chart35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34.xml"/>
  <Override ContentType="application/vnd.openxmlformats-officedocument.drawingml.chart+xml" PartName="/xl/charts/chart8.xml"/>
  <Override ContentType="application/vnd.openxmlformats-officedocument.drawingml.chart+xml" PartName="/xl/charts/chart17.xml"/>
  <Override ContentType="application/vnd.openxmlformats-officedocument.drawingml.chart+xml" PartName="/xl/charts/chart42.xml"/>
  <Override ContentType="application/vnd.openxmlformats-officedocument.drawingml.chart+xml" PartName="/xl/charts/chart25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38.xml"/>
  <Override ContentType="application/vnd.openxmlformats-officedocument.drawingml.chart+xml" PartName="/xl/charts/chart16.xml"/>
  <Override ContentType="application/vnd.openxmlformats-officedocument.drawingml.chart+xml" PartName="/xl/charts/chart41.xml"/>
  <Override ContentType="application/vnd.openxmlformats-officedocument.drawingml.chart+xml" PartName="/xl/charts/chart11.xml"/>
  <Override ContentType="application/vnd.openxmlformats-officedocument.drawingml.chart+xml" PartName="/xl/charts/chart29.xml"/>
  <Override ContentType="application/vnd.openxmlformats-officedocument.drawingml.chart+xml" PartName="/xl/charts/chart37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33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28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5.xml"/>
  <Override ContentType="application/vnd.openxmlformats-officedocument.drawingml.chart+xml" PartName="/xl/charts/chart40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32.xml"/>
  <Override ContentType="application/vnd.openxmlformats-officedocument.drawingml.chart+xml" PartName="/xl/charts/chart5.xml"/>
  <Override ContentType="application/vnd.openxmlformats-officedocument.drawingml.chart+xml" PartName="/xl/charts/chart23.xml"/>
  <Override ContentType="application/vnd.openxmlformats-officedocument.drawingml.chart+xml" PartName="/xl/charts/chart36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ções de uso" sheetId="1" r:id="rId5"/>
    <sheet state="visible" name="NCs" sheetId="2" r:id="rId6"/>
    <sheet state="visible" name="BenchMarK" sheetId="3" r:id="rId7"/>
    <sheet state="visible" name="% de Alocação da Carteira 01_25" sheetId="4" r:id="rId8"/>
    <sheet state="visible" name="Planilha de Rentabilidade" sheetId="5" r:id="rId9"/>
    <sheet state="visible" name="% de Alocação da Carteira 02_25" sheetId="6" r:id="rId10"/>
    <sheet state="visible" name="Alocação da Carteira 04_25" sheetId="7" r:id="rId11"/>
    <sheet state="visible" name="% de Alocação da Carteira 03_25" sheetId="8" r:id="rId12"/>
    <sheet state="visible" name="% de Alocação da Carteira 05_25" sheetId="9" r:id="rId13"/>
    <sheet state="visible" name="% de Alocação da Carteira 06_25" sheetId="10" r:id="rId14"/>
    <sheet state="visible" name="% de Alocação da Carteira 07_25" sheetId="11" r:id="rId15"/>
    <sheet state="visible" name="% de Alocação da Carteira 08_25" sheetId="12" r:id="rId16"/>
    <sheet state="visible" name="% de Alocação da Carteira 09_25" sheetId="13" r:id="rId17"/>
    <sheet state="visible" name="% de Alocação da Carteira 10_25" sheetId="14" r:id="rId18"/>
    <sheet state="visible" name="% de Alocação da Carteira 11_25" sheetId="15" r:id="rId19"/>
    <sheet state="visible" name="% de Alocação da Carteira 12_25" sheetId="16" r:id="rId2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tc={01108e8d-e71c-48c0-a873-a5fc0c1b5f04}</author>
    <author>tc={01e93644-2530-4a9e-be9a-bafba9b434e3}</author>
    <author>tc={02110721-3474-46d4-bfd1-a6d9a3edcfdd}</author>
    <author>tc={0435265b-0796-41aa-b8dc-8a2d168dde2e}</author>
    <author>tc={0645c518-88cd-47a9-a06f-da369c675f16}</author>
    <author>tc={070f63e4-0bf5-4668-bca1-5374cb26125a}</author>
    <author>tc={09faec96-0032-4131-a3b3-fcee35fe261d}</author>
    <author>tc={0c9547de-9fac-4500-8a56-9152be01b07d}</author>
    <author>tc={0da73bba-4134-4897-9846-c0700770c94a}</author>
    <author>tc={0ecf9382-f422-4abb-b57e-316369fe5651}</author>
    <author>tc={11058264-d115-46e4-b60a-15af6b4fbbd9}</author>
    <author>tc={119a6d9a-45de-4039-a9d1-37253bcfd809}</author>
    <author>tc={11f1fcc1-76d5-44ad-b377-7164929e4dc4}</author>
    <author>tc={12f9f42c-e427-4c7e-9f95-380aadb508b9}</author>
    <author>tc={1392887b-7951-45e2-99bd-d47f83e274d4}</author>
    <author>tc={1420935d-7fac-473c-bb14-fcd0c475a05b}</author>
    <author>tc={17e45937-76d2-4192-84cd-d4d803b8423d}</author>
    <author>tc={18e90491-0199-4c0d-bf67-85e7045b35a3}</author>
    <author>tc={1d181bb9-784a-4fb3-a76b-afb6d3962a4d}</author>
    <author>tc={1defe5df-eadb-44af-8b19-6beb6388ee51}</author>
    <author>tc={1e877ff5-8fae-474a-a70d-581187197adb}</author>
    <author>tc={1fb7a08d-594a-476d-8c29-2858340b83f7}</author>
    <author>tc={2158a144-a95a-44b4-b1a6-a9cf61361774}</author>
    <author>tc={21bdb2ae-913a-487e-aa7c-a5dfd8721c31}</author>
    <author>tc={22706528-53ae-4b1d-bf56-3040020464eb}</author>
    <author>tc={227ba348-ca8e-40e0-be9b-2cdf06f2c979}</author>
    <author>tc={22de1c19-6949-4698-97d9-7c6484464abd}</author>
    <author>tc={23702975-cbd9-4c74-92b1-95231bcc97bf}</author>
    <author>tc={238840ff-173c-4c2e-b891-f0fe9d5f8059}</author>
    <author>tc={258ff0fd-48d5-4f7b-ba37-8da9dede9a73}</author>
    <author>tc={25f3b18b-2ad3-4e39-86e8-7a0a12e60830}</author>
    <author>tc={265d9061-8c50-4ca9-a2f5-889f650480f0}</author>
    <author>tc={2bdb255a-ada3-4222-9863-6692166645bd}</author>
    <author>tc={2d359866-99e1-4d5d-8c8a-eb884df041ec}</author>
    <author>tc={2e733c17-2ec3-441a-b77b-eb68c0398cdc}</author>
    <author>tc={2f4e5771-2604-4d76-94a6-5a39de4f3ca1}</author>
    <author>tc={3047a596-a58c-4a32-8f14-82f2eb631115}</author>
    <author>tc={31400296-f346-4347-9aaa-4dcc61895c75}</author>
    <author>tc={320f1d15-6449-4b06-8182-88c93849f7e2}</author>
    <author>tc={33836e9f-2733-4db3-bf76-e4206d7698a9}</author>
    <author>tc={338b8081-3a51-4c4b-b091-775e1c974205}</author>
    <author>tc={345511de-c589-48cc-b11b-215460030eec}</author>
    <author>tc={360b86f5-769b-40d0-b4bb-0d70c56c959c}</author>
    <author>tc={363cf196-6a63-44f1-8596-4ab658a0f73c}</author>
    <author>tc={36b9ddc5-5ef8-4b1d-b260-cf7e378ec163}</author>
    <author>tc={38ff0455-043a-44ed-ba8d-e419ea7b1bca}</author>
    <author>tc={397a4fec-5294-499e-bf46-ba38b4f98ae4}</author>
    <author>tc={39c45702-a641-4fde-a119-375aa4883c98}</author>
    <author>tc={3a141c57-9ffa-4bc5-be8d-2e69e47113b7}</author>
    <author>tc={3b6985a5-2bba-4968-9f69-2f70f6ebaf2b}</author>
    <author>tc={3c1d75c3-db51-4cbc-9552-39c883568148}</author>
    <author>tc={3cac78ee-331a-4e46-b769-8e21336ec02e}</author>
    <author>tc={3d92e735-b3dc-4e3a-a5ab-e4c231353ca3}</author>
    <author>tc={417ab3cd-9442-4545-80d0-acb58137e201}</author>
    <author>tc={456c4fef-a11f-451d-b026-24f9fcbdaf95}</author>
    <author>tc={48951b7e-527a-4bb9-99d1-478452690aa8}</author>
    <author>tc={4b513465-75b0-4115-8494-ed878795bc70}</author>
    <author>tc={4d7af752-1c8d-4d23-8f7d-93f7821c8f0a}</author>
    <author>tc={4db96962-51e6-4a01-b863-75c794de5e6b}</author>
    <author>tc={4e5d5937-3f3b-4691-b054-a7270d926ecc}</author>
    <author>tc={5029bc1a-4bec-474e-8be5-1de1c100359c}</author>
    <author>tc={509a9af9-5ef8-44fd-b2f4-a936b91f7656}</author>
    <author>tc={52fdfc97-b4be-491c-bf8d-be693eeac5e1}</author>
    <author>tc={550eb677-605e-4ee1-b95a-c4c1919019e7}</author>
    <author>tc={55340cdf-41f7-4645-a1bf-d24848fb0c13}</author>
    <author>tc={564aca58-b75b-4b8e-aa20-6dfd3676f057}</author>
    <author>tc={57fe23c8-739c-4f56-923c-2cb294eee4f0}</author>
    <author>tc={59da0267-c8c5-4cca-ab04-cd683d919202}</author>
    <author>tc={59e1927f-6859-478e-b77d-5a1f2387c9d1}</author>
    <author>tc={5c4c57dc-e82f-45d7-9010-490a32838617}</author>
    <author>tc={5d0a8638-9ca5-4039-9549-0d8ca35907c9}</author>
    <author>tc={5dfbb694-65c5-4ff5-a68e-a6c0e4e5056d}</author>
    <author>tc={5f95bb6a-f8aa-478d-85ad-7d19de49508e}</author>
    <author>tc={60b8017f-d11b-4deb-ad26-89503c5b269f}</author>
    <author>tc={60ed7bc6-393f-414b-b8e8-784aa1b36079}</author>
    <author>tc={624f367f-30c6-4218-bc4c-9d85c26846d9}</author>
    <author>tc={6829f994-abf4-463c-ba17-4ad1afd90b10}</author>
    <author>tc={6c98c314-7fc9-4034-aba4-8846fc5dd86e}</author>
    <author>tc={6da9e95b-80c2-4f2d-a5ab-8cfbe19d35e4}</author>
    <author>tc={6e1ecc30-29b7-4eae-82a8-254d39f29fd7}</author>
    <author>tc={6f0f8760-c88d-476d-b712-dde429c97230}</author>
    <author>tc={740b8516-1c88-4f91-846c-a2e628031202}</author>
    <author>tc={74706f7b-68de-4b88-b743-1ab2196c3c1f}</author>
    <author>tc={759fd737-d07d-48ed-bcfa-e4ce1ee92763}</author>
    <author>tc={7804a8b4-06d8-4d18-a8b3-d2029622eb1f}</author>
    <author>tc={7be3c704-42e0-4f05-b0aa-075d92403654}</author>
    <author>tc={7c4683fa-052d-41da-bbea-bb610aafba06}</author>
    <author>tc={7d47e887-8cad-41f0-b790-f71be632c0da}</author>
    <author>tc={7f7c9432-3a98-43f4-b5fa-b246270a3309}</author>
    <author>tc={7fb842a2-337a-41ed-91a4-6828309ff702}</author>
    <author>tc={7fd3a598-8e6c-4fd7-9c57-4055c1f7523f}</author>
    <author>tc={80d2c1b8-2e5b-45a3-8ddc-21aa69303bd9}</author>
    <author>tc={8195eb40-b9b5-4942-ab9a-fb3eda3dfc91}</author>
    <author>tc={83cf0997-28b3-4033-aa9e-e7524991bdf7}</author>
    <author>tc={87ac462c-0c8a-4c90-9cee-0ffdd78033e1}</author>
    <author>tc={88a62b7d-c26d-4c8c-8c17-c318a26911f1}</author>
    <author>tc={890f5b20-f786-4661-8894-c32030d9657e}</author>
    <author>tc={8c9e7150-be68-4fa5-8149-261215129751}</author>
    <author>tc={8d144790-25e1-48b3-99ce-4a8cfa8b1f03}</author>
    <author>tc={8df7d601-022b-4b24-96d8-d9acd01ff9e7}</author>
    <author>tc={8eedb5c1-05ff-4353-b2e2-8978c7fce3d3}</author>
    <author>tc={9408c16e-e8a7-4b76-a8d0-6416c431c9ea}</author>
    <author>tc={9ae21836-536a-4f7f-9221-1e306b5c6ba1}</author>
    <author>tc={9b153682-87e9-4695-a9e6-c82f1c63155e}</author>
    <author>tc={9cc51e68-6466-4ee9-86f9-b2a056d9081b}</author>
    <author>tc={9d2f18f2-7fd2-4e55-bbf1-78011eed76c3}</author>
    <author>tc={9daa57db-cb10-4277-b8dd-efa11a527519}</author>
    <author>tc={9e5d2f75-82e9-4a99-919b-c73f51f45500}</author>
    <author>tc={9eea9c3c-63ac-4735-98e9-7477f5b8951f}</author>
    <author>tc={9eee0a44-b78c-4b54-8608-32b6efb2bd0d}</author>
    <author>tc={9fc58bdf-ee41-4964-ad77-8d89a01d4861}</author>
    <author>tc={a1a01a18-271b-4743-8389-89919087dba5}</author>
    <author>tc={a2a82cf1-1257-4668-94dc-2cafbfbbf648}</author>
    <author>tc={a2e5e69f-dd09-4847-b90f-55bb4a2551ee}</author>
    <author>tc={a449eff6-33df-44bd-ae4f-dbff491baed9}</author>
    <author>tc={a498d9ac-86d2-43a3-a8ad-90f1e5457f80}</author>
    <author>tc={a6f413cb-892e-4710-8c9a-fb5b2b909b99}</author>
    <author>tc={a782154b-2f25-41e1-9ec2-74b4c8369685}</author>
    <author>tc={a7a7e04d-5fe5-42d5-8140-780ff9b75d5d}</author>
    <author>tc={a7c81093-efdc-4dde-8776-2271b239021e}</author>
    <author>tc={a865a4fe-bef4-4d70-96a0-ab21ed95612d}</author>
    <author>tc={a9b6a283-6477-4102-86ad-d16d79e65997}</author>
    <author>tc={add09592-855a-46fd-8df9-3ba3f9ac138f}</author>
    <author>tc={b48ebb5f-5cce-414a-aca9-d79d16b939a3}</author>
    <author>tc={b5d4fb3a-1813-4d7b-a754-7093ecf93971}</author>
    <author>tc={b9e406ef-12c2-4103-a470-f0fd86863c39}</author>
    <author>tc={ba4db7e8-4034-4264-aad2-571a312f33ca}</author>
    <author>tc={ba90d312-c358-4331-bc11-43246fab83ed}</author>
    <author>tc={bc36dcba-d633-4e2b-910b-c45f9633fa17}</author>
    <author>tc={be760823-3a52-4a28-aaba-e6c97d3ebb41}</author>
    <author>tc={bf3722cd-d217-4522-9194-477ab3ac64e7}</author>
    <author>tc={bf5b22cd-749f-43dc-99a0-71787a28c60d}</author>
    <author>tc={bf72453f-8e0b-43a6-a052-5929550fa893}</author>
    <author>tc={c3dbde1e-e61a-4b8a-a759-b85508c33bfa}</author>
    <author>tc={c569d863-0198-403e-b959-fa4c2ee6b363}</author>
    <author>tc={c6acb356-977e-49d7-8d9e-63c7ad2c7b9a}</author>
    <author>tc={c80f1ff2-2f85-4147-8d36-b4361654963e}</author>
    <author>tc={c8dde88a-3a3d-4bee-bdcf-8f5f463ca3a2}</author>
    <author>tc={d2e84391-7705-47c6-96d5-d26cb48dcf4f}</author>
    <author>tc={d3074ef7-04dc-4c41-b00a-e8174b751112}</author>
    <author>tc={d46430e2-37e7-45e2-b5a6-84be651ab606}</author>
    <author>tc={d5c16358-64c5-4df1-96a9-26a9e0427be0}</author>
    <author>tc={da5b2eb9-60b2-4ab0-8ff7-49ae30a94ead}</author>
    <author>tc={db245ef1-747f-4ffd-bd37-6a7b06b710b3}</author>
    <author>tc={dc283e7c-064b-4b91-9ac6-ac51340ab5bc}</author>
    <author>tc={e01c7912-63ca-4078-8721-8b4ab7fad78f}</author>
    <author>tc={e07c1450-4520-494e-8641-bac498fa983e}</author>
    <author>tc={e220c210-84d9-4538-a244-26e23e65f4ea}</author>
    <author>tc={e223475b-5445-4866-98e2-34d682f828ff}</author>
    <author>tc={e3c13cc4-915a-4bf0-b884-163af492afcb}</author>
    <author>tc={e446afd9-4ee3-4b3e-b83f-90b0ab2f2b1c}</author>
    <author>tc={e5278ec3-4d72-45c4-b673-13f93b0ca7b5}</author>
    <author>tc={e5da6838-6e33-4620-8e90-9c8bd29624f3}</author>
    <author>tc={e6f8a079-c693-47f1-b081-d6c855b2e702}</author>
    <author>tc={e7e69933-88b1-49ab-898b-e073090cd4df}</author>
    <author>tc={e88b5c39-fb14-469f-bb20-373c2aab69e3}</author>
    <author>tc={e9cac3f2-ec6c-4098-b54d-e08ca9a0b8c6}</author>
    <author>tc={e9f21b24-fb77-4113-bdc4-fb7bc1f9dd33}</author>
    <author>tc={ea498a3d-031e-48e4-8719-b1c198205d9a}</author>
    <author>tc={eb80d774-eead-4019-81a7-48bc5f2d0e3f}</author>
    <author>tc={ec25aa5d-399a-450a-9b79-a2bb1dfb55a2}</author>
    <author>tc={ec6c6c3b-4ecb-44c2-b727-04c1f905b81f}</author>
    <author>tc={edc09cfe-1455-47db-a2a8-23d205942e92}</author>
    <author>tc={ee0fe579-2e61-4913-8596-c8e44ae3b0e8}</author>
    <author>tc={ef1df43c-9a2a-4e24-9781-45b3123cf982}</author>
    <author>tc={f042cbe6-95a5-48af-bc93-39a3797ee0b0}</author>
    <author>tc={f0ca2d4b-25db-4ae0-b173-d303db685221}</author>
    <author>tc={f3f0384d-cf75-474e-8762-3c7e5143909f}</author>
    <author>tc={f4236f29-c300-482d-b229-cd8a5c8a9448}</author>
    <author>tc={f44edf3f-95d0-4a6b-b8aa-ddaaa696480c}</author>
    <author>tc={f7505d79-2855-4b5b-9c83-797eebc81728}</author>
    <author>tc={f7e15954-09cb-42eb-b682-97844a33e2a0}</author>
    <author>tc={f7e5936d-c064-4467-9e5b-710e319baf88}</author>
    <author>tc={fae5718f-c345-4609-ba07-c31921c7e7fb}</author>
    <author>tc={fb3c3df3-3c34-4a40-a660-dc9ff757a564}</author>
    <author>tc={fbd6c8c9-9043-48b6-94f7-bb619aaa90a3}</author>
    <author>tc={fbf6fd87-0361-403c-9279-d1dc7f44dab8}</author>
    <author>tc={fcc13710-b79c-4966-a4b8-521184419472}</author>
    <author>tc={fd214b14-3316-4c4d-b6dd-5e882e5e13a1}</author>
    <author>tc={fd256d66-f6f4-4cea-8a46-3ca70dc80059}</author>
  </authors>
  <commentList>
    <comment authorId="0" xr:uid="{01108e8d-e71c-48c0-a873-a5fc0c1b5f04}" ref="AB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02/02/26
VENDA WEGE
-100*51,54
- 100*51,54
- 100*51,54
- 100*51,54
05/02
venda WEGE
-300*53,02
- 300*53,01 
- 100*53,01
- 200*53,04
06/02/26
VENDAS WEGE GAIN
200*52,42
- 200*52,46 
- 200*52,40
- 200*52,42
- 100*52,40
- 100*52,43
- 200*52,47 
- 200*52,38
- 200*52,44
- 200*52,41
- 200*52,41
</t>
      </text>
    </comment>
    <comment authorId="1" xr:uid="{01e93644-2530-4a9e-be9a-bafba9b434e3}" ref="N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02/10/2025
VENDA INTEL GAIN
-250*32,55
03/10
-500*33,60
14/10/25
VENDA INTEL
-350*32,15
-350*32,22
-700*32,24
-350*32,30
-350*32,69
23/10
VENDA INTEL
G
-300*36,31
28/10
VENDA INTEL
G
-1000*37,93 
- 500*37,16
</t>
      </text>
    </comment>
    <comment authorId="2" xr:uid="{02110721-3474-46d4-bfd1-a6d9a3edcfdd}" ref="AA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03/11/25
compra SIGMA LITHIUM
+500*9,05 
+ 500*9,07 
+ 500*9,07 
+ 500*9,08
+ 500*8,99 
+ 500*9,08 
+ 500*9,08 
+ 500*9,08 
+ 100*9,06 
+ 100*9,09
04/11/25
COMPRA SIGMA LITHIUM
500*8,66
05/11
COMPRA SIGMA 
+500*8,75 
+ 100*9,04 
+ 100*8,88
+ 100*8,88 
+ 100*8,88 
+ 100*8,88 
+ 100*8,88 
+ 100*8,93 
+ 100*8,93 
+ 100*8,91 
+ 100*8,93
</t>
      </text>
    </comment>
    <comment authorId="3" xr:uid="{0435265b-0796-41aa-b8dc-8a2d168dde2e}" ref="M9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01/12/25
COMPRA DE EURO
ENVIO PARA BPI BANCO
EU$1= R$6,156
EU$3800,00 = R$23393,68
02/12/25
COMPRA DE EURO
ENVIO PARA BPI BANCO
EU$1= R$6,219
EU$2000,00 = R$12308,53
06/12/25
TRASNSFERENCIA DE EURO
WISE PARA BPI
EU$3000,00 = R$18823,14
10/12/2025
TRASNSFERENCIA DE EURO
WISE PARA BPI
EU$3000,00 = R$18962,43
24/12/25
TRASNSFERENCIA DE EURO
WISE PARA BPI
EU$2150,00 = R$13833,97
26/12/25
TRASNSFERENCIA DE EURO
WISE PARA BPI
EU$2070,00 = R$13366,37
</t>
      </text>
    </comment>
    <comment authorId="4" xr:uid="{0645c518-88cd-47a9-a06f-da369c675f16}" ref="L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22/07/2025
RESGATE WISE PARA
TRANSFERENCIA BANCO BPI
-EU$1000,00
23/07
-EU$4000,00
EM REAL 
- R$33042,00
</t>
      </text>
    </comment>
    <comment authorId="5" xr:uid="{070f63e4-0bf5-4668-bca1-5374cb26125a}" ref="AA5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20/08/2025
COMPRA S2GM34
SIGMA LITHIUM
+400*11,01
+200*11,02
+200*11,03
+1000*11,07
</t>
      </text>
    </comment>
    <comment authorId="6" xr:uid="{09faec96-0032-4131-a3b3-fcee35fe261d}" ref="Z6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20/08/25
venda vale3
PGTO WEGE3
-100*53,03
-100*53,05
22/08/25
VENDA VALE3 
PGTO SIGMA
-200*54,80
-200*54,50
</t>
      </text>
    </comment>
    <comment authorId="7" xr:uid="{0c9547de-9fac-4500-8a56-9152be01b07d}" ref="Z9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03/12/25
VENDA VALE3 GAIN
-500*68,93
04/12
VENDA VALE3 GAIN
-500*71,41
17/12
VENDA VALE DIVIDENDOS
-100*70,56
-300*70,55
-200*70,54
18/12
venda vale dividendos
-500*70,35
19/12
venda VALE GAIN
-500*70,85
22/12
venda vale3 GAIN
-700*73,31
26/12
VENDA VALE3 GAIN
-100*73,06
-100*73,09
-100*73,10
-100*73,12
-100*73,19
</t>
      </text>
    </comment>
    <comment authorId="8" xr:uid="{0da73bba-4134-4897-9846-c0700770c94a}" ref="U8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03/11/25
VENDA TESLA BTG
-100*78,82 
- 100*78,83
- 100*78,86 
- 100*78,33 
- 100*78,61
</t>
      </text>
    </comment>
    <comment authorId="9" xr:uid="{0ecf9382-f422-4abb-b57e-316369fe5651}" ref="AH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20/06
ALEXA BTG NEW
COMPRA ITLC34
+100*19,50
+100*19,24
+200*19,25
+100*19,18
23/06
+100*19,13
+100*19,20
+150*19,24
</t>
      </text>
    </comment>
    <comment authorId="10" xr:uid="{11058264-d115-46e4-b60a-15af6b4fbbd9}" ref="S9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05/12
compra LFTS11
+5*143,96
29/12/25
COMPRA LFTS11
+45*145,36
</t>
      </text>
    </comment>
    <comment authorId="11" xr:uid="{119a6d9a-45de-4039-a9d1-37253bcfd809}" ref="F6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11/08/25
VENDA LFTS11
-30*137,78
12/08/25
VENDA COB CC
-70*137,85
-250*137,86
CANCELADA PELA B3
13/08/25
VENDA LFTS11
-50*137,99
18/08/25
VENDA LFTS11
NOVAMENTE
-320*138,15
</t>
      </text>
    </comment>
    <comment authorId="12" xr:uid="{11f1fcc1-76d5-44ad-b377-7164929e4dc4}" ref="O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14/05/25
COMPRA SOJA3
+200*11,11
+100*11,12
+100*11,13
+200*11,16
+100*11,18
+100*11,19
+400*11,20
+200*11,21
+100*11,22
+100*11,26
+100*11,30
+100*11,31
+100*11,33
</t>
      </text>
    </comment>
    <comment authorId="13" xr:uid="{12f9f42c-e427-4c7e-9f95-380aadb508b9}" ref="N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25/07/25
COMPRA INTEL 
+100*18,94
+150*19,01
+100*19,06
+100*19,12
+200*19,19
+100*19,23
+300*19,24
+100*19,27
29/07
+100*18,88
31/07
+100*18,51
</t>
      </text>
    </comment>
    <comment authorId="14" xr:uid="{1392887b-7951-45e2-99bd-d47f83e274d4}" ref="AD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21/07
VENDA BBAS3
TRUMP VISTOS STF
-2100*19.93
22/07
-1100*19,91
-1000*19,90
</t>
      </text>
    </comment>
    <comment authorId="15" xr:uid="{1420935d-7fac-473c-bb14-fcd0c475a05b}" ref="M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ATUALIZAÇÃO
02/2026
09/02/2026
grama OURO = R$744,00
EU$1,00 = R$ 6,44
US$1,00 = R$ 5,40
=====
(GOLD+CASH)
HOME + BANKs
&gt;pulseira MACIÇA OURO+ Dadinho
(32,96g+1,33g =34,29g)=
34,29g * R$744,00 a grama =
R$25511,76
&gt;PULSEIRA EGÍPCIA
(51,18g) *744 =
R$38077,92
&gt;CHAVEIRO VARGAS
(10,93g) * 744 =
R$8131,92
&gt;CORRENTE CORDA
GOLD
+17,26g*744,00= 
R$12841,44
=&gt;&gt;TOTAL GOLD
R$25511,76+R$38077,92+8131,92+R$12841,44 =
Total OURO=&gt;&gt;R$84.563,04
=============
CASH HOME
&gt;US$2274 x R$5,40= 
R$12279,60
&gt;EU$4115,00 x R$6,44=
R$26500,60
TOTAL CASA=&gt;&gt;R$38.780,20
++++++++++
BPI BANK
TOTAL BPI
EU$37065,00
= EU$37065,00 X 6,44
R$238698,60
TOTAL BPI=&gt;&gt;R$238.698,60
=============
TOTAL CASH
R$38.780,20+R$238.698,60=
=R$277.478,80
TOTAL DE MOEDAS=&gt;&gt;
R$277.478,80
==========
TOTAL GERAL
(GOLD + MOEDAS)
HOME + BANKs
R$R$84.563,04+R$277.478,80=
==&gt;&gt; R$ 362.041,84
</t>
      </text>
    </comment>
    <comment authorId="16" xr:uid="{17e45937-76d2-4192-84cd-d4d803b8423d}" ref="M5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19/08/25
CORRENTE CORDA
GOLD
+17,26g*500,00= R$8630,00
</t>
      </text>
    </comment>
    <comment authorId="17" xr:uid="{18e90491-0199-4c0d-bf67-85e7045b35a3}" ref="Y6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14/08/25
venda ASML
-93*74,60
19/08
VENDA ASML 
GAIN
-200*74,60
</t>
      </text>
    </comment>
    <comment authorId="18" xr:uid="{1d181bb9-784a-4fb3-a76b-afb6d3962a4d}" ref="AA9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11/12/25
COMPRA HAPV3 
ALEXA BTG
+900*14,08
12/12/25
COMPRA HAPVIDA
+100*14,91
+ 100*14,78
+ 100*14,73
+ 100*14,70 
+ 100*14,64 
+ 100*14,53
+ 100*14,37
+ 100*14,20
16/12/25
COMPRA HAPVIDA
+200*14,74
+100*14,97
+100*14,99
+100*14,98
+100*14,73
23/12
COMPRA HAPVIDA
+300*13,95
26/12
COMPRA HAPVIDA
+100*14,35
30/12
+100*14,91
+ 100*14,90
+ 100*14,90
+ 100*14,83
+ 200*14,76
+ 100*14,56
</t>
      </text>
    </comment>
    <comment authorId="19" xr:uid="{1defe5df-eadb-44af-8b19-6beb6388ee51}" ref="AE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12/06
BBAS3
DIVIDENDOS
-738,72
JSC
-199,88
</t>
      </text>
    </comment>
    <comment authorId="20" xr:uid="{1e877ff5-8fae-474a-a70d-581187197adb}" ref="V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ITAU CDB NASSER
ZERADA A POSIÇÃO
08/07/25
RESGATE PARA PG ITAU
-5117,77
</t>
      </text>
    </comment>
    <comment authorId="21" xr:uid="{1fb7a08d-594a-476d-8c29-2858340b83f7}" ref="W5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01/08/2025
COMPRA CMIN3
+2000*5,01
+1000*5,02
+1000*5,03
+1000*5,04
+800*5,06
+1200*5,07
+2800*5,08
+3600*5,09
+1600*5,010
14/08
COMPRA CMIN3
+2000*4,81
</t>
      </text>
    </comment>
    <comment authorId="22" xr:uid="{2158a144-a95a-44b4-b1a6-a9cf61361774}" ref="Y5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01/08/2025
COMPRA ASML34
+50*69,04
+50*69,17
+50*69,31
+50*69,41
+50*69,48
</t>
      </text>
    </comment>
    <comment authorId="23" xr:uid="{21bdb2ae-913a-487e-aa7c-a5dfd8721c31}" ref="T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14/10/25
venda aple
-50*67,77
-50*68,03
-50*67,97
27/10/25
VENDA APPLE
G
- (200*72,00 
+ 50*71,98
+ 50*72,09 
+ 50*72,16 
+ 50*72,16)
28/10
VENDA APPLE
G
- 100*72,31
</t>
      </text>
    </comment>
    <comment authorId="24" xr:uid="{22706528-53ae-4b1d-bf56-3040020464eb}" ref="AC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04/02/26
COMPRA AMD
+374*131,64
+22*131,31
+ 22*131,36
+ 22*131,41
+ 22*131,46
+ 22*131,51
+ 22*131,56
+ 22*131,61
+ 22*131,71
+ 22*131,81 
+ 22*131,91
+ 22*132,01
+ 22*131,32
+ 22*131,30
+ 22*132,11 
+ 22*131,34 
+ 22*131,33
+ 22*132,21
</t>
      </text>
    </comment>
    <comment authorId="25" xr:uid="{227ba348-ca8e-40e0-be9b-2cdf06f2c979}" ref="AC9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11/12/25
COMPRA A1MD345
+110*147,45
30/12/25
+40*149,12
+ 40*148,96
+ 40*148,81
+ 40*148,09
+ 40*147,61
</t>
      </text>
    </comment>
    <comment authorId="26" xr:uid="{22de1c19-6949-4698-97d9-7c6484464abd}" ref="X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09/06
venda ASML34
OPERADOR cLEAR
-374*77,92
10/06
OPERADOR CLEAR
VENDA ASML34
-52*79,12
12/06
venda ASML34
OPERADOR clear
-322*79,35
</t>
      </text>
    </comment>
    <comment authorId="27" xr:uid="{23702975-cbd9-4c74-92b1-95231bcc97bf}" ref="Y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01/10/25
VENDA ASML34 GAIN
-50*97,10
-50*97,08
-1*97,01
-30*96,94
-30*96,85
-100*96,83
-100*95,68
02/10
VENDA ASML34 GAIN
-150*100,50
14/10/25
VENDA ASML
-60*97,44
-60*97,67
-60*97,86
16/10/25
VENDA ASML
-237*103,66
28/10/25
VENDA ASML
G
-30*103,66
- 30*103,58
- 45*102,56
- 10*102,57
- 44*102,53
- 1*102,55
- 50*102,50 
- 30*102,59
- 11*102,55
- 19*102,53
</t>
      </text>
    </comment>
    <comment authorId="28" xr:uid="{238840ff-173c-4c2e-b891-f0fe9d5f8059}" ref="Q6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04/08/25
transferido TD
DA CLEAR PARA BTG
</t>
      </text>
    </comment>
    <comment authorId="29" xr:uid="{258ff0fd-48d5-4f7b-ba37-8da9dede9a73}" ref="V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06/02/26
COMPRAS MELI
+200*84,65
+ 200*85,62
</t>
      </text>
    </comment>
    <comment authorId="30" xr:uid="{25f3b18b-2ad3-4e39-86e8-7a0a12e60830}" ref="H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RESGATE
-950
-100
-200
-400
30/01/26
-200
</t>
      </text>
    </comment>
    <comment authorId="31" xr:uid="{265d9061-8c50-4ca9-a2f5-889f650480f0}" ref="AA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27/10/25
COMPRA SIGMA
G
+500*10,07
</t>
      </text>
    </comment>
    <comment authorId="32" xr:uid="{2bdb255a-ada3-4222-9863-6692166645bd}" ref="T5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01/08/2025
COMPRA AAPL34
+10*58,82
+20*58,81
+10*58,78
+10*58,72
+10*58,67
+10*58,62
+10*58,59
+10*58,51
+10*58,46
+10*58,33
+10*58,27
+10*58,21
</t>
      </text>
    </comment>
    <comment authorId="33" xr:uid="{2d359866-99e1-4d5d-8c8a-eb884df041ec}" ref="AG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18/07/2025
BTG ALEXA
COMPRA AAPL34 
+15*58,10
+15*58,15
+15*58,20
+15*58,25
+15*58,28
+15*58,30
</t>
      </text>
    </comment>
    <comment authorId="34" xr:uid="{2e733c17-2ec3-441a-b77b-eb68c0398cdc}" ref="O9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03/12/2025
COMPRA CRI OPEA BTG
IPCA+ 20240
+120K
</t>
      </text>
    </comment>
    <comment authorId="35" xr:uid="{2f4e5771-2604-4d76-94a6-5a39de4f3ca1}" ref="AE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06/11
COMPRAS SIGMA
+200*9,01 
+ 200*9,05 
+ 200*9,01 
+ 200*9,01 
+ 200*8,98 
+ 200*8,99 
+ 200*8,99 
+ 200*8,98 
+ 200*8,98 
+ 200*8,99 
+ 200*9,01 
+ 200*8,99 
+ 200*9,01 
+ 200*8,99
</t>
      </text>
    </comment>
    <comment authorId="36" xr:uid="{3047a596-a58c-4a32-8f14-82f2eb631115}" ref="L5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07/08/25
compra MOEDAS WISE
R$12000,00
</t>
      </text>
    </comment>
    <comment authorId="37" xr:uid="{31400296-f346-4347-9aaa-4dcc61895c75}" ref="J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06/25
venda NO PRAZO VENCIMENTO
CDB BTG 105% CDI
+51592,45
</t>
      </text>
    </comment>
    <comment authorId="38" xr:uid="{320f1d15-6449-4b06-8182-88c93849f7e2}" ref="L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20/09/25
viAGem PORTUGAL
DESPESAS EM WISE
-19839,00
26/09/25
TRANSFERENCIA PARA BPI
PGTO IRN SOFIA PORTUGAL
-3095,70
</t>
      </text>
    </comment>
    <comment authorId="39" xr:uid="{33836e9f-2733-4db3-bf76-e4206d7698a9}" ref="AC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02/10/2025
COMPRA COSAN
NASSER BTG
+200*6,02
+100*6,03
+100*6,04
+100*6,08
+100*6,03
+100*5,96
</t>
      </text>
    </comment>
    <comment authorId="40" xr:uid="{338b8081-3a51-4c4b-b091-775e1c974205}" ref="L6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20/08/2025
PGTO SOFIA NIVER
US$400,00
=
R$2170,19
</t>
      </text>
    </comment>
    <comment authorId="41" xr:uid="{345511de-c589-48cc-b11b-215460030eec}" ref="Z8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28/11/25
VENDA VALE3 GAIN
-900*67,70
</t>
      </text>
    </comment>
    <comment authorId="42" xr:uid="{360b86f5-769b-40d0-b4bb-0d70c56c959c}" ref="AB9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11/12/25
WEGE3
JUROS S/ CAPITAL
159,29
12/12/25
WEGE3
JUROS S/ CAPITAL
-293,26
DIVIDENDOS
-1059,27
</t>
      </text>
    </comment>
    <comment authorId="43" xr:uid="{363cf196-6a63-44f1-8596-4ab658a0f73c}" ref="M7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ATUALIZAÇÃO
09/2025
20/09/2025
grama OURO = R$570,00
EU$1,00 = R$ 6,51
US$1,00 = R$ 5,54
=====
(GOLD+CASH) 
HOME + BANKs
&gt;pulseira MACIÇA OURO+ Dadinho
(32,96g+1,33g =34,29g)= 
34,29g * R$570,00 a grama =
R$19545,30
COMPRA GOLD
&gt;PULSEIRA EGÍPCIA
(51,18g) *570 =
R$29172,60
&gt;CHAVEIRO VARGAS
(10,93g) * 570 =
R$6230,10
&gt;CORRENTE CORDA
GOLD
+17,26g*570,00= R$9838,20
=&gt;&gt;TOTAL GOLD
19545,30+29172,60+6230,10+9838,20 = 
=&gt;&gt;R$64789,20
=============
CASH HOME
&gt;US$1672 = R$9262,88+
&gt;EU$2000,00 =R$13020,00 +
&gt;EU$2615,00=R$17023,65
BPI BANK
(EU6340,00)+EU$431,88=
TOTAL BPI EU$6771,88 * 6,51
R$44084,93
=&gt;TOTAL CASH
9262,88+13020,00+17023,65
+44084,93=
TT =&gt;R$ 83391,46
==========
&gt;&gt; TOTAL GERAL
(GOLD+CASH)
HOME+BANKs
64786,20+83391,46=
==&gt;&gt; R$ 148177,66
</t>
      </text>
    </comment>
    <comment authorId="44" xr:uid="{36b9ddc5-5ef8-4b1d-b260-cf7e378ec163}" ref="F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27/05
VENDA LFTS11
-150*133,89
29/05
venda lfts11
-312*134,02
</t>
      </text>
    </comment>
    <comment authorId="45" xr:uid="{38ff0455-043a-44ed-ba8d-e419ea7b1bca}" ref="AH5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08/08/25
COMPRA INTEL
+100*17,81
+100*17,82
+100*17,85
+300*17,86
</t>
      </text>
    </comment>
    <comment authorId="46" xr:uid="{397a4fec-5294-499e-bf46-ba38b4f98ae4}" ref="N5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01/08/2025
COMPRA INTEL ITLC34
+100*18,06
+50*18,01
+100*18,00
+50*17,99
+50*17,96
+50*17,95
+100*17,87
+94*17,82
+50*17,72
+100*17,65
</t>
      </text>
    </comment>
    <comment authorId="47" xr:uid="{39c45702-a641-4fde-a119-375aa4883c98}" ref="L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06/02/2026
PARA COMPRA DE EURO
10000,00
10/02/2026
PARA COMPRA DE EURO
10000,00
11/02/2026
PARA COMPRA DE EURO 
10000,00
E LIBRA 
5000,00
12/02/2026
PARA COMPRA DE EURO, DOLAR E LIBRA ESTERLINA
10000,00
18/02
para compra de LIBRA
+5000,00
19/02
PARA COMPRA DE 
LIBRA E EURO
+12000
</t>
      </text>
    </comment>
    <comment authorId="48" xr:uid="{3a141c57-9ffa-4bc5-be8d-2e69e47113b7}" ref="F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06/01/26
VENDA LFTS11
-100*145,75
- 100*145,75
- 100*145,75
- 100*145,74
- 100*145,75
</t>
      </text>
    </comment>
    <comment authorId="49" xr:uid="{3b6985a5-2bba-4968-9f69-2f70f6ebaf2b}" ref="S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06/01/26
VENDAS LFTS11
-200*145,75
07/01/26
VENDAS  LFTS11
-16*145,82
- 38*145,83
</t>
      </text>
    </comment>
    <comment authorId="50" xr:uid="{3c1d75c3-db51-4cbc-9552-39c883568148}" ref="L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02/05
DEPOSITO 
R$10.000,00
-3815,00
-1000,00=
+5181,81
DESCRITIVO DAS COMPRAS :
compra moedas
LIBRA ESTERLINA GBP 
+500*7,63 = 3815,00
YEN JAPONEZ
+25213*0,0396 = 1000,00
#####
09/05
DEPOSITO 
R$10.000,00
11/05
deposito 
R$4000,00
12/05
DEPOSITO
+10000,00
COMPRA de EURO
13/05
DEPOSITO
+10000,00
COMPRA de EURO E CHF
14/05
DEPOSITO
+10000,00
COMPRA de USD
22/5
deposito btg
+5000,00
pra compra de USD
</t>
      </text>
    </comment>
    <comment authorId="51" xr:uid="{3cac78ee-331a-4e46-b769-8e21336ec02e}" ref="U6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19/08
venda tsla34
gain
-200*57,46
-100*57,49
-100*57,47
22/08/25
VENDA TSLA34
-75*57,19
-75*56,94
-100*57,26
</t>
      </text>
    </comment>
    <comment authorId="52" xr:uid="{3d92e735-b3dc-4e3a-a5ab-e4c231353ca3}" ref="AB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01/10/25
COMPRA WEGE3
+100*36,02
+100*36,01
+100*36
+100*35,97
+100*35,91
+100*35,83
+100*35,81
+100*35,81
+100*35,77
+100*35,73
+100*35,69
+100*35,66
+100*35,54
+100*35,52
</t>
      </text>
    </comment>
    <comment authorId="53" xr:uid="{417ab3cd-9442-4545-80d0-acb58137e201}" ref="M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06/02/2026
PRA TRANSFERENCIA PARA BPI
EU$3400 = R$20734,59
EU$1,00 = R$6,09
#########
ATUALIZAÇÃO
#########
10/02/2026
PRA TRANSFERENCIA PARA BPI
EU$2900 = R$18674,97
EU$1,00 = R$6,18
11/02/26
11/02/26
PRA TRANSFERENCIA PARA BPI
EU$1550 = R$9941,48
EU$1,00 = R$6,15
</t>
      </text>
    </comment>
    <comment authorId="54" xr:uid="{456c4fef-a11f-451d-b026-24f9fcbdaf95}" ref="U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13/11/25
COMPRA TESLA BTG NASSER
+10*65,89
+ 10*65,81
+ 10*65,84
+ 10*65,83
+ 10*65,82
+ 10*65,86
+ 10*65,88
+ 10*65,82
+ 10*65,85
+ 10*65,92 
+ 10*66,45
+ 10*65,91
+ 10*65,79
+ 10*65,78
+ 10*65,78
+ 10*65,81
+ 10*65,83 
+ 10*65,80 
+ 10*65,82
+ 10*65,80 
+ 10*65,82 
+ 10*65,80
+ 10*65,80
+ 10*66,64
+ 10*65,77
+ 10*65,94
</t>
      </text>
    </comment>
    <comment authorId="55" xr:uid="{48951b7e-527a-4bb9-99d1-478452690aa8}" ref="L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13/06
compra DOLAR
+2500
</t>
      </text>
    </comment>
    <comment authorId="56" xr:uid="{4b513465-75b0-4115-8494-ed878795bc70}" ref="I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20/06
resgaste p cc Santander
-2000
</t>
      </text>
    </comment>
    <comment authorId="57" xr:uid="{4d7af752-1c8d-4d23-8f7d-93f7821c8f0a}" ref="AC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25/11/2025
COMPRA AMD A1MD34
BTG NASSER
+10*136,00
+ 10*136,00
+ 10*136,00
+ 10*134,05 
+ 10*132,71 
+ 10*135,01 
+ 10*133,01 
+ 10*134,53
+ 10*135,45
+ 10*136,00 
+ 10*136,00 
+ 10*136,00
+ 10*136,00
+ 10*136,00 
+ 10*136,00
+ 10*136,00
+ 10*133,92 
+ 10*133,75
+ 10*136,00
+ 10*135,85
+ 10*133,91 
+ 10*132,51 
+ 10*134,39
+ 10*134,61 
+ 10*134,76
+ 10*134,81
+ 10*135,18 
+ 10*134,67
+ 10*134,86
+ 10*134,83
+ 10*134,69
+ 10*134,49
+ 10*134,41 
+ 10*134,34
+ 10*134,73
+ 10*135,11
+ 10*135,26
+ 10*135,53 
+ 10*135,11 
+ 10*135,84
+ 10*136,00 
+ 10*136,19
+ 10*135,85
+ 10*136,29
+ 10*135,74
+ 10*135,61 
+ 10*136,01
+ 10*135,43
+ 10*135,89
+ 10*134,91 
+ 10*133,51 
+ 10*133,16
+ 10*134,17
+ 10*132,60
+ 10*132,85
+ 10*131,94
+ 8*134,28
+ 2*131,30 
+ 10*131,51
+ 10*132,77
+ 10*132,17
+ 10*131,82
+ 10*131,41
26/11
+20*142,21
+20*142
+10*142,26
+10*142,22
+20*142,10
</t>
      </text>
    </comment>
    <comment authorId="58" xr:uid="{4db96962-51e6-4a01-b863-75c794de5e6b}" ref="AG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29/05
venda NVDC34 GAIN
-1000*16,53
-1400*16,52
-1000*16,47
</t>
      </text>
    </comment>
    <comment authorId="59" xr:uid="{4e5d5937-3f3b-4691-b054-a7270d926ecc}" ref="L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02/01
PARA compra PESO ARGENTINO
4000,00
05/01/26
PARA COMPRA EU e DOLAR
+6500
+6500
06/01/26
PRA COMPRA EU e DOLAR
+8000
07/01/26
PRA COMPRA EU e DOLAR
+10000
08/01/26
PRA COMPRA EU e DOLAR
+4500
13/01/26
PRA COMPRA EU e CHF
+17000,00
16/01/26
PRA COMPRA EU 
+10000,00
19/01/26
PRA COMPRA EU 
+5000,00
22/01/26
PRA COMPRA EU E US
+10000,00
23/01
PRA COMPRA US$
+5000
PRA COMPRA EU$
+6000
</t>
      </text>
    </comment>
    <comment authorId="60" xr:uid="{5029bc1a-4bec-474e-8be5-1de1c100359c}" ref="X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01/10/2025
VENDA ASML34 GAIN
-140*96,56
</t>
      </text>
    </comment>
    <comment authorId="61" xr:uid="{509a9af9-5ef8-44fd-b2f4-a936b91f7656}" ref="M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07/01/26
PRA TRANSFERERNCIA DE EURO
EU$3774,00 = R$24568
13/01/26
PRA TRANSFERERNCIA DE EURO
BPI
EU$2400,00 = R$15566,
19/01/26
PRA TRANSFERERNCIA DE EURO
BPI
EU$2300,00 = R$14970,
</t>
      </text>
    </comment>
    <comment authorId="62" xr:uid="{52fdfc97-b4be-491c-bf8d-be693eeac5e1}" ref="S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12_02_26
COMPRA LFTS11
NASSER
+70*147,89
13_02_26
COMPRA LFTS11
NASSER
+70*147,92
</t>
      </text>
    </comment>
    <comment authorId="63" xr:uid="{550eb677-605e-4ee1-b95a-c4c1919019e7}" ref="AD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06/02
COMPRAS MELI
+50*84,87
+ 50*84,73
+ 50*84,65
+ 50*83,68
</t>
      </text>
    </comment>
    <comment authorId="64" xr:uid="{55340cdf-41f7-4645-a1bf-d24848fb0c13}" ref="Z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14/10/25
VENDA VALE
-200*59,86
-100*59,87
-500*59,89
-100*59,93
-100*60,08
15/10/25
-500*60,86
28/10
VENDA VALE3
G
-100*62,26
- 100*62,32
31/10/25
VENDA VALE
-1000*64,90
</t>
      </text>
    </comment>
    <comment authorId="65" xr:uid="{564aca58-b75b-4b8e-aa20-6dfd3676f057}" ref="AC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02/02/26
VENDA AMD
-22*164,11
-50*164,13
-50*164,18
</t>
      </text>
    </comment>
    <comment authorId="66" xr:uid="{57fe23c8-739c-4f56-923c-2cb294eee4f0}" ref="AG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05/09/25
compra AAPL34
+50*64,68
+50*64,56
+50*64,53
+50*64,49
+50*64,46
+50*64,41
+4*64,33
</t>
      </text>
    </comment>
    <comment authorId="67" xr:uid="{59da0267-c8c5-4cca-ab04-cd683d919202}" ref="S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03/11/25
COMPRA LFTS11 BTG NASSER
+50*142,35 
+ 50*142,36 
+ 45*142,36 
+ 50*142,35 
+ 50*142,37 
+ 50*142,36
05/11
COMPRA LFTS11
+50*142,51 
+ 50*142,52 
+ 50*142,52 
+ 50*142,52
06/11
COMPRA LFTS11
+50*142,53 
+ 50*142,53
+ 9*142,53
21/11
compra LFTS11
+50*143,37
+ 50*143,37 
+ 50*143,35
</t>
      </text>
    </comment>
    <comment authorId="68" xr:uid="{59e1927f-6859-478e-b77d-5a1f2387c9d1}" ref="W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31/07/25
compra CMIN3
+1000*5,07
+2000*5,08
+1000*5,05
</t>
      </text>
    </comment>
    <comment authorId="69" xr:uid="{5c4c57dc-e82f-45d7-9010-490a32838617}" ref="R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18/02
COMPRA AURA33
100*120,14
+ 100*120,02
+ 100*119,81
</t>
      </text>
    </comment>
    <comment authorId="70" xr:uid="{5d0a8638-9ca5-4039-9549-0d8ca35907c9}" ref="X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23/07/2025
BTG ALEXA
COMPRA ASML34
+50*71,41
+50*71,48
+50*71,55
+50*71,64
+50*71,71
25/07
+20*71,51
+60*71,43
+42*71,41
+50*71,39
</t>
      </text>
    </comment>
    <comment authorId="71" xr:uid="{5dfbb694-65c5-4ff5-a68e-a6c0e4e5056d}" ref="N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19/02/26
COMPRA INTEL
50*39,12 
+ 50*39,06
+ 50*39,00 
+ 50*38,93
+ 50*38,89
+ 50*38,85 
+ 50*38,81
+ 50*38,81
+ 50*38,81
+ 50*38,68 
+ 4*38,62
+ 46*38,62
+ 50*38,61
+ 1*38,60 
+ 49*38,60
+ 50*38,55 
+ 50*38,54
</t>
      </text>
    </comment>
    <comment authorId="72" xr:uid="{5f95bb6a-f8aa-478d-85ad-7d19de49508e}" ref="T8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03/11/25
VENDA APPLE BTG NASSER
-50*71,31 
- 50*71,48
- 50*71,53
12/11/25
venda APPLE 
-50*72,15 
- 50*72,08
- 50*72,16
- 50*72,09
</t>
      </text>
    </comment>
    <comment authorId="73" xr:uid="{60b8017f-d11b-4deb-ad26-89503c5b269f}" ref="V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13/01/26
compra MELI34
+100*93,15
</t>
      </text>
    </comment>
    <comment authorId="74" xr:uid="{60ed7bc6-393f-414b-b8e8-784aa1b36079}" ref="X8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11/2025
VENDA ASML
-290*97,71
</t>
      </text>
    </comment>
    <comment authorId="75" xr:uid="{624f367f-30c6-4218-bc4c-9d85c26846d9}" ref="H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08/07/25
VENDA CDB BTG
-157605,51
IR RESGATE
+2636,94
</t>
      </text>
    </comment>
    <comment authorId="76" xr:uid="{6829f994-abf4-463c-ba17-4ad1afd90b10}" ref="AF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20/01/26
COMPRA TESLA
+20*71,39
+ 20*71,09 
+ 20*71,18 
+ 20*71,02
+ 20*70,91
+ 20*71,14
+ 10*71,23
+ 10*71,30
+ 10*71,05
+ 80*70,73
</t>
      </text>
    </comment>
    <comment authorId="77" xr:uid="{6c98c314-7fc9-4034-aba4-8846fc5dd86e}" ref="L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03/02
pgto SOFIA
CHAT GPT
US$100,00
R$-519,15
06/02/2026
PRA TRANSFERENCIA PARA BPI
EU$3400 = R$20734,59
EU$1,00 = R$6,09
10/02/2026
PRA TRANSFERENCIA PARA BPI
EU$2900 = R$18674,97
EU$1,00 = R$6,18
11/02/26
PRA TRANSFERENCIA PARA BPI
EU$1550 = R$9941,48
EU$1,00 = R$6,15
</t>
      </text>
    </comment>
    <comment authorId="78" xr:uid="{6da9e95b-80c2-4f2d-a5ab-8cfbe19d35e4}" ref="AB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23/01/26
VENDA WEGE3
-100*49,47
- 100*49,35
30/01
VENDA WEGE
-100*51,86
- 100*51,95
- 100*51,95
- 100*51,96
- 100*51,98
- 100*52,01
- 100*52,06
</t>
      </text>
    </comment>
    <comment authorId="79" xr:uid="{6e1ecc30-29b7-4eae-82a8-254d39f29fd7}" ref="AF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25/06
VENDA TESLA 
POR ENGANO
-100*56,03
</t>
      </text>
    </comment>
    <comment authorId="80" xr:uid="{6f0f8760-c88d-476d-b712-dde429c97230}" ref="AD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21/11/2025
COMPRAS MELI34
ALEXA BTG
+50*87,20
+ 50*86,77 
+ 50*86,73
+ 50*87,13
+ 50*87,01
+ 50*86,45
+ 50*86,25
+ 50*86,35 
+ 50*86,15
</t>
      </text>
    </comment>
    <comment authorId="81" xr:uid="{740b8516-1c88-4f91-846c-a2e628031202}" ref="AE8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19/11/25
VENDA SIGMA BTG ALEXA
-1000*18,43
-1000*18,53
-410*18,25
21/11
-310*16,20
- 1000*16,24 
- 1000*16,54
- 180*16,14
- 820*16,12
- 190*16,62
- 100*16,66
- 100*16,64
- 100*16,62
- 100*16,60
- 100*16,71
</t>
      </text>
    </comment>
    <comment authorId="82" xr:uid="{74706f7b-68de-4b88-b743-1ab2196c3c1f}" ref="U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19/02
COMPRA TESLA
+50*66,90
+50*66,88
</t>
      </text>
    </comment>
    <comment authorId="83" xr:uid="{759fd737-d07d-48ed-bcfa-e4ce1ee92763}" ref="X5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01/08/2025
COMPRA ASML
+8*69,57
</t>
      </text>
    </comment>
    <comment authorId="84" xr:uid="{7804a8b4-06d8-4d18-a8b3-d2029622eb1f}" ref="F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16/06
COMPRA LFTS11
+150*134,86
+150*134,87
</t>
      </text>
    </comment>
    <comment authorId="85" xr:uid="{7be3c704-42e0-4f05-b0aa-075d92403654}" ref="M9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ATUALIZAÇÃO
12/2025
12/12/2025
grama OURO = R$650,00
EU$1,00 = R$ 6,62
US$1,00 = R$ 5,64
=====
(GOLD+CASH)
HOME + BANKs
&gt;pulseira MACIÇA OURO+ Dadinho
(32,96g+1,33g =34,29g)=
34,29g * R$650,00 a grama =
R$22288,50
COMPRA GOLD
&gt;PULSEIRA EGÍPCIA
(51,18g) *650 =
R$33267,00
&gt;CHAVEIRO VARGAS
(10,93g) * 650 =
R$7104,50
&gt;CORRENTE CORDA
GOLD
+17,26g*650,00= R$11219,00
=&gt;&gt;TOTAL GOLD
R$22288,50+R$33267,00+7104,50+R$11219,00 = 
=&gt;&gt;R$73879,00
=============
CASH HOME
&gt;US$1672 = R$9437,48+
&gt;EU$2000,00 =R$13251,14 +
&gt;EU$2615,00=R$17325,85
BPI BANK
TOTAL BPI 
EU$20971
+EU$2150,00
+EU$2070,00
= EU$25191,00* 6,66
R$171060,19
=&gt;TOTAL CASH
9262,88+13020,00+17023,65
+R$171060,19=
TT =&gt;R$ 210366,72
==========
&gt;&gt; TOTAL GERAL
(GOLD+CASH)
HOME+BANKs
R$73879,00+210366,72=
==&gt;&gt; R$ 284245,72
Mostrar menos
</t>
      </text>
    </comment>
    <comment authorId="86" xr:uid="{7c4683fa-052d-41da-bbea-bb610aafba06}" ref="M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20/09/25
+EU$2615,00
TROCO da viajem a Portugal
em casa no cofre
26/09/25
TRANSFERENCIA PARA BPI
PGTO IRN SOFIA PORTUGAL
-3095,70
</t>
      </text>
    </comment>
    <comment authorId="87" xr:uid="{7d47e887-8cad-41f0-b790-f71be632c0da}" ref="AD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18/07/2025
BTG ALEXA
COMPRA BBAS3
+600*20,21
+800*20,22
+300*20,23
+600*20,24
+500*20,27
+500*20,32
21/07
+500*20.11
+400*20.04
</t>
      </text>
    </comment>
    <comment authorId="88" xr:uid="{7f7c9432-3a98-43f4-b5fa-b246270a3309}" ref="X9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12/12/2025
+10*143,94
+ 10*143,84
+ 10*143,74
+ 10*143,64
+ 10*143,63
+ 10*143,54
+ 10*143,53
+ 10*143,51
+ 10*143,43
+ 10*143,43
+ 10*143,41
+ 10*143,33
+ 10*143,27
+ 10*143,13
+ 10*143,09
+ 10*142,94
+ 10*142,74
+ 10*142,54
+ 10*142,39
+ 10*142,24
+ 10*142,14
+ 4*142,04 
+ 6*142,04
+ 10*141,84
+ 10*141,74 
+ 10*141,69
+ 10*141,64
+ 10*141,59
15/12/25
COMPRA AMD ALEXA
+10*141,54
+10*141,44
+10*141,34
+10*141,26
+10*141,16
+10*141,06
+10*140,96
+10*140,86
+10*140,76
+10*140,70
+10*140,69
+10*140,68
+10*140,67
+10*140,66
</t>
      </text>
    </comment>
    <comment authorId="89" xr:uid="{7fb842a2-337a-41ed-91a4-6828309ff702}" ref="F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30/07/25
VENDA LFTS11
PARA COB CC
-200*137,17
-200*137,20
</t>
      </text>
    </comment>
    <comment authorId="90" xr:uid="{7fd3a598-8e6c-4fd7-9c57-4055c1f7523f}" ref="O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18/07/25
COMPRA SOJA3
+1000*10,51
+1000*10,53
+1000*10,57
+2000*10,55
+1000*10,61
+1000*10,63
+1000*10,62
+1000*10,69
</t>
      </text>
    </comment>
    <comment authorId="91" xr:uid="{80d2c1b8-2e5b-45a3-8ddc-21aa69303bd9}" ref="Y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E 18/09/25
VENDA ASML34 GAIN
-300*82,05
-179*83,31
-100*83,45
-100*83,50
-250*89,50
</t>
      </text>
    </comment>
    <comment authorId="92" xr:uid="{8195eb40-b9b5-4942-ab9a-fb3eda3dfc91}" ref="N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19/02/26
COMPRA INTEL 
+750*38,80
</t>
      </text>
    </comment>
    <comment authorId="93" xr:uid="{83cf0997-28b3-4033-aa9e-e7524991bdf7}" ref="AG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27/05/2025
COMPRA NVIDEA CLEAR NASSER
PRE DIVULGAÇÃO RESULTADOS E DIVIDENDOS
+300*15,84
+400*15,85
+400*15,86
+300*15,87
+700*15,88
+100*15,89
+200*15,90
+100*15,91
+200*15,92
+100*15,93
+100*15,94
+500*15,95
</t>
      </text>
    </comment>
    <comment authorId="94" xr:uid="{87ac462c-0c8a-4c90-9cee-0ffdd78033e1}" ref="AA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15/01/26
COMPRAS HAPVIDA
+500*13,43
+ 100*13,50 
+ 100*13,50
+ 100*13,50 
+ 100*13,51
+ 100*13,40
+ 100*13,42
19/01/26
COMPRA HAPVIDA
+100*13,34
+ 200*13,36 
+ 100*13,38
+ 100*13,37 
+ 100*13,39 
+ 100*13,39 
+ 100*13,35
+ 100*13,39
+ 100*13,38
</t>
      </text>
    </comment>
    <comment authorId="95" xr:uid="{88a62b7d-c26d-4c8c-8c17-c318a26911f1}" ref="U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06/01/26
COMPRAS TESLA
+300*73,01
+ 300*72,21
+ 200*72,01
08/01/26
COMPRAS TESLA
+300*71,76
20/01/*26
COMPRA TESLA
+763*71
+99*71,11
+ 100*70,74
+ 100*71,02
+ 99*70,16
+ 99*70,36
+ 30*71,09
+ 36*71,21
+ 30*70,91
+ 10*71,29
+ 10*71,23
+ 100*70,16
+ 50*70,53
</t>
      </text>
    </comment>
    <comment authorId="96" xr:uid="{890f5b20-f786-4661-8894-c32030d9657e}" ref="F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02/01/2026
compra LFTS11
+50*145,35
+37*145,27
05/01
compra lfts11
+13*145,60
</t>
      </text>
    </comment>
    <comment authorId="97" xr:uid="{8c9e7150-be68-4fa5-8149-261215129751}" ref="AG6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20/08/2025
DIVIDENDOS AAPL34
-21,81
</t>
      </text>
    </comment>
    <comment authorId="98" xr:uid="{8d144790-25e1-48b3-99ce-4a8cfa8b1f03}" ref="S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08/07/25
VENDA CDB BTG
-64655,11
IR RESGATE
+905,11
</t>
      </text>
    </comment>
    <comment authorId="99" xr:uid="{8df7d601-022b-4b24-96d8-d9acd01ff9e7}" ref="X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04_02_26
COMPRA AMD
+16*132,03
+ 16*132,13
+ 16*132,23
+ 16*132,33
+ 16*132,43 
+ 16*132,53
+ 16*132,65
+ 16*132,73
+ 16*132,83
+ 16*132,93
</t>
      </text>
    </comment>
    <comment authorId="100" xr:uid="{8eedb5c1-05ff-4353-b2e2-8978c7fce3d3}" ref="V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13/06
RESGATE PARA COBRIR CC ITAU
-5K
-10K
</t>
      </text>
    </comment>
    <comment authorId="101" xr:uid="{9408c16e-e8a7-4b76-a8d0-6416c431c9ea}" ref="AH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25/07/25
COMPRA INTEL 
BTG ALEXA
+220*18,89
+160*18,92
+50*18,93
+220*18,94
+100*18,97
</t>
      </text>
    </comment>
    <comment authorId="102" xr:uid="{9ae21836-536a-4f7f-9221-1e306b5c6ba1}" ref="AF5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01/08/2025
COMPRA TESLA
+6*52,85
</t>
      </text>
    </comment>
    <comment authorId="103" xr:uid="{9b153682-87e9-4695-a9e6-c82f1c63155e}" ref="U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22/10/25
compra TESLA
G
30*73,73 
+ 30*73,72 
+ 30*72,63 
+ 30*73,48 
+ 30*73,28 
+ 30*73,68 
+ 30*73,35 
+ 30*73,88 
+ 30*73,95 
+ 30*73,86
23/10/25
COMPRA TESLA 
G
30*70,76
+ 30*71,16 
+ 30*74,67 
+ 30*71,39 
+ 30*71,40 
+ 30*71,02 
+ 30*71,52
</t>
      </text>
    </comment>
    <comment authorId="104" xr:uid="{9cc51e68-6466-4ee9-86f9-b2a056d9081b}" ref="AA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11/09
COMPRA SIGMA
+500*10,01
+1000*9,96
+500*9,90
+500*9,89
+500*9,80
+500*9,71
</t>
      </text>
    </comment>
    <comment authorId="105" xr:uid="{9d2f18f2-7fd2-4e55-bbf1-78011eed76c3}" ref="AB5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15/08/25
COMPRA WEGE3 
BTG NASSER
+500*35,91
+100*35,86
+100*35,81
+100*35,73
19/08
COMPRA WEGE3
+100*35,63
+100*35,51
</t>
      </text>
    </comment>
    <comment authorId="106" xr:uid="{9daa57db-cb10-4277-b8dd-efa11a527519}" ref="AB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09/06
venda TESLA CLEAR
operador clear
-423*53,51
10/06
venda TESLA GAIN
-423*56,39
</t>
      </text>
    </comment>
    <comment authorId="107" xr:uid="{9e5d2f75-82e9-4a99-919b-c73f51f45500}" ref="M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20/09/25
- 455 * 6,51
GASTOS NA VIAGEM PORTUGAL
-2963,18
GASTOS COM EURO NO BPI
-25434,96
</t>
      </text>
    </comment>
    <comment authorId="108" xr:uid="{9eea9c3c-63ac-4735-98e9-7477f5b8951f}" ref="R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06/01/26
VENDAS AURA33
-100*96,70
- 100*95,88
- 100*95,50
- 17*95,72
- 83*95,81 
- 100*96,70
08/01/26
VENDAS AURA33
-100*93,27 
- 100*93,28
15/01/26
VENDAS AURA33
-50*104,53
- 50*104,59
- 50*108,01
- 50*108,10
20/01
VENDA AURA33
-100*114,36
-100*114,49
21/01
VENDA AURA33
GAIN
-30*114,99
-30*115,22
-30*115,42
23/01/26
VENDA AURA
-30*124,81
- 30*124,88
30/01
VENDA AURA33
-50*115,44
</t>
      </text>
    </comment>
    <comment authorId="109" xr:uid="{9eee0a44-b78c-4b54-8608-32b6efb2bd0d}" ref="AC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14/10/25
VENDA COSAN
-300*5,85
-100*5,86
-100*5,87
-100*5,88
15/10/25
-100*5,92
</t>
      </text>
    </comment>
    <comment authorId="110" xr:uid="{9fc58bdf-ee41-4964-ad77-8d89a01d4861}" ref="I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30/05
IR FUNDO BB
-1975,24
</t>
      </text>
    </comment>
    <comment authorId="111" xr:uid="{a1a01a18-271b-4743-8389-89919087dba5}" ref="W8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19/11/25
CMIN3
DIVIDENDOS
-429,51
JSC
-412,25
</t>
      </text>
    </comment>
    <comment authorId="112" xr:uid="{a2a82cf1-1257-4668-94dc-2cafbfbbf648}" ref="M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22/07/2025
RECEBIMENTO BCO BPI 
DE TRANSFERENCIA DO WISE
-EU$1000,00
23/07
-EU$4000,00
total lançado EM REAL 
+ R$33042,00
</t>
      </text>
    </comment>
    <comment authorId="113" xr:uid="{a2e5e69f-dd09-4847-b90f-55bb4a2551ee}" ref="Y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22/07
COMPRA ASML34
+9*71,19
+100*71,06
+100*71,39
23/07
COMPRA ASML34
+100*72,52
25/07/25
+20*72,16
+40*72,11
+20*72,07
+20*71,91
+10*71,75
+20*71,71
+10*71,67
+10*71,59
+10*71,57
+20*71,51
+20*71,45
+30*71,42
+20*71,35
</t>
      </text>
    </comment>
    <comment authorId="114" xr:uid="{a449eff6-33df-44bd-ae4f-dbff491baed9}" ref="T6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20/08/25
dividendos AAPL34
-47,41
</t>
      </text>
    </comment>
    <comment authorId="115" xr:uid="{a498d9ac-86d2-43a3-a8ad-90f1e5457f80}" ref="AF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20/06
ALEXA BTG NEW
COMPRA TESLA
+100*55,32
+30*55,22
+30*55,09
+100*54,84
+100*54,83
+100*54,77
+100*54,74
25/06
100*55,84
+50*55,86
+50*55,99
+50*56,01
+50*56,03
+50*56,10
+50*56,15
+50*56,25
+100*56,31
+50*56,37
+90*56,80
27/06
COMPRA TESLA
LANÇAMENTO ENTREGA AUTONOMA
+38*55,25
+38*55,20
+40*54,88
+40*54,86
+38*54,84
</t>
      </text>
    </comment>
    <comment authorId="116" xr:uid="{a6f413cb-892e-4710-8c9a-fb5b2b909b99}" ref="L9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01/12/25
TRANSFERENCIA PARA WISE
COMPRA DE MOEDAS
+20000
01/12/25
TRANSFERENCIA PARA WISE
COMPRA DE MOEDAS
+10000
02/12/25
TRANSFERENCIA PARA WISE
COMPRA DE MOEDAS
+25000
26/12/25
TRANSFERENCIA PARA WISE
COMPRA DE MOEDAS
+2000
</t>
      </text>
    </comment>
    <comment authorId="117" xr:uid="{a782154b-2f25-41e1-9ec2-74b4c8369685}" ref="AB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09/06
COMPRA TESLA
pala Venda engano operador Clear
=+423*53,30
</t>
      </text>
    </comment>
    <comment authorId="118" xr:uid="{a7a7e04d-5fe5-42d5-8140-780ff9b75d5d}" ref="U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12/09/25
VENDA GAIN TSLA34
-1000*65,88
</t>
      </text>
    </comment>
    <comment authorId="119" xr:uid="{a7c81093-efdc-4dde-8776-2271b239021e}" ref="AH8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05/11/2025
VENDA GAIN INTEL 
ALEXA BTG
-400*34,41 
- 400*34,41 
- 400*34,41 
- 400*34,42 
- 400*34,39
13/11
VENDA INTEL BTG ALEXA
-100*31,98
18/11/25
VENDA
-455*30,72
</t>
      </text>
    </comment>
    <comment authorId="120" xr:uid="{a865a4fe-bef4-4d70-96a0-ab21ed95612d}" ref="F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23/07/2025
VENDA LFTS11 
COB CONTA
-100*136,8
</t>
      </text>
    </comment>
    <comment authorId="121" xr:uid="{a9b6a283-6477-4102-86ad-d16d79e65997}" ref="L9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01/12/25
TRASNSFERENCIA DE EURO 
WISE PARA BPI
EU$3800,00 = R$23393,68
02/12/25
TRASNSFERENCIA DE EURO 
WISE PARA BPI
EU$2000,00 = R$12308,53
06/12/25
TRASNSFERENCIA DE EURO
WISE PARA BPI
EU$3000,00 = R$18823,14
10/12/2025
TRASNSFERENCIA DE EURO
WISE PARA BPI
EU$3000,00 = R$18962,43
11/12/25
PGTO VIAGEM EGITO 25%
-5,3*(+773+973+973) =
R$14410
22/12/25
PGTO VIAGEM EGITO 
EGYPTAIR
-2195*5,41
R$11874,
24/12/25
TRASNSFERENCIA DE EURO 
WISE PARA BPI
EU$2150,00 = R$13833,97
26/12/25
TRASNSFERENCIA DE EURO
WISE PARA BPI
EU$2070,00 = R$13366,37
</t>
      </text>
    </comment>
    <comment authorId="122" xr:uid="{add09592-855a-46fd-8df9-3ba3f9ac138f}" ref="L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02/01/26
COMPRA INGRESSO
PARQUE CATARATAS
E
MACUCO SAFARI
810.000,00 PESOS = 
R$3158,00
07/01/26
PRA TRANSFERERNCIA DE EURO
BPI
EU$3774,00 = R$24568
13/01/26
PRA TRANSFERERNCIA DE EURO
BPI
EU$2400,00 = R$15566,
19/01/26
PRA TRANSFERERNCIA DE EURO
BPI
EU$2300,00 = R$14970
</t>
      </text>
    </comment>
    <comment authorId="123" xr:uid="{b48ebb5f-5cce-414a-aca9-d79d16b939a3}" ref="D6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04/08/25
transferido TD 
DA CLEAR PARA BTG
</t>
      </text>
    </comment>
    <comment authorId="124" xr:uid="{b5d4fb3a-1813-4d7b-a754-7093ecf93971}" ref="I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08/07/25
RESGATE FUNDO BB HI
-49K
PARA EFETIVAÇÃO DA OPERAÇÃO DE CREDITO DO BTG 200K
</t>
      </text>
    </comment>
    <comment authorId="125" xr:uid="{b9e406ef-12c2-4103-a470-f0fd86863c39}" ref="R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05/02
VENDA AURA33
-50*108,62
- 50*109,31
- 50*108,06
- 25*109,09
- 60*110,02
- 60*110,10
- 60*110,29
- 60*110,74
- 60*110,47
- 60*111,01
10/02
VENDA AURA GAIN
-1*125,34
- 1*125,34
- 2*125,34
- 5*125,34
- 7*125,34
- 10*125,34
- 24*125,34 
- 50*125,41
- 50*125,47
- 50*125,53
- 50*127,67
- 65*127,78
- 50*127,82
- 50*127,98
11/02
VENDA AURA GAIN
-100*129,43
- 13*129,79
- 87*129,79 
- 100*129,92
</t>
      </text>
    </comment>
    <comment authorId="126" xr:uid="{ba4db7e8-4034-4264-aad2-571a312f33ca}" ref="AB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26/09/25
COMPRA WEGE3
+500*36,32
+100*36,29
+100*36,30
</t>
      </text>
    </comment>
    <comment authorId="127" xr:uid="{ba90d312-c358-4331-bc11-43246fab83ed}" ref="Z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06/01/26
VENDAS VALE3 GAIN
-100*75,88
- 100*75,86
- 100*75,85
- 100*75,83
- 100*75,92
- 100*75,81
- 100*75,96
- 100*75,94
- 100*75,90
08/01/26,
VENDAS VALE3
-100*75,35
</t>
      </text>
    </comment>
    <comment authorId="128" xr:uid="{bc36dcba-d633-4e2b-910b-c45f9633fa17}" ref="AA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30/01
venda hapvida
-100*12,94
- 100*12,94
- 100*12,94
- 200*12,94
- 200*12,94 
- 200*12,94
- 200*12,94
- 300*12,94
- 600*12,94
- 1000*12,94 
- 1000*12,94
- 1500*12,94
</t>
      </text>
    </comment>
    <comment authorId="129" xr:uid="{be760823-3a52-4a28-aaba-e6c97d3ebb41}" ref="AF9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30/12
compra TESLA TSLA34
+20*78,86
+ 50*78,82
+ 50*78,77
+ 50*78,73 
+ 20*78,69
+ 50*78,66
+ 2*78,61
+ 3*78,61
+ 45*78,61
+ 16*78,59
+ 20*78,56
+ 3*78,53
+ 17*78,53
+ 20*78,47
+ 20*78,44
+ 1*78,38
+ 3*78,38
+ 20*78,29 
+ 50*78,14
+ 50*78,01
+ 50*77,89
+ 100*77,52
</t>
      </text>
    </comment>
    <comment authorId="130" xr:uid="{bf3722cd-d217-4522-9194-477ab3ac64e7}" ref="M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ATUALIZAÇÃO
05/2025
30/05/2025
grama OURO = R$500,00
EU$1,00 = R$ 6,65
US$1,00 = R$ 5,87
=====
(GOLD+CASH) 
HOME + BANKs
&gt;pulseira MACIÇA OURO+ Dadinho
(32,96g+1,33g =34,29g)= 
34,29g * R$500,00 a grama =
R$17480,00
COMPRA GOLD
&gt;PULSEIRA EGIPSIA
(51,18g) *500 =
R$25590,00
&gt;CHAVEIRO VARGAS
(10,93g) * 500 =
R$5465,00
=&gt;&gt;TOTAL GOLD
17480+25590+5465 = =&gt;&gt;R$48535,00
=============
CASH HOME
&gt;US$1672 = R$9814,64+
&gt;EU$2455 =R$16325,75 +
BPI BANK
(EU$5110, + EU$1100)= &gt;EU$6210=
R$41296,50
=&gt;TOTAL CASH
9814,64+16325,75+41296,50=
=&gt;&gt;R$67436,89
========
==&gt;&gt; TOTAL GERAL
(GOLD+CASH) HOME+BANKs
48535,00+67436,89=
==&gt;&gt; R$ 115971,89
</t>
      </text>
    </comment>
    <comment authorId="131" xr:uid="{bf5b22cd-749f-43dc-99a0-71787a28c60d}" ref="F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05/11/25
COMPRA LFTS11 
ALEXA BTG
+40*142,52 
+ 40*142,52 
+ 40*142,52
06/11
COMPRA LFTS11
+50*142,60 
+ 50*142,61
21/11
+80*143,37 
+ 50*143,35
</t>
      </text>
    </comment>
    <comment authorId="132" xr:uid="{bf72453f-8e0b-43a6-a052-5929550fa893}" ref="O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21/07
venda SOJA3
-3600*10.41
-5000*10.44
-1000*10.43
22/07
-4900*10,47
-2000*10,48
-3000*10,49
</t>
      </text>
    </comment>
    <comment authorId="133" xr:uid="{c3dbde1e-e61a-4b8a-a759-b85508c33bfa}" ref="AG5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08/08/25
COMPRA APPLE
+50*59,57
</t>
      </text>
    </comment>
    <comment authorId="134" xr:uid="{c569d863-0198-403e-b959-fa4c2ee6b363}" ref="S8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17/11/25
VENDA LFTS11 BTG NASSER
- 70*143,15
- 70*143,15
- 70*143,15 
- 70*143,15
- 70*143,15
</t>
      </text>
    </comment>
    <comment authorId="135" xr:uid="{c6acb356-977e-49d7-8d9e-63c7ad2c7b9a}" ref="AC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21/01/26
venda AMD NASSER
-3*166,18
-17*166,18
-20*166,23
-20*166,29
-20*166,34
-20*166,38
-20*166,39
-20*166,54
23/01/26
VENDA AMD
-25*172,34
- 25*172,14
- 25*172,22
30/01
VENDA AMD
-50*156,92
- 50*157,36
</t>
      </text>
    </comment>
    <comment authorId="136" xr:uid="{c80f1ff2-2f85-4147-8d36-b4361654963e}" ref="N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23/06
compra INTEL ITLC34
+250*19,31
</t>
      </text>
    </comment>
    <comment authorId="137" xr:uid="{c8dde88a-3a3d-4bee-bdcf-8f5f463ca3a2}" ref="AA8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17/11/25
VENDA SIGMA BTG NASSER
GAIN
-5000*15,35
19/11
VENDA SIGMA BTG NASSER
- 670*18,48
- 330*18,50
-1000*18,10
-1000*16,26
-2000*16,23
21/11
-1000*16,34
- 1000*16,12
</t>
      </text>
    </comment>
    <comment authorId="138" xr:uid="{d2e84391-7705-47c6-96d5-d26cb48dcf4f}" ref="AG8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12/11/25
VENDA APPLE BTG ALEXA
-64*72,12 
- 50*72,13 
- 50*72,03 
- 50*72,18 
- 50*72,16
27/11
VENDA APPLED GAIN
-50*74,28 
- 50*74,28 
- 50*74,27 
- 50*74,25
- 50*74,25
- 50*74,25
- 50*74,25
- 50*74,28 
- 50*74,27
- 50*74,27
</t>
      </text>
    </comment>
    <comment authorId="139" xr:uid="{d3074ef7-04dc-4c41-b00a-e8174b751112}" ref="D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27/09
COMPRA TD
SELIC 2029 (0,65*R$15309,65)
+9951,27
SELIC 2027 (0,46*R$15381,38)
+7075,43
</t>
      </text>
    </comment>
    <comment authorId="140" xr:uid="{d46430e2-37e7-45e2-b5a6-84be651ab606}" ref="F9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04/12
COMPRA LFTS11
+50*143,94
</t>
      </text>
    </comment>
    <comment authorId="141" xr:uid="{d5c16358-64c5-4df1-96a9-26a9e0427be0}" ref="N8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03/11/25
VENDA INTEL BTG
-100*35,03 
- 100*35,10
- 100*35,07
- 100*35,03
- 100*34,99
05/11
VENDA INTEL GAIN
-100*34,12 
- 100*34,12 
- 100*34,12 
- 100*34,15 
- 100*34,12
- 100*34,48
- 100*34,48 
- 100*34,47
- 100*34,47 
- 100*34,47
</t>
      </text>
    </comment>
    <comment authorId="142" xr:uid="{da5b2eb9-60b2-4ab0-8ff7-49ae30a94ead}" ref="N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25/09/2025
venda Intel GAIN
-500*28,96
VENDA INTEL GAIN
-500*30,39
26/09
venda INTEL GAIN
-250*31,36
</t>
      </text>
    </comment>
    <comment authorId="143" xr:uid="{db245ef1-747f-4ffd-bd37-6a7b06b710b3}" ref="AG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20/06
ALEXA BTG NEW
COMPRA APPLE
+50*54,65
+50*54,50
+50*54,34
23/06
+40*55,38
+40*55,13
+40*55,06
25/06
+50*55,86
</t>
      </text>
    </comment>
    <comment authorId="144" xr:uid="{dc283e7c-064b-4b91-9ac6-ac51340ab5bc}" ref="R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04/11/25
COMPRA AURA33 BTG NASSER
+50*57,41 
+ 50*57,11 
+ 50*58,90 
+ 50*58,93
05/11
COMPRA AURA33
+50*58,21
+ 50*58,58 
+ 50*58,77
+ 50*58,84 
+ 50*58,71
</t>
      </text>
    </comment>
    <comment authorId="145" xr:uid="{e01c7912-63ca-4078-8721-8b4ab7fad78f}" ref="V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15/01/26
VENDAS MELI34
-100*94,12
- 50*94,10
30/01
VENDA MELI
-15*93,93
- 85*93,93
- 1*94,28
- 15*94,28
- 84*94,28
- 100*94,43
- 100*94,51
- 8*94,65 
- 30*94,65
- 62*94,65
</t>
      </text>
    </comment>
    <comment authorId="146" xr:uid="{e07c1450-4520-494e-8641-bac498fa983e}" ref="AE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02/05
COMPRA BBAS3 
DIVIDENDOS
+100*23,21
+100*23,23
+100*23,24
+100*23,26
+100*23,27
+100*23,30
</t>
      </text>
    </comment>
    <comment authorId="147" xr:uid="{e220c210-84d9-4538-a244-26e23e65f4ea}" ref="AE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18/07/2025
COMPRA BBAS3
+1000*20,40
</t>
      </text>
    </comment>
    <comment authorId="148" xr:uid="{e223475b-5445-4866-98e2-34d682f828ff}" ref="AB9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05/12
COMPRA WEGE3
+100*46,53
29/12/25
COMPRA WEGE3
QUEDA AGRRESSIVA
+100*48,65
+ 100*48,61 
+ 100*48,49
+ 100*48,48
+ 100*48,45
+ 100*48,41 
+ 100*48,41
+ 100*48,39 
+ 100*48,37
+ 100*48,31
</t>
      </text>
    </comment>
    <comment authorId="149" xr:uid="{e3c13cc4-915a-4bf0-b884-163af492afcb}" ref="J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08/07
COMPRA FUNDO
FUNDO BTG CDB PLUS FIRF CRPR
P/ GARANTIA CREDITO 200K
+218744,87
</t>
      </text>
    </comment>
    <comment authorId="150" xr:uid="{e446afd9-4ee3-4b3e-b83f-90b0ab2f2b1c}" ref="AE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05/09/25
COMPRA SIGMA 
S2GM34
+200*11,65
+100+11,63
+100*11,61
+100*11,60
+100*11,59
+100*11,58
+100*11,56
+100*11,54
+100*11,52
+100*11,50
+100*11,49
+200*11,46+
100*11,39
+10*11,24
10/09
+200*10,03
+100*10,01
+100*10
+100*9,91
11/09
+200*9,87
+100*9,86
+100*9,85
+100*9,84
+600*9,81
+100*-9,76
+200*9,72
+200*9,71
</t>
      </text>
    </comment>
    <comment authorId="151" xr:uid="{e5278ec3-4d72-45c4-b673-13f93b0ca7b5}" ref="R9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02/812/25
dividendos AURA33
-1915,52
</t>
      </text>
    </comment>
    <comment authorId="152" xr:uid="{e5da6838-6e33-4620-8e90-9c8bd29624f3}" ref="AH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06/10/25
COMPRA INTEL
+100*32,52
+100*32,44
+100*32,35
08/10/25
COMPRA INTEL
+55*31,87
</t>
      </text>
    </comment>
    <comment authorId="153" xr:uid="{e6f8a079-c693-47f1-b081-d6c855b2e702}" ref="F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02/05
COMPRA LFTS11
+7*132,66
+30*132,67
+40*132,63
23/05
COMPRA LFTS11
+175*133,65
+70*133,67
+70*133,68
+35*133,69
+35*133,70
</t>
      </text>
    </comment>
    <comment authorId="154" xr:uid="{e7e69933-88b1-49ab-898b-e073090cd4df}" ref="M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03/10/25
transferência SIMPLES
EU$ WISE PRA EU$ BPI
+EU$2400,00 = +14911,45
</t>
      </text>
    </comment>
    <comment authorId="155" xr:uid="{e88b5c39-fb14-469f-bb20-373c2aab69e3}" ref="D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10/07/25
resgate TD
-19915,18
IR
-649,08
RESGATE TD
-8943,13
IR
-317,43
</t>
      </text>
    </comment>
    <comment authorId="156" xr:uid="{e9cac3f2-ec6c-4098-b54d-e08ca9a0b8c6}" ref="Y8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03/11/25
VENDA ASML BTG
-20*103,91
- 20*104,08
- 20*103,87 
- 20*104,08
</t>
      </text>
    </comment>
    <comment authorId="157" xr:uid="{e9f21b24-fb77-4113-bdc4-fb7bc1f9dd33}" ref="V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03/10/2025
COMPRA MERCADO LIBRE
MELI34
+50*96,67
+50*96,81
+100*96,91
+50*97,01
+100*97,02
+100*97,05
+50*97,08
+50*97,46
06/10/25
COMPRA MELI34
+50*95,03
+50*95,57
08/10
+50*96,74
15/10/25
COMPRA MELI34
+50*94,11
+50*94,31
+50*94,71
+50*95,02
+50*95,10
+50*95,31
+50*95,41
16/10/25
COMPRA MELI34
+50*93,47
+50*93,11
</t>
      </text>
    </comment>
    <comment authorId="158" xr:uid="{ea498a3d-031e-48e4-8719-b1c198205d9a}" ref="U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01/10/26
VENDA TESLA GAIN
-300*76,42
14/10/25
VENDA TESLA
-100*72,92
-150*73,10
-100*73,49
</t>
      </text>
    </comment>
    <comment authorId="159" xr:uid="{eb80d774-eead-4019-81a7-48bc5f2d0e3f}" ref="AE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23/05
COMPRA BBAS3
BTG NASSER
DIVIDENDOS
+400*24,42
+100*24,46
+200*24,51
+100*24,52
+200*24,54
28/05
COMPRA BBAS3
+200*24,17
+200*24,18
+200*24,19
+100*24,20
+100*24,21
+100*24,16
100*24,11
</t>
      </text>
    </comment>
    <comment authorId="160" xr:uid="{ec25aa5d-399a-450a-9b79-a2bb1dfb55a2}" ref="C6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04/08/25
transferido TD 
DA CLEAR PARA BTG
</t>
      </text>
    </comment>
    <comment authorId="161" xr:uid="{ec6c6c3b-4ecb-44c2-b727-04c1f905b81f}" ref="L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03/10/25
transferencia SIMPLES
EU$ WISE PRA EU$ BPI
EU$2400,00 = -14911,45
</t>
      </text>
    </comment>
    <comment authorId="162" xr:uid="{edc09cfe-1455-47db-a2a8-23d205942e92}" ref="L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27/11
transferencia para WISE
COMPRA DE MOEDAS
+30K
30/11
transferencia para WISE
+4500,00
</t>
      </text>
    </comment>
    <comment authorId="163" xr:uid="{ee0fe579-2e61-4913-8596-c8e44ae3b0e8}" ref="AG8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19/11/25
APPLE
DIVIDENDOS
35,57
</t>
      </text>
    </comment>
    <comment authorId="164" xr:uid="{ef1df43c-9a2a-4e24-9781-45b3123cf982}" ref="N6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15/08/25
VENDA INTEL 
USA VAI COMPRAR FATIA
-1000*22,81
-1000*22,79
-500*22,67
-500*22,68
19/08/25
VENDA INTEL 
GAIN
-200*23,89
-200*23,71
-200*23,67
-200*23,61
-200*23,57
</t>
      </text>
    </comment>
    <comment authorId="165" xr:uid="{f042cbe6-95a5-48af-bc93-39a3797ee0b0}" ref="W8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03/11/25
VENDA CMIN3 BTG
-1500*6,14
12/11/25
VENDA CMIN3 
-500*5,73
- 500*5,74 
- 500*5,75 
- 500*5,86 
- 500*5,88
- 500*5,76
- 500*5,75
- 500*5,87
- 500*5,92
- 500*5,89
- 500*5,86
</t>
      </text>
    </comment>
    <comment authorId="166" xr:uid="{f0ca2d4b-25db-4ae0-b173-d303db685221}" ref="R9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29/12/25
COMPRA AURA33
QUEDA OURO
+10*97,85
+ 40*97,85
+ 50*97,26
+ 50*97,12 
+ 50*97,01 
+ 15*95,81 
+ 50*95,75
+ 35*95,54
+ 1*95,40
+ 33*95,40
+ 16*95,39 
+ 1*92,75
+ 49*92,75
+ 1*92,72 
+ 1*92,72
+ 48*92,72
+ 50*90,92
+ 50*90,64
+ 50*90,59
</t>
      </text>
    </comment>
    <comment authorId="167" xr:uid="{f3f0384d-cf75-474e-8762-3c7e5143909f}" ref="AE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21/07/25
VENDA BBAS3 
TRUMP VISTOS STF
-1800*20.07
22/07
-500*19,89
-1000*19,90
-300*19,93
</t>
      </text>
    </comment>
    <comment authorId="168" xr:uid="{f4236f29-c300-482d-b229-cd8a5c8a9448}" ref="F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26/06/25
VENDA LFTS11 GAIN
-300*135,39
</t>
      </text>
    </comment>
    <comment authorId="169" xr:uid="{f44edf3f-95d0-4a6b-b8aa-ddaaa696480c}" ref="U5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01/08/2025
COMPRA TSLA34
+34*52,85
+50*52,87
22/08/25
compra TSLA34
ENGANO
+75*57,28
</t>
      </text>
    </comment>
    <comment authorId="170" xr:uid="{f7505d79-2855-4b5b-9c83-797eebc81728}" ref="X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09/06
COMPRA ASML34
POR CONTA ENGANO OPERADOR CLEAR
+374*77,92
</t>
      </text>
    </comment>
    <comment authorId="171" xr:uid="{f7e15954-09cb-42eb-b682-97844a33e2a0}" ref="AD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COMPRA 
COSAN CSAN3 BTG ALEXA
01/10/2025
+200*6,22
+400*6,21
+100*6,20
+300*6,19
+500*6,18
+100*6,17
+300*6,16
+100*6,15
+100*6,14
02/10/25
COMPRA COSAN
+100*6,03
+100*6,12
</t>
      </text>
    </comment>
    <comment authorId="172" xr:uid="{f7e5936d-c064-4467-9e5b-710e319baf88}" ref="V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07/11/25
COMPRA MELI34 
NASSER BTG
+50*93,82
+50*93,68
+50*93,34
+50*93,23
21/11
+200*85,99
+ 50*86,12
+ 50*88,20
+ 50*88,02
</t>
      </text>
    </comment>
    <comment authorId="173" xr:uid="{fae5718f-c345-4609-ba07-c31921c7e7fb}" ref="U9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16/12/25
VENDA TESLA GAIN
-500*83,46
</t>
      </text>
    </comment>
    <comment authorId="174" xr:uid="{fb3c3df3-3c34-4a40-a660-dc9ff757a564}" ref="L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19/09/25
compra MOEDAS WISE
+R$12000,00
23/09
compra MOEDAS WISE
+R$10000,00
+R$10000,00
26/09/25
compra MOEDAS
EU JPY
R$10000,00
</t>
      </text>
    </comment>
    <comment authorId="175" xr:uid="{fbd6c8c9-9043-48b6-94f7-bb619aaa90a3}" ref="W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14/10/25
VENDA CMIN3
-1000*5,65
-4000*5,66
-6000*5,67
28/10/25
-1000*5,95
- 1000*5,94
-1000*5,95
</t>
      </text>
    </comment>
    <comment authorId="176" xr:uid="{fbf6fd87-0361-403c-9279-d1dc7f44dab8}" ref="Z9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05/12
COMPRA VALE3 
DIVIDENDOS dia com 11/12
+100*71,42
+ 100*71,52
+ 100*71,62
+ 100*71,32
+ 100*71,26
+ 100*71,23
+ 100*70,83
+ 100*70,52 
+ 100*71,01
+ 100*71,11
+ 100*71,50 
+ 100*71,57
+ 100*71,53
+ 100*71,46
+ 100*71,41
+ 100*71,42 
+ 100*70,92
+ 100*70,67 
+ 100*71,26
+ 100*70,15
+ 100*70,01
</t>
      </text>
    </comment>
    <comment authorId="177" xr:uid="{fcc13710-b79c-4966-a4b8-521184419472}" ref="F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06/02/26
COMPRA LFTS11 ALEXA
+300*147,59
10/02/26
COMPRA AURA ALEXA
+40*147,75
+ 40*147,75
+ 1*147,74
+ 1*147,74
+ 6*147,74
+ 11*147,74
+ 11*147,74
+ 23*147,74
+ 27*147,74
+ 40*147,74 
+ 40*147,74
+ 13*147,73
+ 27*147,73
+ 40*147,71
+ 40*147,71 
+ 40*147,71
</t>
      </text>
    </comment>
    <comment authorId="178" xr:uid="{fd214b14-3316-4c4d-b6dd-5e882e5e13a1}" ref="F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22/07/25
COMPRA LFTS11
BTG ALEXA
+300*136,75
+300*136,74
+100*136,73
+200*136,72
</t>
      </text>
    </comment>
    <comment authorId="179" xr:uid="{fd256d66-f6f4-4cea-8a46-3ca70dc80059}" ref="S9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29/12/25
VENDA LTFS11
-200*145,36
</t>
      </text>
    </comment>
  </commentList>
</comments>
</file>

<file path=xl/sharedStrings.xml><?xml version="1.0" encoding="utf-8"?>
<sst xmlns="http://schemas.openxmlformats.org/spreadsheetml/2006/main" count="635" uniqueCount="179">
  <si>
    <t>@dropdown</t>
  </si>
  <si>
    <t>Carteira "Nasser" Family Investimentos</t>
  </si>
  <si>
    <r>
      <rPr>
        <rFont val="Georgia"/>
        <b/>
        <color rgb="FF000000"/>
        <sz val="16.0"/>
        <u/>
      </rPr>
      <t xml:space="preserve">        </t>
    </r>
    <r>
      <rPr>
        <rFont val="Georgia"/>
        <b/>
        <color rgb="FF000000"/>
        <sz val="16.0"/>
        <u/>
      </rPr>
      <t>Planilha de Rentabilidade</t>
    </r>
  </si>
  <si>
    <t>Orientações e Sugestões de Utilização</t>
  </si>
  <si>
    <r>
      <rPr>
        <rFont val="Arial"/>
        <b/>
        <color rgb="FF000000"/>
        <sz val="14.0"/>
        <u/>
      </rPr>
      <t>Preencha a planilha com os dados do investimento.</t>
    </r>
    <r>
      <rPr>
        <rFont val="Arial"/>
        <b/>
        <color rgb="FF000000"/>
        <sz val="14.0"/>
        <u/>
      </rPr>
      <t xml:space="preserve"> </t>
    </r>
    <r>
      <rPr>
        <rFont val="Arial"/>
        <b val="0"/>
        <color rgb="FF000000"/>
        <sz val="14.0"/>
        <u/>
      </rPr>
      <t>Coloque suas próprias informações para adaptar a planilha à sua vida;</t>
    </r>
  </si>
  <si>
    <r>
      <rPr>
        <rFont val="Arial"/>
        <b/>
        <color rgb="FF000000"/>
        <sz val="14.0"/>
        <u/>
      </rPr>
      <t>ATENÇÃO:</t>
    </r>
    <r>
      <rPr>
        <rFont val="Arial"/>
        <b/>
        <color rgb="FF000000"/>
        <sz val="14.0"/>
        <u/>
      </rPr>
      <t xml:space="preserve"> </t>
    </r>
    <r>
      <rPr>
        <rFont val="Arial"/>
        <b val="0"/>
        <color rgb="FF000000"/>
        <sz val="14.0"/>
        <u/>
      </rPr>
      <t>não altere as células da cor CINZA</t>
    </r>
    <r>
      <rPr>
        <rFont val="Arial"/>
        <b/>
        <color rgb="FF000000"/>
        <sz val="14.0"/>
        <u/>
      </rPr>
      <t>;</t>
    </r>
  </si>
  <si>
    <t>Busque as informações em suas corretoras e/ou bancos.</t>
  </si>
  <si>
    <t>A planilha serve como BASE para calcular o retorno de suas aplicações financeiras.  Você pode fazer modificações se desejar.</t>
  </si>
  <si>
    <t>IMPORTANTE: leia as instruções de uso da planilha.</t>
  </si>
  <si>
    <t>MES A MES</t>
  </si>
  <si>
    <t>DATA</t>
  </si>
  <si>
    <t>01/21</t>
  </si>
  <si>
    <t>02/21</t>
  </si>
  <si>
    <t>03/21</t>
  </si>
  <si>
    <t>04/21</t>
  </si>
  <si>
    <t>05/21</t>
  </si>
  <si>
    <t>06/21</t>
  </si>
  <si>
    <t>07/21</t>
  </si>
  <si>
    <t>08/21</t>
  </si>
  <si>
    <t>10/21</t>
  </si>
  <si>
    <t>BENCHMARK IBOV</t>
  </si>
  <si>
    <t>CARTEIRA NASSER FAMILY</t>
  </si>
  <si>
    <t>BenchMarket Acumulado</t>
  </si>
  <si>
    <t>C.N.F. mensal</t>
  </si>
  <si>
    <t>IBOV</t>
  </si>
  <si>
    <t>C.N.M.</t>
  </si>
  <si>
    <t>CDI - DI</t>
  </si>
  <si>
    <t>01/24</t>
  </si>
  <si>
    <t>02/24</t>
  </si>
  <si>
    <t>03/24</t>
  </si>
  <si>
    <t>04/24</t>
  </si>
  <si>
    <t>05/24</t>
  </si>
  <si>
    <t>06/24</t>
  </si>
  <si>
    <t>07/24</t>
  </si>
  <si>
    <t>08/24</t>
  </si>
  <si>
    <t>09/24</t>
  </si>
  <si>
    <t>10/24</t>
  </si>
  <si>
    <t>11/24</t>
  </si>
  <si>
    <t>12/24</t>
  </si>
  <si>
    <t>ANALISE % de Alocação da Carteira "Nasser Family"p/ Produto Financeiro (01/2024)</t>
  </si>
  <si>
    <t>ALOCAÇÃO % COMPACTA</t>
  </si>
  <si>
    <t>CAIXA</t>
  </si>
  <si>
    <t>IPCA +</t>
  </si>
  <si>
    <t>TESOURO IPCA+2035</t>
  </si>
  <si>
    <t>DEBENTURE</t>
  </si>
  <si>
    <t>CRI CRA</t>
  </si>
  <si>
    <t>LCA</t>
  </si>
  <si>
    <t>TESOURO SELIC + LFTS11</t>
  </si>
  <si>
    <t>RENDA FIXA</t>
  </si>
  <si>
    <t>MOEDAS</t>
  </si>
  <si>
    <t>GOLD+$$</t>
  </si>
  <si>
    <t>GOLD+$</t>
  </si>
  <si>
    <t>FUNDO DI</t>
  </si>
  <si>
    <t>CDB DI</t>
  </si>
  <si>
    <t>RENDA VARIAVEL</t>
  </si>
  <si>
    <t>Renda Variavel</t>
  </si>
  <si>
    <t>Total da Carteira Nasser Family ==&gt;</t>
  </si>
  <si>
    <t>ANALISE % Alocação da Carteira "Nasser Family" RENDA VARIAVEL(01/2024)</t>
  </si>
  <si>
    <t>% Renda Variavel Alocadas por Setor</t>
  </si>
  <si>
    <t xml:space="preserve">IRON ORE </t>
  </si>
  <si>
    <t xml:space="preserve">SOJA </t>
  </si>
  <si>
    <t>Electric Vehicle</t>
  </si>
  <si>
    <t>MELI</t>
  </si>
  <si>
    <t>LITHIUM</t>
  </si>
  <si>
    <t>ENERGIA</t>
  </si>
  <si>
    <t>CELULOSE</t>
  </si>
  <si>
    <t>Saude</t>
  </si>
  <si>
    <t>AURA</t>
  </si>
  <si>
    <t xml:space="preserve">AMD </t>
  </si>
  <si>
    <t>APPLE</t>
  </si>
  <si>
    <t>INTEL</t>
  </si>
  <si>
    <t>WEGE</t>
  </si>
  <si>
    <t>Mês</t>
  </si>
  <si>
    <t>Descrição</t>
  </si>
  <si>
    <t>Tesouro Alexa</t>
  </si>
  <si>
    <t>Tesouro Nasser</t>
  </si>
  <si>
    <t>SALDOS</t>
  </si>
  <si>
    <t>LFTS11 BTG ALEXA</t>
  </si>
  <si>
    <t>FUNDO BTG DIGITAL SELIC FIRF</t>
  </si>
  <si>
    <t>CDB NU NASSER</t>
  </si>
  <si>
    <t>BB FUNDO-RF LP HIGH</t>
  </si>
  <si>
    <t>FUNDO BTG CDB PLUS FIRF CRPR</t>
  </si>
  <si>
    <t xml:space="preserve">CDB - SANTANDER </t>
  </si>
  <si>
    <t>MOEDAS - WISE</t>
  </si>
  <si>
    <t>GOLD + CASH</t>
  </si>
  <si>
    <t>INTEL NASSER - ITLC34</t>
  </si>
  <si>
    <t>CRI OPEA IPCA+6,63%2040 BTG</t>
  </si>
  <si>
    <t>DEBENTURE IGUA RIO IRJS15 IPCA+7,60%</t>
  </si>
  <si>
    <t>TESOURO ALEXA IPCA+ 2029</t>
  </si>
  <si>
    <t>AURA33 NASSER BTG</t>
  </si>
  <si>
    <t>LFT-S11 BTG NASSER</t>
  </si>
  <si>
    <t>AAPL34 BTG NASSER</t>
  </si>
  <si>
    <t>TSLA34 - BTG NASSER</t>
  </si>
  <si>
    <t>MELI34 BTG NASSER</t>
  </si>
  <si>
    <t>CMIN3 NASSER BTG</t>
  </si>
  <si>
    <t>A1MD34 AMD BTG ALEXA</t>
  </si>
  <si>
    <t>ASML34 BTG NASSER</t>
  </si>
  <si>
    <t>VALE3 NASSER  BTG</t>
  </si>
  <si>
    <t>HAPV3 HAPVIDA BTG ALEXA</t>
  </si>
  <si>
    <t>WEGE3 - BTG  NASSER</t>
  </si>
  <si>
    <t>AMD A1MD34 BTG NASSER</t>
  </si>
  <si>
    <t>MELI34 BTG ALEXA</t>
  </si>
  <si>
    <t>SIGMA BTG ALEXA</t>
  </si>
  <si>
    <t>TESLA  ALEXA  BTG</t>
  </si>
  <si>
    <t>AAPL34 ALEXA BTG</t>
  </si>
  <si>
    <t>ITLC34  ALEXA BTG</t>
  </si>
  <si>
    <t>Patrimônio</t>
  </si>
  <si>
    <t>@</t>
  </si>
  <si>
    <t>Valor em 31/12/2024</t>
  </si>
  <si>
    <t xml:space="preserve"> </t>
  </si>
  <si>
    <t>Investimento (+)</t>
  </si>
  <si>
    <t>Resgate (-)</t>
  </si>
  <si>
    <t>Rebecimento de proventos (-)</t>
  </si>
  <si>
    <t>Valor final no mês</t>
  </si>
  <si>
    <t>"Nasser Family BTG" Investimentos 2026</t>
  </si>
  <si>
    <t>Rentabilidade (ao mês)</t>
  </si>
  <si>
    <t>Não mexer</t>
  </si>
  <si>
    <t>Ativo/PL</t>
  </si>
  <si>
    <t>Valor-base</t>
  </si>
  <si>
    <t>QUADRO-RESUMO</t>
  </si>
  <si>
    <t>Valor da carteira</t>
  </si>
  <si>
    <t>Rendimento (no ano)</t>
  </si>
  <si>
    <t>Carteira "Nasser Family" BTG Investimentos</t>
  </si>
  <si>
    <t>Evolução do retorno da carteira (mês a mês)</t>
  </si>
  <si>
    <t>Retorno acumulado da carteira</t>
  </si>
  <si>
    <t>Ativo/PL do último mês preenchido</t>
  </si>
  <si>
    <t/>
  </si>
  <si>
    <t>ANALISE % de Alocação da Carteira "Nasser Family"p/ Produto Financeiro (02/2024)</t>
  </si>
  <si>
    <t>GOLD + $$</t>
  </si>
  <si>
    <t>R.V.</t>
  </si>
  <si>
    <t>ANALISE % Alocação da Carteira "Nasser Family" RENDA VARIAVEL(02/2024)</t>
  </si>
  <si>
    <t>ANALISE % de Alocação da Carteira "Nasser Family"p/ Produto Financeiro (04/2024)</t>
  </si>
  <si>
    <t>TESOURO IPCA+2029</t>
  </si>
  <si>
    <t>DEBENTURE IPCA+7,60%</t>
  </si>
  <si>
    <t>$$</t>
  </si>
  <si>
    <t>GOLD + $$$</t>
  </si>
  <si>
    <t>ANALISE % Alocação da Carteira "Nasser Family" RENDA VARIAVEL(04/2024)</t>
  </si>
  <si>
    <t>Tec.NVIDIA</t>
  </si>
  <si>
    <t>industria BEBIDAS</t>
  </si>
  <si>
    <t>Comodites_GOLD</t>
  </si>
  <si>
    <t>ASML</t>
  </si>
  <si>
    <t>CARROCERIAS ONIBUS</t>
  </si>
  <si>
    <t>ANALISE % de Alocação da Carteira "Nasser Family"p/ Produto Financeiro (03/2024)</t>
  </si>
  <si>
    <t>ANALISE % Alocação da Carteira "Nasser Family" RENDA VARIAVEL(03/2024)</t>
  </si>
  <si>
    <t xml:space="preserve">Comodites_IRON ORE </t>
  </si>
  <si>
    <t>ANALISE % de Alocação da Carteira "Nasser Family"p/ Produto Financeiro (05/2023)</t>
  </si>
  <si>
    <t xml:space="preserve">Renda Variavel </t>
  </si>
  <si>
    <t>ANALISE % Alocação da Carteira "Nasser Family" RENDA VARIAVEL(05/2023)</t>
  </si>
  <si>
    <t>CC</t>
  </si>
  <si>
    <t>FN</t>
  </si>
  <si>
    <t>CM</t>
  </si>
  <si>
    <t>SD</t>
  </si>
  <si>
    <t>FINANCEIRO</t>
  </si>
  <si>
    <t>GD</t>
  </si>
  <si>
    <t>EN</t>
  </si>
  <si>
    <t>VR</t>
  </si>
  <si>
    <t>TC</t>
  </si>
  <si>
    <t>SN</t>
  </si>
  <si>
    <t>ANALISE % de Alocação da Carteira "Nasser Family"p/ Produto Financeiro (06/2023)</t>
  </si>
  <si>
    <t>ANALISE % Alocação da Carteira "Nasser Family" RENDA VARIAVEL(06/2023)</t>
  </si>
  <si>
    <t>ANALISE % de Alocação da Carteira "Nasser Family"p/ Produto Financeiro (07/2023)</t>
  </si>
  <si>
    <t>TD IPCA+2029</t>
  </si>
  <si>
    <t>FUNDOS</t>
  </si>
  <si>
    <t>TD SELIC+LFTS11</t>
  </si>
  <si>
    <t>ANALISE % Alocação da Carteira "Nasser Family" RENDA VARIAVEL(07/2023)</t>
  </si>
  <si>
    <t>ANALISE % de Alocação da Carteira "Nasser Family"p/ Produto Financeiro (08/2023)</t>
  </si>
  <si>
    <t>ANALISE % Alocação da Carteira "Nasser Family"RENDA VARIAVEL(08/2023)</t>
  </si>
  <si>
    <t>ANALISE % de Alocação da Carteira "Nasser Family"p/ Produto Financeiro (09/2023)</t>
  </si>
  <si>
    <t>RENDA FIXA CDB DI</t>
  </si>
  <si>
    <t>ANALISE % Alocação da Carteira "Nasser Family" RENDA VARIAVEL(09/2023)</t>
  </si>
  <si>
    <t>ANALISE % de Alocação da Carteira "Nasser Family"p/ Produto Financeiro (10/2025)</t>
  </si>
  <si>
    <t xml:space="preserve">R. V. </t>
  </si>
  <si>
    <t>ANALISE % Alocação da Carteira "Nasser Family" RENDA VARIAVEL(10/2023)</t>
  </si>
  <si>
    <t>CONSUMO</t>
  </si>
  <si>
    <t>AURA_GOLD</t>
  </si>
  <si>
    <t>ANALISE % de Alocação da Carteira "Nasser Family"p/ Produto Financeiro (11/2025)</t>
  </si>
  <si>
    <t>ANALISE % Alocação da Carteira "Nasser Family" RENDA VARIAVEL(11/2025)</t>
  </si>
  <si>
    <t>ANALISE % de Alocação da Carteira "Nasser Family"p/ Produto Financeiro (12/2025)</t>
  </si>
  <si>
    <t>ANALISE % Alocação da Carteira "Nasser Family" RENDA VARIAVEL(12/2025)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</si>
</sst>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d/mm/yyyy"/>
    <numFmt numFmtId="165" formatCode="R$ #,##0.00"/>
    <numFmt numFmtId="166" formatCode="mm/yyyy"/>
    <numFmt numFmtId="167" formatCode="dd/MM/yyyy"/>
    <numFmt numFmtId="168" formatCode="[$R$ -416]#,##0.00"/>
    <numFmt numFmtId="169" formatCode="_(&quot;R$&quot;* #,##0.00_);_(&quot;R$&quot;* \(#,##0.00\);_(&quot;R$&quot;* &quot;-&quot;??_);_(@_)"/>
    <numFmt numFmtId="170" formatCode="#,##0.00;(#,##0.00)"/>
  </numFmts>
  <fonts count="48">
    <font>
      <sz val="12.0"/>
      <color rgb="FF000000"/>
      <name val="Calibri"/>
      <scheme val="minor"/>
    </font>
    <font>
      <sz val="8.0"/>
      <color rgb="FF000000"/>
      <name val="Arial"/>
    </font>
    <font>
      <b/>
      <u/>
      <sz val="16.0"/>
      <color rgb="FF595959"/>
      <name val="Arial"/>
    </font>
    <font>
      <b/>
      <i/>
      <sz val="20.0"/>
      <color rgb="FF000000"/>
      <name val="Arial"/>
    </font>
    <font>
      <b/>
      <u/>
      <sz val="16.0"/>
      <color rgb="FF000000"/>
      <name val="Arial"/>
    </font>
    <font>
      <b/>
      <u/>
      <sz val="16.0"/>
      <color rgb="FF000000"/>
      <name val="Georgia"/>
    </font>
    <font/>
    <font>
      <sz val="12.0"/>
      <color rgb="FF000000"/>
      <name val="Calibri"/>
    </font>
    <font>
      <b/>
      <sz val="14.0"/>
      <color rgb="FFFFFFFF"/>
      <name val="Arial"/>
    </font>
    <font>
      <b/>
      <u/>
      <sz val="14.0"/>
      <color rgb="FF000000"/>
      <name val="Arial"/>
    </font>
    <font>
      <sz val="14.0"/>
      <color rgb="FF000000"/>
      <name val="Arial"/>
    </font>
    <font>
      <b/>
      <u/>
      <sz val="18.0"/>
      <color rgb="FF000000"/>
      <name val="Arial"/>
    </font>
    <font>
      <u/>
      <sz val="14.0"/>
      <color rgb="FF000000"/>
      <name val="Arial"/>
    </font>
    <font>
      <b/>
      <u/>
      <sz val="18.0"/>
      <color rgb="FFC00000"/>
      <name val="Arial"/>
    </font>
    <font>
      <b/>
      <sz val="14.0"/>
      <color rgb="FF000000"/>
      <name val="Arial"/>
    </font>
    <font>
      <color theme="1"/>
      <name val="Calibri"/>
      <scheme val="minor"/>
    </font>
    <font>
      <b/>
      <color theme="1"/>
      <name val="Calibri"/>
      <scheme val="minor"/>
    </font>
    <font>
      <color theme="1"/>
      <name val="Calibri"/>
    </font>
    <font>
      <b/>
      <sz val="11.0"/>
      <color rgb="FF222222"/>
      <name val="Arial"/>
    </font>
    <font>
      <sz val="12.0"/>
      <color theme="1"/>
      <name val="Calibri"/>
    </font>
    <font>
      <sz val="6.0"/>
      <color rgb="FF000000"/>
      <name val="Calibri"/>
    </font>
    <font>
      <sz val="7.0"/>
      <color theme="1"/>
      <name val="Calibri"/>
    </font>
    <font>
      <b/>
      <color theme="1"/>
      <name val="Calibri"/>
    </font>
    <font>
      <sz val="10.0"/>
      <color rgb="FF000000"/>
      <name val="Arial"/>
    </font>
    <font>
      <b/>
      <sz val="11.0"/>
      <color rgb="FF1F1F1F"/>
      <name val="Calibri"/>
    </font>
    <font>
      <b/>
      <sz val="12.0"/>
      <color rgb="FFFFFFFF"/>
      <name val="Calibri"/>
    </font>
    <font>
      <b/>
      <u/>
      <sz val="12.0"/>
      <color rgb="FFFFFFFF"/>
      <name val="Calibri"/>
    </font>
    <font>
      <b/>
      <sz val="11.0"/>
      <color rgb="FFFFFFFF"/>
      <name val="Calibri"/>
    </font>
    <font>
      <b/>
      <sz val="6.0"/>
      <color rgb="FFFFFFFF"/>
      <name val="Calibri"/>
    </font>
    <font>
      <b/>
      <sz val="12.0"/>
      <color rgb="FF000000"/>
      <name val="Calibri"/>
    </font>
    <font>
      <b/>
      <sz val="12.0"/>
      <color theme="1"/>
      <name val="Calibri"/>
    </font>
    <font>
      <b/>
      <sz val="6.0"/>
      <color rgb="FF000000"/>
      <name val="Calibri"/>
    </font>
    <font>
      <sz val="12.0"/>
      <color rgb="FF548135"/>
      <name val="Calibri"/>
    </font>
    <font>
      <sz val="12.0"/>
      <color rgb="FFC55A11"/>
      <name val="Calibri"/>
    </font>
    <font>
      <sz val="12.0"/>
      <color rgb="FF2E75B5"/>
      <name val="Calibri"/>
    </font>
    <font>
      <b/>
      <i/>
      <sz val="12.0"/>
      <color rgb="FF000000"/>
      <name val="Arial"/>
    </font>
    <font>
      <b/>
      <i/>
      <sz val="18.0"/>
      <color rgb="FF000000"/>
      <name val="Arial"/>
    </font>
    <font>
      <b/>
      <sz val="4.0"/>
      <color rgb="FF000000"/>
      <name val="Calibri"/>
    </font>
    <font>
      <sz val="5.0"/>
      <color rgb="FF000000"/>
      <name val="Calibri"/>
    </font>
    <font>
      <sz val="4.0"/>
      <color rgb="FF000000"/>
      <name val="Calibri"/>
    </font>
    <font>
      <sz val="11.0"/>
      <color rgb="FF000000"/>
      <name val="Calibri"/>
    </font>
    <font>
      <b/>
      <i/>
      <sz val="10.0"/>
      <color rgb="FF000000"/>
      <name val="Calibri"/>
    </font>
    <font>
      <b/>
      <i/>
      <sz val="9.0"/>
      <color rgb="FF000000"/>
      <name val="Calibri"/>
    </font>
    <font>
      <sz val="10.0"/>
      <color rgb="FF000000"/>
      <name val="Inconsolata"/>
    </font>
    <font>
      <sz val="6.0"/>
      <color theme="1"/>
      <name val="Calibri"/>
    </font>
    <font>
      <sz val="7.0"/>
      <color rgb="FF000000"/>
      <name val="Calibri"/>
    </font>
    <font>
      <b/>
      <sz val="10.0"/>
      <color rgb="FF222222"/>
      <name val="Arial"/>
    </font>
    <font>
      <sz val="5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00000"/>
        <bgColor rgb="FFC00000"/>
      </patternFill>
    </fill>
    <fill>
      <patternFill patternType="solid">
        <fgColor rgb="FFE7E6E6"/>
        <bgColor rgb="FFE7E6E6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</fills>
  <borders count="82">
    <border/>
    <border>
      <left/>
      <right/>
      <top/>
      <bottom/>
    </border>
    <border>
      <left/>
      <top/>
      <bottom/>
    </border>
    <border>
      <top/>
      <bottom/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/>
      <right style="thin">
        <color rgb="FF000000"/>
      </right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/>
      <right/>
      <bottom/>
    </border>
    <border>
      <left/>
      <right style="thin">
        <color rgb="FF000000"/>
      </right>
      <bottom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/>
      <bottom style="thin">
        <color rgb="FF000000"/>
      </bottom>
    </border>
    <border>
      <bottom/>
    </border>
    <border>
      <left/>
      <top/>
    </border>
    <border>
      <top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/>
    </border>
    <border>
      <left/>
      <right/>
      <top/>
    </border>
    <border>
      <left/>
      <right/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right/>
      <top/>
    </border>
    <border>
      <right/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medium">
        <color rgb="FF000000"/>
      </right>
      <top/>
      <bottom/>
    </border>
    <border>
      <right/>
      <bottom/>
    </border>
    <border>
      <left style="thick">
        <color rgb="FF000000"/>
      </left>
    </border>
    <border>
      <right style="thick">
        <color rgb="FF000000"/>
      </right>
    </border>
  </borders>
  <cellStyleXfs count="1">
    <xf borderId="0" fillId="0" fontId="0" numFmtId="0" applyAlignment="1" applyFont="1"/>
  </cellStyleXfs>
  <cellXfs count="28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1" fillId="2" fontId="3" numFmtId="0" xfId="0" applyAlignment="1" applyBorder="1" applyFont="1">
      <alignment horizontal="center" vertical="center"/>
    </xf>
    <xf borderId="1" fillId="2" fontId="4" numFmtId="0" xfId="0" applyBorder="1" applyFont="1"/>
    <xf borderId="2" fillId="2" fontId="5" numFmtId="0" xfId="0" applyAlignment="1" applyBorder="1" applyFont="1">
      <alignment horizontal="left" vertical="center"/>
    </xf>
    <xf borderId="3" fillId="0" fontId="6" numFmtId="0" xfId="0" applyBorder="1" applyFont="1"/>
    <xf borderId="1" fillId="2" fontId="7" numFmtId="0" xfId="0" applyBorder="1" applyFont="1"/>
    <xf borderId="2" fillId="3" fontId="8" numFmtId="0" xfId="0" applyAlignment="1" applyBorder="1" applyFill="1" applyFont="1">
      <alignment horizontal="center"/>
    </xf>
    <xf borderId="1" fillId="3" fontId="7" numFmtId="0" xfId="0" applyBorder="1" applyFont="1"/>
    <xf borderId="1" fillId="2" fontId="9" numFmtId="0" xfId="0" applyBorder="1" applyFont="1"/>
    <xf borderId="1" fillId="2" fontId="10" numFmtId="0" xfId="0" applyBorder="1" applyFont="1"/>
    <xf borderId="1" fillId="2" fontId="11" numFmtId="0" xfId="0" applyBorder="1" applyFont="1"/>
    <xf borderId="1" fillId="2" fontId="12" numFmtId="0" xfId="0" applyBorder="1" applyFont="1"/>
    <xf borderId="0" fillId="0" fontId="10" numFmtId="0" xfId="0" applyFont="1"/>
    <xf borderId="0" fillId="0" fontId="7" numFmtId="0" xfId="0" applyFont="1"/>
    <xf borderId="1" fillId="2" fontId="13" numFmtId="0" xfId="0" applyBorder="1" applyFont="1"/>
    <xf borderId="1" fillId="2" fontId="14" numFmtId="0" xfId="0" applyBorder="1" applyFont="1"/>
    <xf borderId="0" fillId="0" fontId="15" numFmtId="164" xfId="0" applyAlignment="1" applyFont="1" applyNumberFormat="1">
      <alignment readingOrder="0"/>
    </xf>
    <xf borderId="0" fillId="0" fontId="16" numFmtId="0" xfId="0" applyAlignment="1" applyFont="1">
      <alignment readingOrder="0"/>
    </xf>
    <xf borderId="0" fillId="0" fontId="16" numFmtId="165" xfId="0" applyAlignment="1" applyFont="1" applyNumberFormat="1">
      <alignment readingOrder="0"/>
    </xf>
    <xf borderId="0" fillId="0" fontId="17" numFmtId="166" xfId="0" applyFont="1" applyNumberFormat="1"/>
    <xf borderId="0" fillId="0" fontId="17" numFmtId="4" xfId="0" applyFont="1" applyNumberFormat="1"/>
    <xf borderId="0" fillId="0" fontId="17" numFmtId="0" xfId="0" applyFont="1"/>
    <xf borderId="0" fillId="0" fontId="17" numFmtId="10" xfId="0" applyFont="1" applyNumberFormat="1"/>
    <xf borderId="4" fillId="0" fontId="17" numFmtId="0" xfId="0" applyBorder="1" applyFont="1"/>
    <xf borderId="5" fillId="0" fontId="17" numFmtId="0" xfId="0" applyBorder="1" applyFont="1"/>
    <xf borderId="6" fillId="0" fontId="17" numFmtId="4" xfId="0" applyBorder="1" applyFont="1" applyNumberFormat="1"/>
    <xf borderId="7" fillId="0" fontId="17" numFmtId="0" xfId="0" applyBorder="1" applyFont="1"/>
    <xf borderId="8" fillId="0" fontId="17" numFmtId="0" xfId="0" applyBorder="1" applyFont="1"/>
    <xf borderId="9" fillId="0" fontId="17" numFmtId="4" xfId="0" applyBorder="1" applyFont="1" applyNumberFormat="1"/>
    <xf borderId="10" fillId="0" fontId="17" numFmtId="167" xfId="0" applyBorder="1" applyFont="1" applyNumberFormat="1"/>
    <xf borderId="11" fillId="0" fontId="17" numFmtId="10" xfId="0" applyAlignment="1" applyBorder="1" applyFont="1" applyNumberFormat="1">
      <alignment readingOrder="0"/>
    </xf>
    <xf borderId="12" fillId="0" fontId="17" numFmtId="4" xfId="0" applyBorder="1" applyFont="1" applyNumberFormat="1"/>
    <xf borderId="0" fillId="0" fontId="17" numFmtId="10" xfId="0" applyAlignment="1" applyFont="1" applyNumberFormat="1">
      <alignment readingOrder="0"/>
    </xf>
    <xf borderId="13" fillId="0" fontId="17" numFmtId="167" xfId="0" applyBorder="1" applyFont="1" applyNumberFormat="1"/>
    <xf borderId="14" fillId="0" fontId="17" numFmtId="4" xfId="0" applyBorder="1" applyFont="1" applyNumberFormat="1"/>
    <xf borderId="15" fillId="2" fontId="18" numFmtId="0" xfId="0" applyBorder="1" applyFont="1"/>
    <xf borderId="16" fillId="0" fontId="17" numFmtId="0" xfId="0" applyBorder="1" applyFont="1"/>
    <xf borderId="17" fillId="0" fontId="17" numFmtId="0" xfId="0" applyBorder="1" applyFont="1"/>
    <xf borderId="18" fillId="0" fontId="17" numFmtId="0" xfId="0" applyBorder="1" applyFont="1"/>
    <xf borderId="19" fillId="0" fontId="7" numFmtId="0" xfId="0" applyBorder="1" applyFont="1"/>
    <xf borderId="20" fillId="0" fontId="7" numFmtId="10" xfId="0" applyBorder="1" applyFont="1" applyNumberFormat="1"/>
    <xf borderId="21" fillId="0" fontId="17" numFmtId="0" xfId="0" applyBorder="1" applyFont="1"/>
    <xf borderId="19" fillId="0" fontId="19" numFmtId="168" xfId="0" applyAlignment="1" applyBorder="1" applyFont="1" applyNumberFormat="1">
      <alignment vertical="bottom"/>
    </xf>
    <xf borderId="0" fillId="0" fontId="19" numFmtId="169" xfId="0" applyAlignment="1" applyFont="1" applyNumberFormat="1">
      <alignment horizontal="right" vertical="bottom"/>
    </xf>
    <xf borderId="21" fillId="0" fontId="17" numFmtId="169" xfId="0" applyBorder="1" applyFont="1" applyNumberFormat="1"/>
    <xf borderId="21" fillId="0" fontId="17" numFmtId="10" xfId="0" applyBorder="1" applyFont="1" applyNumberFormat="1"/>
    <xf borderId="21" fillId="0" fontId="17" numFmtId="0" xfId="0" applyAlignment="1" applyBorder="1" applyFont="1">
      <alignment readingOrder="0"/>
    </xf>
    <xf borderId="22" fillId="0" fontId="7" numFmtId="0" xfId="0" applyBorder="1" applyFont="1"/>
    <xf borderId="23" fillId="2" fontId="7" numFmtId="0" xfId="0" applyBorder="1" applyFont="1"/>
    <xf borderId="24" fillId="2" fontId="20" numFmtId="169" xfId="0" applyBorder="1" applyFont="1" applyNumberFormat="1"/>
    <xf borderId="25" fillId="0" fontId="17" numFmtId="0" xfId="0" applyBorder="1" applyFont="1"/>
    <xf borderId="25" fillId="0" fontId="21" numFmtId="169" xfId="0" applyBorder="1" applyFont="1" applyNumberFormat="1"/>
    <xf borderId="25" fillId="0" fontId="22" numFmtId="10" xfId="0" applyBorder="1" applyFont="1" applyNumberFormat="1"/>
    <xf borderId="0" fillId="0" fontId="7" numFmtId="10" xfId="0" applyFont="1" applyNumberFormat="1"/>
    <xf borderId="16" fillId="0" fontId="7" numFmtId="10" xfId="0" applyBorder="1" applyFont="1" applyNumberFormat="1"/>
    <xf borderId="16" fillId="0" fontId="7" numFmtId="0" xfId="0" applyBorder="1" applyFont="1"/>
    <xf borderId="17" fillId="0" fontId="7" numFmtId="0" xfId="0" applyBorder="1" applyFont="1"/>
    <xf borderId="19" fillId="0" fontId="17" numFmtId="0" xfId="0" applyBorder="1" applyFont="1"/>
    <xf borderId="0" fillId="2" fontId="23" numFmtId="0" xfId="0" applyFont="1"/>
    <xf borderId="20" fillId="0" fontId="7" numFmtId="0" xfId="0" applyBorder="1" applyFont="1"/>
    <xf borderId="0" fillId="2" fontId="24" numFmtId="0" xfId="0" applyAlignment="1" applyFont="1">
      <alignment vertical="bottom"/>
    </xf>
    <xf borderId="0" fillId="0" fontId="19" numFmtId="0" xfId="0" applyAlignment="1" applyFont="1">
      <alignment vertical="bottom"/>
    </xf>
    <xf borderId="0" fillId="0" fontId="19" numFmtId="0" xfId="0" applyAlignment="1" applyFont="1">
      <alignment readingOrder="0" vertical="bottom"/>
    </xf>
    <xf borderId="20" fillId="0" fontId="7" numFmtId="170" xfId="0" applyBorder="1" applyFont="1" applyNumberFormat="1"/>
    <xf borderId="22" fillId="0" fontId="7" numFmtId="169" xfId="0" applyBorder="1" applyFont="1" applyNumberFormat="1"/>
    <xf borderId="23" fillId="0" fontId="7" numFmtId="10" xfId="0" applyBorder="1" applyFont="1" applyNumberFormat="1"/>
    <xf borderId="23" fillId="0" fontId="7" numFmtId="0" xfId="0" applyBorder="1" applyFont="1"/>
    <xf borderId="24" fillId="0" fontId="7" numFmtId="0" xfId="0" applyBorder="1" applyFont="1"/>
    <xf borderId="26" fillId="3" fontId="25" numFmtId="0" xfId="0" applyAlignment="1" applyBorder="1" applyFont="1">
      <alignment horizontal="center" vertical="center"/>
    </xf>
    <xf borderId="27" fillId="3" fontId="25" numFmtId="0" xfId="0" applyAlignment="1" applyBorder="1" applyFont="1">
      <alignment horizontal="center" shrinkToFit="0" vertical="center" wrapText="1"/>
    </xf>
    <xf borderId="28" fillId="3" fontId="25" numFmtId="0" xfId="0" applyAlignment="1" applyBorder="1" applyFont="1">
      <alignment horizontal="center" shrinkToFit="0" vertical="center" wrapText="1"/>
    </xf>
    <xf borderId="28" fillId="3" fontId="25" numFmtId="0" xfId="0" applyAlignment="1" applyBorder="1" applyFont="1">
      <alignment horizontal="center" readingOrder="0" shrinkToFit="0" vertical="center" wrapText="1"/>
    </xf>
    <xf borderId="28" fillId="3" fontId="26" numFmtId="0" xfId="0" applyAlignment="1" applyBorder="1" applyFont="1">
      <alignment horizontal="center" shrinkToFit="0" vertical="center" wrapText="1"/>
    </xf>
    <xf borderId="28" fillId="3" fontId="27" numFmtId="0" xfId="0" applyAlignment="1" applyBorder="1" applyFont="1">
      <alignment horizontal="center" shrinkToFit="0" vertical="center" wrapText="1"/>
    </xf>
    <xf borderId="29" fillId="3" fontId="28" numFmtId="0" xfId="0" applyAlignment="1" applyBorder="1" applyFont="1">
      <alignment horizontal="center" shrinkToFit="0" vertical="center" wrapText="1"/>
    </xf>
    <xf borderId="0" fillId="0" fontId="20" numFmtId="168" xfId="0" applyFont="1" applyNumberFormat="1"/>
    <xf borderId="30" fillId="3" fontId="25" numFmtId="17" xfId="0" applyAlignment="1" applyBorder="1" applyFont="1" applyNumberFormat="1">
      <alignment horizontal="center" shrinkToFit="0" vertical="center" wrapText="1"/>
    </xf>
    <xf borderId="31" fillId="4" fontId="29" numFmtId="0" xfId="0" applyAlignment="1" applyBorder="1" applyFill="1" applyFont="1">
      <alignment horizontal="center" vertical="center"/>
    </xf>
    <xf borderId="32" fillId="2" fontId="30" numFmtId="169" xfId="0" applyAlignment="1" applyBorder="1" applyFont="1" applyNumberFormat="1">
      <alignment horizontal="center"/>
    </xf>
    <xf borderId="33" fillId="4" fontId="31" numFmtId="169" xfId="0" applyAlignment="1" applyBorder="1" applyFont="1" applyNumberFormat="1">
      <alignment vertical="center"/>
    </xf>
    <xf borderId="34" fillId="2" fontId="31" numFmtId="168" xfId="0" applyBorder="1" applyFont="1" applyNumberFormat="1"/>
    <xf borderId="35" fillId="2" fontId="29" numFmtId="10" xfId="0" applyBorder="1" applyFont="1" applyNumberFormat="1"/>
    <xf borderId="36" fillId="2" fontId="29" numFmtId="0" xfId="0" applyBorder="1" applyFont="1"/>
    <xf borderId="1" fillId="2" fontId="29" numFmtId="0" xfId="0" applyBorder="1" applyFont="1"/>
    <xf borderId="1" fillId="2" fontId="29" numFmtId="166" xfId="0" applyBorder="1" applyFont="1" applyNumberFormat="1"/>
    <xf borderId="0" fillId="2" fontId="29" numFmtId="166" xfId="0" applyFont="1" applyNumberFormat="1"/>
    <xf borderId="12" fillId="0" fontId="6" numFmtId="0" xfId="0" applyBorder="1" applyFont="1"/>
    <xf borderId="32" fillId="4" fontId="32" numFmtId="0" xfId="0" applyAlignment="1" applyBorder="1" applyFont="1">
      <alignment horizontal="center" vertical="center"/>
    </xf>
    <xf borderId="32" fillId="2" fontId="19" numFmtId="169" xfId="0" applyAlignment="1" applyBorder="1" applyFont="1" applyNumberFormat="1">
      <alignment horizontal="center" readingOrder="0"/>
    </xf>
    <xf borderId="37" fillId="4" fontId="31" numFmtId="169" xfId="0" applyAlignment="1" applyBorder="1" applyFont="1" applyNumberFormat="1">
      <alignment horizontal="center" vertical="center"/>
    </xf>
    <xf borderId="38" fillId="2" fontId="20" numFmtId="168" xfId="0" applyBorder="1" applyFont="1" applyNumberFormat="1"/>
    <xf borderId="39" fillId="2" fontId="7" numFmtId="10" xfId="0" applyBorder="1" applyFont="1" applyNumberFormat="1"/>
    <xf borderId="36" fillId="2" fontId="7" numFmtId="0" xfId="0" applyBorder="1" applyFont="1"/>
    <xf borderId="1" fillId="2" fontId="25" numFmtId="164" xfId="0" applyAlignment="1" applyBorder="1" applyFont="1" applyNumberFormat="1">
      <alignment vertical="center"/>
    </xf>
    <xf borderId="1" fillId="2" fontId="29" numFmtId="167" xfId="0" applyAlignment="1" applyBorder="1" applyFont="1" applyNumberFormat="1">
      <alignment horizontal="center" vertical="center"/>
    </xf>
    <xf borderId="0" fillId="2" fontId="29" numFmtId="10" xfId="0" applyAlignment="1" applyFont="1" applyNumberFormat="1">
      <alignment horizontal="center" vertical="center"/>
    </xf>
    <xf borderId="32" fillId="4" fontId="33" numFmtId="0" xfId="0" applyAlignment="1" applyBorder="1" applyFont="1">
      <alignment horizontal="center" vertical="center"/>
    </xf>
    <xf borderId="0" fillId="2" fontId="7" numFmtId="166" xfId="0" applyFont="1" applyNumberFormat="1"/>
    <xf borderId="32" fillId="4" fontId="34" numFmtId="0" xfId="0" applyAlignment="1" applyBorder="1" applyFont="1">
      <alignment horizontal="center" vertical="center"/>
    </xf>
    <xf borderId="40" fillId="0" fontId="20" numFmtId="168" xfId="0" applyAlignment="1" applyBorder="1" applyFont="1" applyNumberFormat="1">
      <alignment vertical="center"/>
    </xf>
    <xf borderId="41" fillId="0" fontId="7" numFmtId="10" xfId="0" applyAlignment="1" applyBorder="1" applyFont="1" applyNumberFormat="1">
      <alignment vertical="center"/>
    </xf>
    <xf borderId="0" fillId="0" fontId="7" numFmtId="0" xfId="0" applyAlignment="1" applyFont="1">
      <alignment vertical="center"/>
    </xf>
    <xf borderId="1" fillId="2" fontId="35" numFmtId="0" xfId="0" applyAlignment="1" applyBorder="1" applyFont="1">
      <alignment horizontal="center" vertical="center"/>
    </xf>
    <xf borderId="0" fillId="0" fontId="7" numFmtId="166" xfId="0" applyAlignment="1" applyFont="1" applyNumberFormat="1">
      <alignment vertical="center"/>
    </xf>
    <xf borderId="32" fillId="4" fontId="7" numFmtId="0" xfId="0" applyAlignment="1" applyBorder="1" applyFont="1">
      <alignment horizontal="center" vertical="center"/>
    </xf>
    <xf borderId="37" fillId="4" fontId="31" numFmtId="169" xfId="0" applyAlignment="1" applyBorder="1" applyFont="1" applyNumberFormat="1">
      <alignment vertical="center"/>
    </xf>
    <xf borderId="1" fillId="2" fontId="36" numFmtId="0" xfId="0" applyAlignment="1" applyBorder="1" applyFont="1">
      <alignment horizontal="center" readingOrder="0" vertical="center"/>
    </xf>
    <xf borderId="32" fillId="4" fontId="29" numFmtId="0" xfId="0" applyAlignment="1" applyBorder="1" applyFont="1">
      <alignment horizontal="center" vertical="center"/>
    </xf>
    <xf borderId="32" fillId="4" fontId="29" numFmtId="10" xfId="0" applyAlignment="1" applyBorder="1" applyFont="1" applyNumberFormat="1">
      <alignment horizontal="center" vertical="center"/>
    </xf>
    <xf borderId="32" fillId="5" fontId="29" numFmtId="10" xfId="0" applyAlignment="1" applyBorder="1" applyFill="1" applyFont="1" applyNumberFormat="1">
      <alignment horizontal="center" vertical="center"/>
    </xf>
    <xf borderId="37" fillId="4" fontId="31" numFmtId="10" xfId="0" applyAlignment="1" applyBorder="1" applyFont="1" applyNumberFormat="1">
      <alignment horizontal="center" vertical="center"/>
    </xf>
    <xf borderId="42" fillId="4" fontId="29" numFmtId="0" xfId="0" applyAlignment="1" applyBorder="1" applyFont="1">
      <alignment horizontal="center" vertical="center"/>
    </xf>
    <xf borderId="32" fillId="4" fontId="31" numFmtId="10" xfId="0" applyAlignment="1" applyBorder="1" applyFont="1" applyNumberFormat="1">
      <alignment horizontal="center" vertical="center"/>
    </xf>
    <xf borderId="43" fillId="0" fontId="6" numFmtId="0" xfId="0" applyBorder="1" applyFont="1"/>
    <xf borderId="44" fillId="4" fontId="29" numFmtId="0" xfId="0" applyAlignment="1" applyBorder="1" applyFont="1">
      <alignment horizontal="center" vertical="center"/>
    </xf>
    <xf borderId="44" fillId="4" fontId="29" numFmtId="10" xfId="0" applyAlignment="1" applyBorder="1" applyFont="1" applyNumberFormat="1">
      <alignment horizontal="center" vertical="center"/>
    </xf>
    <xf borderId="45" fillId="4" fontId="31" numFmtId="10" xfId="0" applyAlignment="1" applyBorder="1" applyFont="1" applyNumberFormat="1">
      <alignment horizontal="center" vertical="center"/>
    </xf>
    <xf borderId="46" fillId="0" fontId="20" numFmtId="168" xfId="0" applyAlignment="1" applyBorder="1" applyFont="1" applyNumberFormat="1">
      <alignment vertical="center"/>
    </xf>
    <xf borderId="47" fillId="0" fontId="7" numFmtId="10" xfId="0" applyAlignment="1" applyBorder="1" applyFont="1" applyNumberFormat="1">
      <alignment vertical="center"/>
    </xf>
    <xf borderId="48" fillId="3" fontId="25" numFmtId="17" xfId="0" applyAlignment="1" applyBorder="1" applyFont="1" applyNumberFormat="1">
      <alignment horizontal="center" shrinkToFit="0" vertical="center" wrapText="1"/>
    </xf>
    <xf borderId="49" fillId="4" fontId="29" numFmtId="0" xfId="0" applyAlignment="1" applyBorder="1" applyFont="1">
      <alignment horizontal="center" vertical="center"/>
    </xf>
    <xf borderId="49" fillId="4" fontId="29" numFmtId="169" xfId="0" applyAlignment="1" applyBorder="1" applyFont="1" applyNumberFormat="1">
      <alignment horizontal="center" vertical="center"/>
    </xf>
    <xf borderId="50" fillId="4" fontId="31" numFmtId="169" xfId="0" applyAlignment="1" applyBorder="1" applyFont="1" applyNumberFormat="1">
      <alignment vertical="center"/>
    </xf>
    <xf borderId="51" fillId="2" fontId="20" numFmtId="168" xfId="0" applyAlignment="1" applyBorder="1" applyFont="1" applyNumberFormat="1">
      <alignment vertical="center"/>
    </xf>
    <xf borderId="52" fillId="2" fontId="7" numFmtId="10" xfId="0" applyAlignment="1" applyBorder="1" applyFont="1" applyNumberFormat="1">
      <alignment vertical="center"/>
    </xf>
    <xf borderId="36" fillId="2" fontId="7" numFmtId="0" xfId="0" applyAlignment="1" applyBorder="1" applyFont="1">
      <alignment vertical="center"/>
    </xf>
    <xf borderId="1" fillId="2" fontId="7" numFmtId="0" xfId="0" applyAlignment="1" applyBorder="1" applyFont="1">
      <alignment vertical="center"/>
    </xf>
    <xf borderId="0" fillId="2" fontId="7" numFmtId="0" xfId="0" applyAlignment="1" applyFont="1">
      <alignment vertical="center"/>
    </xf>
    <xf borderId="32" fillId="2" fontId="7" numFmtId="169" xfId="0" applyAlignment="1" applyBorder="1" applyFont="1" applyNumberFormat="1">
      <alignment horizontal="center" vertical="center"/>
    </xf>
    <xf borderId="32" fillId="2" fontId="7" numFmtId="169" xfId="0" applyAlignment="1" applyBorder="1" applyFont="1" applyNumberFormat="1">
      <alignment horizontal="center" readingOrder="0" vertical="center"/>
    </xf>
    <xf borderId="53" fillId="4" fontId="31" numFmtId="169" xfId="0" applyAlignment="1" applyBorder="1" applyFont="1" applyNumberFormat="1">
      <alignment vertical="center"/>
    </xf>
    <xf borderId="1" fillId="2" fontId="20" numFmtId="168" xfId="0" applyAlignment="1" applyBorder="1" applyFont="1" applyNumberFormat="1">
      <alignment vertical="center"/>
    </xf>
    <xf borderId="39" fillId="2" fontId="7" numFmtId="10" xfId="0" applyAlignment="1" applyBorder="1" applyFont="1" applyNumberFormat="1">
      <alignment vertical="center"/>
    </xf>
    <xf borderId="41" fillId="0" fontId="17" numFmtId="10" xfId="0" applyBorder="1" applyFont="1" applyNumberFormat="1"/>
    <xf borderId="0" fillId="0" fontId="20" numFmtId="168" xfId="0" applyAlignment="1" applyFont="1" applyNumberFormat="1">
      <alignment vertical="center"/>
    </xf>
    <xf borderId="53" fillId="4" fontId="31" numFmtId="10" xfId="0" applyAlignment="1" applyBorder="1" applyFont="1" applyNumberFormat="1">
      <alignment horizontal="center" vertical="center"/>
    </xf>
    <xf borderId="42" fillId="4" fontId="29" numFmtId="10" xfId="0" applyAlignment="1" applyBorder="1" applyFont="1" applyNumberFormat="1">
      <alignment horizontal="center" vertical="center"/>
    </xf>
    <xf borderId="42" fillId="4" fontId="31" numFmtId="10" xfId="0" applyAlignment="1" applyBorder="1" applyFont="1" applyNumberFormat="1">
      <alignment horizontal="center" vertical="center"/>
    </xf>
    <xf borderId="54" fillId="4" fontId="31" numFmtId="10" xfId="0" applyAlignment="1" applyBorder="1" applyFont="1" applyNumberFormat="1">
      <alignment horizontal="center" vertical="center"/>
    </xf>
    <xf borderId="55" fillId="4" fontId="31" numFmtId="169" xfId="0" applyAlignment="1" applyBorder="1" applyFont="1" applyNumberFormat="1">
      <alignment vertical="center"/>
    </xf>
    <xf borderId="34" fillId="2" fontId="20" numFmtId="168" xfId="0" applyAlignment="1" applyBorder="1" applyFont="1" applyNumberFormat="1">
      <alignment vertical="center"/>
    </xf>
    <xf borderId="35" fillId="2" fontId="7" numFmtId="10" xfId="0" applyAlignment="1" applyBorder="1" applyFont="1" applyNumberFormat="1">
      <alignment vertical="center"/>
    </xf>
    <xf borderId="56" fillId="2" fontId="7" numFmtId="0" xfId="0" applyAlignment="1" applyBorder="1" applyFont="1">
      <alignment vertical="center"/>
    </xf>
    <xf borderId="31" fillId="2" fontId="7" numFmtId="169" xfId="0" applyAlignment="1" applyBorder="1" applyFont="1" applyNumberFormat="1">
      <alignment horizontal="center" vertical="center"/>
    </xf>
    <xf borderId="38" fillId="2" fontId="20" numFmtId="168" xfId="0" applyAlignment="1" applyBorder="1" applyFont="1" applyNumberFormat="1">
      <alignment vertical="center"/>
    </xf>
    <xf borderId="3" fillId="2" fontId="7" numFmtId="0" xfId="0" applyAlignment="1" applyBorder="1" applyFont="1">
      <alignment vertical="center"/>
    </xf>
    <xf borderId="37" fillId="4" fontId="37" numFmtId="169" xfId="0" applyAlignment="1" applyBorder="1" applyFont="1" applyNumberFormat="1">
      <alignment vertical="center"/>
    </xf>
    <xf borderId="40" fillId="0" fontId="31" numFmtId="168" xfId="0" applyAlignment="1" applyBorder="1" applyFont="1" applyNumberFormat="1">
      <alignment vertical="center"/>
    </xf>
    <xf borderId="55" fillId="4" fontId="37" numFmtId="169" xfId="0" applyAlignment="1" applyBorder="1" applyFont="1" applyNumberFormat="1">
      <alignment vertical="center"/>
    </xf>
    <xf borderId="40" fillId="0" fontId="38" numFmtId="168" xfId="0" applyAlignment="1" applyBorder="1" applyFont="1" applyNumberFormat="1">
      <alignment vertical="center"/>
    </xf>
    <xf borderId="55" fillId="4" fontId="37" numFmtId="169" xfId="0" applyAlignment="1" applyBorder="1" applyFont="1" applyNumberFormat="1">
      <alignment horizontal="center" vertical="center"/>
    </xf>
    <xf borderId="40" fillId="0" fontId="39" numFmtId="168" xfId="0" applyAlignment="1" applyBorder="1" applyFont="1" applyNumberFormat="1">
      <alignment vertical="center"/>
    </xf>
    <xf borderId="57" fillId="2" fontId="25" numFmtId="169" xfId="0" applyAlignment="1" applyBorder="1" applyFont="1" applyNumberFormat="1">
      <alignment horizontal="center" shrinkToFit="0" vertical="center" wrapText="1"/>
    </xf>
    <xf borderId="58" fillId="0" fontId="6" numFmtId="0" xfId="0" applyBorder="1" applyFont="1"/>
    <xf borderId="59" fillId="3" fontId="25" numFmtId="17" xfId="0" applyAlignment="1" applyBorder="1" applyFont="1" applyNumberFormat="1">
      <alignment horizontal="center" shrinkToFit="0" vertical="center" wrapText="1"/>
    </xf>
    <xf borderId="56" fillId="2" fontId="25" numFmtId="169" xfId="0" applyAlignment="1" applyBorder="1" applyFont="1" applyNumberFormat="1">
      <alignment shrinkToFit="0" vertical="center" wrapText="1"/>
    </xf>
    <xf borderId="36" fillId="2" fontId="25" numFmtId="169" xfId="0" applyAlignment="1" applyBorder="1" applyFont="1" applyNumberFormat="1">
      <alignment shrinkToFit="0" vertical="center" wrapText="1"/>
    </xf>
    <xf borderId="1" fillId="2" fontId="25" numFmtId="169" xfId="0" applyAlignment="1" applyBorder="1" applyFont="1" applyNumberFormat="1">
      <alignment shrinkToFit="0" vertical="center" wrapText="1"/>
    </xf>
    <xf borderId="60" fillId="0" fontId="6" numFmtId="0" xfId="0" applyBorder="1" applyFont="1"/>
    <xf borderId="0" fillId="2" fontId="25" numFmtId="169" xfId="0" applyAlignment="1" applyFont="1" applyNumberFormat="1">
      <alignment shrinkToFit="0" vertical="center" wrapText="1"/>
    </xf>
    <xf borderId="61" fillId="2" fontId="29" numFmtId="0" xfId="0" applyAlignment="1" applyBorder="1" applyFont="1">
      <alignment horizontal="center" shrinkToFit="0" vertical="center" wrapText="1"/>
    </xf>
    <xf borderId="61" fillId="2" fontId="29" numFmtId="169" xfId="0" applyAlignment="1" applyBorder="1" applyFont="1" applyNumberFormat="1">
      <alignment horizontal="center" vertical="center"/>
    </xf>
    <xf borderId="0" fillId="2" fontId="29" numFmtId="0" xfId="0" applyAlignment="1" applyFont="1">
      <alignment shrinkToFit="0" vertical="center" wrapText="1"/>
    </xf>
    <xf borderId="36" fillId="2" fontId="29" numFmtId="0" xfId="0" applyAlignment="1" applyBorder="1" applyFont="1">
      <alignment shrinkToFit="0" vertical="center" wrapText="1"/>
    </xf>
    <xf borderId="1" fillId="2" fontId="29" numFmtId="169" xfId="0" applyAlignment="1" applyBorder="1" applyFont="1" applyNumberFormat="1">
      <alignment vertical="center"/>
    </xf>
    <xf borderId="62" fillId="0" fontId="6" numFmtId="0" xfId="0" applyBorder="1" applyFont="1"/>
    <xf borderId="15" fillId="3" fontId="25" numFmtId="169" xfId="0" applyAlignment="1" applyBorder="1" applyFont="1" applyNumberFormat="1">
      <alignment horizontal="center" shrinkToFit="0" vertical="center" wrapText="1"/>
    </xf>
    <xf borderId="16" fillId="0" fontId="6" numFmtId="0" xfId="0" applyBorder="1" applyFont="1"/>
    <xf borderId="17" fillId="0" fontId="6" numFmtId="0" xfId="0" applyBorder="1" applyFont="1"/>
    <xf borderId="63" fillId="0" fontId="6" numFmtId="0" xfId="0" applyBorder="1" applyFont="1"/>
    <xf borderId="64" fillId="0" fontId="6" numFmtId="0" xfId="0" applyBorder="1" applyFont="1"/>
    <xf borderId="65" fillId="0" fontId="6" numFmtId="0" xfId="0" applyBorder="1" applyFont="1"/>
    <xf borderId="61" fillId="2" fontId="29" numFmtId="10" xfId="0" applyAlignment="1" applyBorder="1" applyFont="1" applyNumberFormat="1">
      <alignment horizontal="center" vertical="center"/>
    </xf>
    <xf borderId="66" fillId="4" fontId="29" numFmtId="0" xfId="0" applyAlignment="1" applyBorder="1" applyFont="1">
      <alignment horizontal="center" shrinkToFit="0" vertical="center" wrapText="1"/>
    </xf>
    <xf borderId="67" fillId="0" fontId="6" numFmtId="0" xfId="0" applyBorder="1" applyFont="1"/>
    <xf borderId="68" fillId="4" fontId="29" numFmtId="169" xfId="0" applyAlignment="1" applyBorder="1" applyFont="1" applyNumberFormat="1">
      <alignment horizontal="center" vertical="center"/>
    </xf>
    <xf borderId="69" fillId="0" fontId="6" numFmtId="0" xfId="0" applyBorder="1" applyFont="1"/>
    <xf borderId="19" fillId="0" fontId="6" numFmtId="0" xfId="0" applyBorder="1" applyFont="1"/>
    <xf borderId="41" fillId="0" fontId="6" numFmtId="0" xfId="0" applyBorder="1" applyFont="1"/>
    <xf borderId="40" fillId="0" fontId="6" numFmtId="0" xfId="0" applyBorder="1" applyFont="1"/>
    <xf borderId="20" fillId="0" fontId="6" numFmtId="0" xfId="0" applyBorder="1" applyFont="1"/>
    <xf borderId="21" fillId="0" fontId="7" numFmtId="0" xfId="0" applyAlignment="1" applyBorder="1" applyFont="1">
      <alignment vertical="center"/>
    </xf>
    <xf borderId="1" fillId="2" fontId="29" numFmtId="0" xfId="0" applyAlignment="1" applyBorder="1" applyFont="1">
      <alignment horizontal="center" shrinkToFit="0" vertical="center" wrapText="1"/>
    </xf>
    <xf borderId="1" fillId="2" fontId="29" numFmtId="10" xfId="0" applyAlignment="1" applyBorder="1" applyFont="1" applyNumberFormat="1">
      <alignment horizontal="center" vertical="center"/>
    </xf>
    <xf borderId="44" fillId="4" fontId="31" numFmtId="10" xfId="0" applyAlignment="1" applyBorder="1" applyFont="1" applyNumberFormat="1">
      <alignment horizontal="center" vertical="center"/>
    </xf>
    <xf borderId="0" fillId="0" fontId="7" numFmtId="10" xfId="0" applyAlignment="1" applyFont="1" applyNumberFormat="1">
      <alignment vertical="center"/>
    </xf>
    <xf borderId="56" fillId="2" fontId="25" numFmtId="169" xfId="0" applyAlignment="1" applyBorder="1" applyFont="1" applyNumberFormat="1">
      <alignment vertical="center"/>
    </xf>
    <xf borderId="36" fillId="2" fontId="25" numFmtId="169" xfId="0" applyAlignment="1" applyBorder="1" applyFont="1" applyNumberFormat="1">
      <alignment vertical="center"/>
    </xf>
    <xf borderId="47" fillId="0" fontId="6" numFmtId="0" xfId="0" applyBorder="1" applyFont="1"/>
    <xf borderId="46" fillId="0" fontId="6" numFmtId="0" xfId="0" applyBorder="1" applyFont="1"/>
    <xf borderId="0" fillId="0" fontId="7" numFmtId="169" xfId="0" applyAlignment="1" applyFont="1" applyNumberFormat="1">
      <alignment horizontal="center" vertical="center"/>
    </xf>
    <xf borderId="3" fillId="2" fontId="25" numFmtId="169" xfId="0" applyAlignment="1" applyBorder="1" applyFont="1" applyNumberFormat="1">
      <alignment shrinkToFit="0" vertical="center" wrapText="1"/>
    </xf>
    <xf borderId="68" fillId="4" fontId="29" numFmtId="10" xfId="0" applyAlignment="1" applyBorder="1" applyFont="1" applyNumberFormat="1">
      <alignment horizontal="center" vertical="center"/>
    </xf>
    <xf borderId="22" fillId="0" fontId="6" numFmtId="0" xfId="0" applyBorder="1" applyFont="1"/>
    <xf borderId="70" fillId="0" fontId="6" numFmtId="0" xfId="0" applyBorder="1" applyFont="1"/>
    <xf borderId="71" fillId="0" fontId="6" numFmtId="0" xfId="0" applyBorder="1" applyFont="1"/>
    <xf borderId="24" fillId="0" fontId="6" numFmtId="0" xfId="0" applyBorder="1" applyFont="1"/>
    <xf borderId="0" fillId="0" fontId="40" numFmtId="168" xfId="0" applyAlignment="1" applyFont="1" applyNumberFormat="1">
      <alignment vertical="center"/>
    </xf>
    <xf borderId="58" fillId="2" fontId="29" numFmtId="0" xfId="0" applyAlignment="1" applyBorder="1" applyFont="1">
      <alignment horizontal="center" shrinkToFit="0" vertical="center" wrapText="1"/>
    </xf>
    <xf borderId="72" fillId="2" fontId="29" numFmtId="0" xfId="0" applyAlignment="1" applyBorder="1" applyFont="1">
      <alignment horizontal="center" shrinkToFit="0" vertical="center" wrapText="1"/>
    </xf>
    <xf borderId="57" fillId="2" fontId="29" numFmtId="169" xfId="0" applyAlignment="1" applyBorder="1" applyFont="1" applyNumberFormat="1">
      <alignment horizontal="center" vertical="center"/>
    </xf>
    <xf borderId="0" fillId="0" fontId="41" numFmtId="0" xfId="0" applyAlignment="1" applyFont="1">
      <alignment vertical="center"/>
    </xf>
    <xf borderId="0" fillId="6" fontId="7" numFmtId="10" xfId="0" applyAlignment="1" applyFill="1" applyFont="1" applyNumberFormat="1">
      <alignment vertical="center"/>
    </xf>
    <xf borderId="73" fillId="0" fontId="6" numFmtId="0" xfId="0" applyBorder="1" applyFont="1"/>
    <xf borderId="0" fillId="0" fontId="42" numFmtId="0" xfId="0" applyAlignment="1" applyFont="1">
      <alignment vertical="center"/>
    </xf>
    <xf borderId="0" fillId="6" fontId="7" numFmtId="168" xfId="0" applyAlignment="1" applyFont="1" applyNumberFormat="1">
      <alignment vertical="center"/>
    </xf>
    <xf borderId="3" fillId="2" fontId="29" numFmtId="0" xfId="0" applyAlignment="1" applyBorder="1" applyFont="1">
      <alignment horizontal="center" shrinkToFit="0" vertical="center" wrapText="1"/>
    </xf>
    <xf borderId="36" fillId="2" fontId="29" numFmtId="0" xfId="0" applyAlignment="1" applyBorder="1" applyFont="1">
      <alignment horizontal="center" shrinkToFit="0" vertical="center" wrapText="1"/>
    </xf>
    <xf borderId="74" fillId="2" fontId="7" numFmtId="10" xfId="0" applyAlignment="1" applyBorder="1" applyFont="1" applyNumberFormat="1">
      <alignment vertical="center"/>
    </xf>
    <xf borderId="0" fillId="2" fontId="29" numFmtId="0" xfId="0" applyAlignment="1" applyFont="1">
      <alignment horizontal="center" shrinkToFit="0" vertical="center" wrapText="1"/>
    </xf>
    <xf borderId="0" fillId="2" fontId="3" numFmtId="0" xfId="0" applyAlignment="1" applyFont="1">
      <alignment horizontal="center" vertical="center"/>
    </xf>
    <xf borderId="36" fillId="2" fontId="3" numFmtId="0" xfId="0" applyAlignment="1" applyBorder="1" applyFont="1">
      <alignment horizontal="center" vertical="center"/>
    </xf>
    <xf borderId="0" fillId="2" fontId="25" numFmtId="0" xfId="0" applyAlignment="1" applyFont="1">
      <alignment horizontal="center" shrinkToFit="0" vertical="center" wrapText="1"/>
    </xf>
    <xf borderId="16" fillId="3" fontId="25" numFmtId="0" xfId="0" applyAlignment="1" applyBorder="1" applyFont="1">
      <alignment horizontal="center" shrinkToFit="0" vertical="center" wrapText="1"/>
    </xf>
    <xf borderId="41" fillId="2" fontId="29" numFmtId="17" xfId="0" applyAlignment="1" applyBorder="1" applyFont="1" applyNumberFormat="1">
      <alignment horizontal="center" vertical="center"/>
    </xf>
    <xf borderId="31" fillId="4" fontId="29" numFmtId="17" xfId="0" applyAlignment="1" applyBorder="1" applyFont="1" applyNumberFormat="1">
      <alignment horizontal="center" vertical="center"/>
    </xf>
    <xf borderId="75" fillId="4" fontId="29" numFmtId="17" xfId="0" applyAlignment="1" applyBorder="1" applyFont="1" applyNumberFormat="1">
      <alignment horizontal="center" vertical="center"/>
    </xf>
    <xf borderId="41" fillId="2" fontId="29" numFmtId="10" xfId="0" applyAlignment="1" applyBorder="1" applyFont="1" applyNumberFormat="1">
      <alignment horizontal="center" vertical="center"/>
    </xf>
    <xf borderId="76" fillId="4" fontId="29" numFmtId="10" xfId="0" applyAlignment="1" applyBorder="1" applyFont="1" applyNumberFormat="1">
      <alignment horizontal="center" vertical="center"/>
    </xf>
    <xf borderId="54" fillId="4" fontId="29" numFmtId="10" xfId="0" applyAlignment="1" applyBorder="1" applyFont="1" applyNumberFormat="1">
      <alignment horizontal="center" vertical="center"/>
    </xf>
    <xf borderId="3" fillId="2" fontId="25" numFmtId="168" xfId="0" applyAlignment="1" applyBorder="1" applyFont="1" applyNumberFormat="1">
      <alignment vertical="center"/>
    </xf>
    <xf borderId="1" fillId="2" fontId="29" numFmtId="168" xfId="0" applyAlignment="1" applyBorder="1" applyFont="1" applyNumberFormat="1">
      <alignment horizontal="center" vertical="center"/>
    </xf>
    <xf borderId="0" fillId="2" fontId="25" numFmtId="0" xfId="0" applyAlignment="1" applyFont="1">
      <alignment horizontal="center" vertical="center"/>
    </xf>
    <xf borderId="16" fillId="3" fontId="25" numFmtId="0" xfId="0" applyAlignment="1" applyBorder="1" applyFont="1">
      <alignment horizontal="center" vertical="center"/>
    </xf>
    <xf borderId="23" fillId="0" fontId="6" numFmtId="0" xfId="0" applyBorder="1" applyFont="1"/>
    <xf borderId="41" fillId="2" fontId="29" numFmtId="17" xfId="0" applyAlignment="1" applyBorder="1" applyFont="1" applyNumberFormat="1">
      <alignment horizontal="center" shrinkToFit="0" vertical="center" wrapText="1"/>
    </xf>
    <xf borderId="32" fillId="4" fontId="29" numFmtId="17" xfId="0" applyAlignment="1" applyBorder="1" applyFont="1" applyNumberFormat="1">
      <alignment horizontal="center" shrinkToFit="0" vertical="center" wrapText="1"/>
    </xf>
    <xf borderId="31" fillId="4" fontId="29" numFmtId="17" xfId="0" applyAlignment="1" applyBorder="1" applyFont="1" applyNumberFormat="1">
      <alignment horizontal="center" shrinkToFit="0" vertical="center" wrapText="1"/>
    </xf>
    <xf borderId="31" fillId="4" fontId="29" numFmtId="17" xfId="0" applyAlignment="1" applyBorder="1" applyFont="1" applyNumberFormat="1">
      <alignment horizontal="center" readingOrder="0" shrinkToFit="0" vertical="center" wrapText="1"/>
    </xf>
    <xf borderId="75" fillId="4" fontId="29" numFmtId="17" xfId="0" applyAlignment="1" applyBorder="1" applyFont="1" applyNumberFormat="1">
      <alignment horizontal="center" shrinkToFit="0" vertical="center" wrapText="1"/>
    </xf>
    <xf borderId="21" fillId="0" fontId="7" numFmtId="10" xfId="0" applyAlignment="1" applyBorder="1" applyFont="1" applyNumberFormat="1">
      <alignment vertical="center"/>
    </xf>
    <xf borderId="41" fillId="4" fontId="29" numFmtId="17" xfId="0" applyAlignment="1" applyBorder="1" applyFont="1" applyNumberFormat="1">
      <alignment horizontal="center" shrinkToFit="0" vertical="center" wrapText="1"/>
    </xf>
    <xf borderId="77" fillId="4" fontId="29" numFmtId="17" xfId="0" applyAlignment="1" applyBorder="1" applyFont="1" applyNumberFormat="1">
      <alignment horizontal="center" shrinkToFit="0" vertical="center" wrapText="1"/>
    </xf>
    <xf borderId="78" fillId="4" fontId="29" numFmtId="17" xfId="0" applyAlignment="1" applyBorder="1" applyFont="1" applyNumberFormat="1">
      <alignment horizontal="center" shrinkToFit="0" vertical="center" wrapText="1"/>
    </xf>
    <xf borderId="48" fillId="3" fontId="25" numFmtId="17" xfId="0" applyAlignment="1" applyBorder="1" applyFont="1" applyNumberFormat="1">
      <alignment horizontal="center" vertical="center"/>
    </xf>
    <xf borderId="79" fillId="2" fontId="7" numFmtId="10" xfId="0" applyAlignment="1" applyBorder="1" applyFont="1" applyNumberFormat="1">
      <alignment vertical="center"/>
    </xf>
    <xf borderId="1" fillId="2" fontId="7" numFmtId="10" xfId="0" applyAlignment="1" applyBorder="1" applyFont="1" applyNumberFormat="1">
      <alignment readingOrder="0" vertical="center"/>
    </xf>
    <xf borderId="0" fillId="0" fontId="20" numFmtId="0" xfId="0" applyFont="1"/>
    <xf borderId="0" fillId="0" fontId="25" numFmtId="17" xfId="0" applyAlignment="1" applyFont="1" applyNumberFormat="1">
      <alignment shrinkToFit="0" vertical="center" wrapText="1"/>
    </xf>
    <xf borderId="42" fillId="3" fontId="25" numFmtId="0" xfId="0" applyAlignment="1" applyBorder="1" applyFont="1">
      <alignment horizontal="center" shrinkToFit="0" vertical="center" wrapText="1"/>
    </xf>
    <xf borderId="35" fillId="3" fontId="25" numFmtId="0" xfId="0" applyAlignment="1" applyBorder="1" applyFont="1">
      <alignment horizontal="center" shrinkToFit="0" vertical="center" wrapText="1"/>
    </xf>
    <xf borderId="35" fillId="3" fontId="28" numFmtId="0" xfId="0" applyAlignment="1" applyBorder="1" applyFont="1">
      <alignment horizontal="center" shrinkToFit="0" vertical="center" wrapText="1"/>
    </xf>
    <xf borderId="0" fillId="0" fontId="7" numFmtId="17" xfId="0" applyFont="1" applyNumberFormat="1"/>
    <xf borderId="0" fillId="0" fontId="29" numFmtId="17" xfId="0" applyAlignment="1" applyFont="1" applyNumberFormat="1">
      <alignment shrinkToFit="0" vertical="center" wrapText="1"/>
    </xf>
    <xf borderId="32" fillId="4" fontId="29" numFmtId="10" xfId="0" applyAlignment="1" applyBorder="1" applyFont="1" applyNumberFormat="1">
      <alignment horizontal="center" shrinkToFit="0" vertical="center" wrapText="1"/>
    </xf>
    <xf borderId="0" fillId="0" fontId="20" numFmtId="10" xfId="0" applyFont="1" applyNumberFormat="1"/>
    <xf borderId="0" fillId="0" fontId="29" numFmtId="0" xfId="0" applyFont="1"/>
    <xf borderId="0" fillId="0" fontId="7" numFmtId="169" xfId="0" applyFont="1" applyNumberFormat="1"/>
    <xf quotePrefix="1" borderId="0" fillId="0" fontId="7" numFmtId="0" xfId="0" applyFont="1"/>
    <xf borderId="0" fillId="2" fontId="43" numFmtId="0" xfId="0" applyFont="1"/>
    <xf borderId="0" fillId="2" fontId="7" numFmtId="0" xfId="0" applyFont="1"/>
    <xf borderId="0" fillId="2" fontId="7" numFmtId="169" xfId="0" applyFont="1" applyNumberFormat="1"/>
    <xf borderId="0" fillId="0" fontId="17" numFmtId="169" xfId="0" applyFont="1" applyNumberFormat="1"/>
    <xf borderId="0" fillId="0" fontId="7" numFmtId="170" xfId="0" applyFont="1" applyNumberFormat="1"/>
    <xf borderId="0" fillId="0" fontId="19" numFmtId="0" xfId="0" applyFont="1"/>
    <xf borderId="0" fillId="0" fontId="44" numFmtId="0" xfId="0" applyFont="1"/>
    <xf borderId="0" fillId="0" fontId="44" numFmtId="168" xfId="0" applyFont="1" applyNumberFormat="1"/>
    <xf borderId="24" fillId="2" fontId="45" numFmtId="169" xfId="0" applyBorder="1" applyFont="1" applyNumberFormat="1"/>
    <xf borderId="19" fillId="0" fontId="17" numFmtId="169" xfId="0" applyBorder="1" applyFont="1" applyNumberFormat="1"/>
    <xf borderId="19" fillId="0" fontId="7" numFmtId="169" xfId="0" applyBorder="1" applyFont="1" applyNumberFormat="1"/>
    <xf borderId="19" fillId="0" fontId="19" numFmtId="0" xfId="0" applyAlignment="1" applyBorder="1" applyFont="1">
      <alignment vertical="bottom"/>
    </xf>
    <xf borderId="4" fillId="2" fontId="18" numFmtId="0" xfId="0" applyBorder="1" applyFont="1"/>
    <xf borderId="6" fillId="0" fontId="17" numFmtId="0" xfId="0" applyBorder="1" applyFont="1"/>
    <xf borderId="80" fillId="0" fontId="7" numFmtId="0" xfId="0" applyBorder="1" applyFont="1"/>
    <xf borderId="81" fillId="0" fontId="7" numFmtId="10" xfId="0" applyBorder="1" applyFont="1" applyNumberFormat="1"/>
    <xf borderId="80" fillId="0" fontId="19" numFmtId="0" xfId="0" applyAlignment="1" applyBorder="1" applyFont="1">
      <alignment vertical="bottom"/>
    </xf>
    <xf borderId="8" fillId="2" fontId="7" numFmtId="0" xfId="0" applyBorder="1" applyFont="1"/>
    <xf borderId="8" fillId="0" fontId="44" numFmtId="169" xfId="0" applyBorder="1" applyFont="1" applyNumberFormat="1"/>
    <xf borderId="9" fillId="0" fontId="7" numFmtId="0" xfId="0" applyBorder="1" applyFont="1"/>
    <xf borderId="25" fillId="0" fontId="17" numFmtId="10" xfId="0" applyBorder="1" applyFont="1" applyNumberFormat="1"/>
    <xf borderId="25" fillId="0" fontId="44" numFmtId="169" xfId="0" applyBorder="1" applyFont="1" applyNumberFormat="1"/>
    <xf borderId="46" fillId="0" fontId="17" numFmtId="0" xfId="0" applyBorder="1" applyFont="1"/>
    <xf borderId="47" fillId="0" fontId="21" numFmtId="169" xfId="0" applyBorder="1" applyFont="1" applyNumberFormat="1"/>
    <xf borderId="18" fillId="0" fontId="17" numFmtId="166" xfId="0" applyBorder="1" applyFont="1" applyNumberFormat="1"/>
    <xf borderId="15" fillId="2" fontId="46" numFmtId="0" xfId="0" applyBorder="1" applyFont="1"/>
    <xf borderId="24" fillId="2" fontId="38" numFmtId="169" xfId="0" applyBorder="1" applyFont="1" applyNumberFormat="1"/>
    <xf borderId="25" fillId="0" fontId="47" numFmtId="169" xfId="0" applyBorder="1" applyFont="1" applyNumberFormat="1"/>
    <xf borderId="0" fillId="0" fontId="17" numFmtId="168" xfId="0" applyFont="1" applyNumberFormat="1"/>
    <xf borderId="15" fillId="2" fontId="18" numFmtId="168" xfId="0" applyBorder="1" applyFont="1" applyNumberFormat="1"/>
    <xf borderId="19" fillId="0" fontId="7" numFmtId="168" xfId="0" applyBorder="1" applyFont="1" applyNumberFormat="1"/>
    <xf borderId="22" fillId="0" fontId="7" numFmtId="168" xfId="0" applyBorder="1" applyFont="1" applyNumberFormat="1"/>
    <xf borderId="19" fillId="0" fontId="17" numFmtId="168" xfId="0" applyBorder="1" applyFont="1" applyNumberFormat="1"/>
    <xf borderId="19" fillId="0" fontId="17" numFmtId="168" xfId="0" applyAlignment="1" applyBorder="1" applyFont="1" applyNumberFormat="1">
      <alignment horizontal="left"/>
    </xf>
    <xf borderId="19" fillId="0" fontId="7" numFmtId="168" xfId="0" applyAlignment="1" applyBorder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Carteira "Nasser Family" 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472C4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Pt>
            <c:idx val="4"/>
            <c:spPr>
              <a:solidFill>
                <a:srgbClr val="5B9BD5"/>
              </a:solidFill>
            </c:spPr>
          </c:dPt>
          <c:dPt>
            <c:idx val="5"/>
            <c:spPr>
              <a:solidFill>
                <a:srgbClr val="70AD47"/>
              </a:solidFill>
            </c:spPr>
          </c:dPt>
          <c:dPt>
            <c:idx val="6"/>
            <c:spPr>
              <a:solidFill>
                <a:srgbClr val="7C9CD6"/>
              </a:solidFill>
            </c:spPr>
          </c:dPt>
          <c:dPt>
            <c:idx val="7"/>
            <c:spPr>
              <a:solidFill>
                <a:srgbClr val="F2A46F"/>
              </a:solidFill>
            </c:spPr>
          </c:dPt>
          <c:dPt>
            <c:idx val="8"/>
            <c:spPr>
              <a:solidFill>
                <a:srgbClr val="C0C0C0"/>
              </a:solidFill>
            </c:spPr>
          </c:dPt>
          <c:dPt>
            <c:idx val="9"/>
            <c:spPr>
              <a:solidFill>
                <a:srgbClr val="FFD34D"/>
              </a:solidFill>
            </c:spPr>
          </c:dPt>
          <c:dPt>
            <c:idx val="10"/>
            <c:spPr>
              <a:solidFill>
                <a:srgbClr val="8CB9E2"/>
              </a:solidFill>
            </c:spPr>
          </c:dPt>
          <c:dLbls>
            <c:dLbl>
              <c:idx val="5"/>
              <c:txPr>
                <a:bodyPr/>
                <a:lstStyle/>
                <a:p>
                  <a:pPr lvl="0">
                    <a:defRPr b="1" i="0">
                      <a:latin typeface="serif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6"/>
              <c:txPr>
                <a:bodyPr/>
                <a:lstStyle/>
                <a:p>
                  <a:pPr lvl="0">
                    <a:defRPr b="1" i="0">
                      <a:latin typeface="serif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7"/>
              <c:txPr>
                <a:bodyPr/>
                <a:lstStyle/>
                <a:p>
                  <a:pPr lvl="0">
                    <a:defRPr b="1" i="0" sz="1000">
                      <a:latin typeface="serif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8"/>
              <c:txPr>
                <a:bodyPr/>
                <a:lstStyle/>
                <a:p>
                  <a:pPr lvl="0">
                    <a:defRPr b="1" i="0" sz="800">
                      <a:latin typeface="serif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9"/>
              <c:txPr>
                <a:bodyPr/>
                <a:lstStyle/>
                <a:p>
                  <a:pPr lvl="0">
                    <a:defRPr b="1" i="0" sz="700">
                      <a:latin typeface="serif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10"/>
              <c:txPr>
                <a:bodyPr/>
                <a:lstStyle/>
                <a:p>
                  <a:pPr lvl="0">
                    <a:defRPr b="1" i="0" sz="700">
                      <a:latin typeface="serif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</c:dLbl>
            <c:showLegendKey val="0"/>
            <c:showVal val="0"/>
            <c:showCatName val="1"/>
            <c:showSerName val="0"/>
            <c:showPercent val="0"/>
            <c:showBubbleSize val="0"/>
            <c:showLeaderLines val="1"/>
          </c:dLbls>
          <c:cat>
            <c:strRef>
              <c:f>'% de Alocação da Carteira 01_25'!$B$4:$B$14</c:f>
            </c:strRef>
          </c:cat>
          <c:val>
            <c:numRef>
              <c:f>'% de Alocação da Carteira 01_25'!$D$4:$D$14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1A1A1A"/>
              </a:solidFill>
              <a:latin typeface="serif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600">
                <a:solidFill>
                  <a:srgbClr val="757575"/>
                </a:solidFill>
                <a:latin typeface="Arial"/>
              </a:defRPr>
            </a:pPr>
            <a:r>
              <a:rPr b="0" i="0" sz="1600">
                <a:solidFill>
                  <a:srgbClr val="757575"/>
                </a:solidFill>
                <a:latin typeface="Arial"/>
              </a:rPr>
              <a:t>% de Alocações Carteira "Nasser Family" na R. V. por Setor</a:t>
            </a:r>
          </a:p>
        </c:rich>
      </c:tx>
      <c:layout>
        <c:manualLayout>
          <c:xMode val="edge"/>
          <c:yMode val="edge"/>
          <c:x val="0.03356164383561644"/>
          <c:y val="0.06333333333333334"/>
        </c:manualLayout>
      </c:layout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472C4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Pt>
            <c:idx val="4"/>
            <c:spPr>
              <a:solidFill>
                <a:srgbClr val="5B9BD5"/>
              </a:solidFill>
            </c:spPr>
          </c:dPt>
          <c:dPt>
            <c:idx val="5"/>
            <c:spPr>
              <a:solidFill>
                <a:srgbClr val="70AD47"/>
              </a:solidFill>
            </c:spPr>
          </c:dPt>
          <c:dPt>
            <c:idx val="6"/>
            <c:spPr>
              <a:solidFill>
                <a:srgbClr val="7C9CD6"/>
              </a:solidFill>
            </c:spPr>
          </c:dPt>
          <c:dPt>
            <c:idx val="7"/>
            <c:spPr>
              <a:solidFill>
                <a:srgbClr val="F2A46F"/>
              </a:solidFill>
            </c:spPr>
          </c:dPt>
          <c:dPt>
            <c:idx val="8"/>
            <c:spPr>
              <a:solidFill>
                <a:srgbClr val="C0C0C0"/>
              </a:solidFill>
            </c:spPr>
          </c:dPt>
          <c:dPt>
            <c:idx val="9"/>
            <c:spPr>
              <a:solidFill>
                <a:srgbClr val="FFD34D"/>
              </a:solidFill>
            </c:spPr>
          </c:dPt>
          <c:dPt>
            <c:idx val="10"/>
            <c:spPr>
              <a:solidFill>
                <a:srgbClr val="8CB9E2"/>
              </a:solidFill>
            </c:spPr>
          </c:dPt>
          <c:dPt>
            <c:idx val="11"/>
            <c:spPr>
              <a:solidFill>
                <a:srgbClr val="9BC67E"/>
              </a:solidFill>
            </c:spPr>
          </c:dPt>
          <c:dPt>
            <c:idx val="12"/>
            <c:spPr>
              <a:solidFill>
                <a:srgbClr val="B4C7E7"/>
              </a:solidFill>
            </c:spPr>
          </c:dPt>
          <c:dLbls>
            <c:dLbl>
              <c:idx val="2"/>
              <c:txPr>
                <a:bodyPr/>
                <a:lstStyle/>
                <a:p>
                  <a:pPr lvl="0">
                    <a:defRPr sz="1000"/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9"/>
              <c:txPr>
                <a:bodyPr/>
                <a:lstStyle/>
                <a:p>
                  <a:pPr lvl="0">
                    <a:defRPr sz="1000"/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11"/>
              <c:txPr>
                <a:bodyPr/>
                <a:lstStyle/>
                <a:p>
                  <a:pPr lvl="0">
                    <a:defRPr b="1" i="0" sz="800"/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12"/>
              <c:txPr>
                <a:bodyPr/>
                <a:lstStyle/>
                <a:p>
                  <a:pPr lvl="0">
                    <a:defRPr sz="1000"/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</c:dLbl>
            <c:showLegendKey val="0"/>
            <c:showVal val="0"/>
            <c:showCatName val="1"/>
            <c:showSerName val="0"/>
            <c:showPercent val="0"/>
            <c:showBubbleSize val="0"/>
            <c:showLeaderLines val="1"/>
          </c:dLbls>
          <c:cat>
            <c:strRef>
              <c:f>'% de Alocação da Carteira 01_25'!$D$20:$D$32</c:f>
            </c:strRef>
          </c:cat>
          <c:val>
            <c:numRef>
              <c:f>'% de Alocação da Carteira 01_25'!$B$20:$B$32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Carteira "NF" -ALOCAÇÃO % COMPACTA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472C4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Pt>
            <c:idx val="4"/>
            <c:spPr>
              <a:solidFill>
                <a:srgbClr val="5B9BD5"/>
              </a:solidFill>
            </c:spPr>
          </c:dPt>
          <c:dPt>
            <c:idx val="5"/>
            <c:spPr>
              <a:solidFill>
                <a:srgbClr val="70AD47"/>
              </a:solidFill>
            </c:spPr>
          </c:dPt>
          <c:dPt>
            <c:idx val="6"/>
            <c:spPr>
              <a:solidFill>
                <a:srgbClr val="7C9CD6"/>
              </a:solidFill>
            </c:spPr>
          </c:dPt>
          <c:dPt>
            <c:idx val="7"/>
            <c:spPr>
              <a:solidFill>
                <a:srgbClr val="F2A46F"/>
              </a:solidFill>
            </c:spPr>
          </c:dPt>
          <c:dPt>
            <c:idx val="8"/>
            <c:spPr>
              <a:solidFill>
                <a:srgbClr val="C0C0C0"/>
              </a:solidFill>
            </c:spPr>
          </c:dPt>
          <c:dPt>
            <c:idx val="9"/>
          </c:dPt>
          <c:dPt>
            <c:idx val="10"/>
          </c:dPt>
          <c:dLbls>
            <c:dLbl>
              <c:idx val="0"/>
              <c:txPr>
                <a:bodyPr/>
                <a:lstStyle/>
                <a:p>
                  <a:pPr lvl="0">
                    <a:defRPr b="1" i="0">
                      <a:latin typeface="serif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b="1" i="0">
                      <a:latin typeface="serif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4"/>
              <c:txPr>
                <a:bodyPr/>
                <a:lstStyle/>
                <a:p>
                  <a:pPr lvl="0">
                    <a:defRPr b="1" i="0">
                      <a:latin typeface="serif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</c:dLbl>
            <c:showLegendKey val="0"/>
            <c:showVal val="0"/>
            <c:showCatName val="1"/>
            <c:showSerName val="0"/>
            <c:showPercent val="0"/>
            <c:showBubbleSize val="0"/>
            <c:showLeaderLines val="1"/>
          </c:dLbls>
          <c:cat>
            <c:strRef>
              <c:f>'% de Alocação da Carteira 01_25'!$L$4:$L$14</c:f>
            </c:strRef>
          </c:cat>
          <c:val>
            <c:numRef>
              <c:f>'% de Alocação da Carteira 01_25'!$M$4:$M$14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layout>
        <c:manualLayout>
          <c:xMode val="edge"/>
          <c:yMode val="edge"/>
          <c:x val="0.6731727065826331"/>
          <c:y val="0.16152263374485595"/>
        </c:manualLayout>
      </c:layout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Calibri"/>
              </a:defRPr>
            </a:pPr>
            <a:r>
              <a:rPr b="1" i="0">
                <a:solidFill>
                  <a:srgbClr val="000000"/>
                </a:solidFill>
                <a:latin typeface="Calibri"/>
              </a:rPr>
              <a:t>Retorno Acumulado da carteira 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 w="28575">
              <a:solidFill>
                <a:schemeClr val="accent1"/>
              </a:solidFill>
              <a:prstDash val="solid"/>
            </a:ln>
          </c:spPr>
          <c:marker>
            <c:symbol val="circle"/>
            <c:size val="10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'Planilha de Rentabilidade'!$AM$71:$AX$71</c:f>
            </c:strRef>
          </c:cat>
          <c:val>
            <c:numRef>
              <c:f>'Planilha de Rentabilidade'!$AM$74:$AN$74</c:f>
              <c:numCache/>
            </c:numRef>
          </c:val>
          <c:smooth val="0"/>
        </c:ser>
        <c:axId val="622900258"/>
        <c:axId val="1831141290"/>
      </c:lineChart>
      <c:catAx>
        <c:axId val="6229002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MESES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595959"/>
                </a:solidFill>
                <a:latin typeface="Calibri"/>
              </a:defRPr>
            </a:pPr>
          </a:p>
        </c:txPr>
        <c:crossAx val="1831141290"/>
      </c:catAx>
      <c:valAx>
        <c:axId val="18311412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0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595959"/>
                </a:solidFill>
                <a:latin typeface="Calibri"/>
              </a:defRPr>
            </a:pPr>
          </a:p>
        </c:txPr>
        <c:crossAx val="622900258"/>
      </c:valAx>
      <c:spPr>
        <a:solidFill>
          <a:srgbClr val="FFFFFF"/>
        </a:solidFill>
      </c:spPr>
    </c:plotArea>
    <c:legend>
      <c:legendPos val="b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595959"/>
                </a:solidFill>
                <a:latin typeface="Calibri"/>
              </a:defRPr>
            </a:pPr>
            <a:r>
              <a:rPr b="1" i="0" sz="1600">
                <a:solidFill>
                  <a:srgbClr val="595959"/>
                </a:solidFill>
                <a:latin typeface="Calibri"/>
              </a:rPr>
              <a:t>PESO DOS ATIVOS EM CARTEIRA</a:t>
            </a:r>
          </a:p>
        </c:rich>
      </c:tx>
      <c:overlay val="0"/>
    </c:title>
    <c:view3D>
      <c:rotX val="50"/>
      <c:perspective val="0"/>
    </c:view3D>
    <c:plotArea>
      <c:layout>
        <c:manualLayout>
          <c:xMode val="edge"/>
          <c:yMode val="edge"/>
          <c:x val="0.16897160538952521"/>
          <c:y val="0.11906859906034184"/>
          <c:w val="0.6617636589623268"/>
          <c:h val="0.7962765027905178"/>
        </c:manualLayout>
      </c:layout>
      <c:pie3DChart>
        <c:varyColors val="1"/>
        <c:ser>
          <c:idx val="0"/>
          <c:order val="0"/>
          <c:dPt>
            <c:idx val="0"/>
            <c:spPr>
              <a:solidFill>
                <a:srgbClr val="3366CC"/>
              </a:solidFill>
            </c:spPr>
          </c:dPt>
          <c:dLbls>
            <c:dLbl>
              <c:idx val="5"/>
              <c:txPr>
                <a:bodyPr/>
                <a:lstStyle/>
                <a:p>
                  <a:pPr lvl="0">
                    <a:defRPr b="1" i="0" sz="1000">
                      <a:latin typeface="Arial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6"/>
              <c:txPr>
                <a:bodyPr/>
                <a:lstStyle/>
                <a:p>
                  <a:pPr lvl="0">
                    <a:defRPr b="1" i="0" sz="1000"/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16"/>
              <c:txPr>
                <a:bodyPr/>
                <a:lstStyle/>
                <a:p>
                  <a:pPr lvl="0">
                    <a:defRPr b="1" i="0" sz="1000"/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20"/>
              <c:txPr>
                <a:bodyPr/>
                <a:lstStyle/>
                <a:p>
                  <a:pPr lvl="0">
                    <a:defRPr b="1" i="0" sz="1000"/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</c:dLbl>
            <c:showLegendKey val="0"/>
            <c:showVal val="0"/>
            <c:showCatName val="1"/>
            <c:showSerName val="0"/>
            <c:showPercent val="0"/>
            <c:showBubbleSize val="0"/>
            <c:showLeaderLines val="1"/>
          </c:dLbls>
          <c:cat>
            <c:strRef>
              <c:f>'Planilha de Rentabilidade'!$C$100:$AH$100</c:f>
            </c:strRef>
          </c:cat>
          <c:val>
            <c:numRef>
              <c:f>'Planilha de Rentabilidade'!$C$101:$AH$101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b="0" i="0" sz="600">
              <a:solidFill>
                <a:srgbClr val="1A1A1A"/>
              </a:solidFill>
              <a:latin typeface="Arial"/>
            </a:defRPr>
          </a:pPr>
        </a:p>
      </c:txPr>
    </c:legend>
    <c:plotVisOnly val="0"/>
  </c:chart>
  <c:spPr>
    <a:solidFill>
      <a:srgbClr val="FFFFFF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r>
              <a:rPr b="1" i="0">
                <a:solidFill>
                  <a:srgbClr val="000000"/>
                </a:solidFill>
                <a:latin typeface="+mn-lt"/>
              </a:rPr>
              <a:t>BENCHMARK (CDI - DI) X Carteira "NASSER Family"</a:t>
            </a:r>
          </a:p>
        </c:rich>
      </c:tx>
      <c:overlay val="0"/>
    </c:title>
    <c:plotArea>
      <c:layout>
        <c:manualLayout>
          <c:xMode val="edge"/>
          <c:yMode val="edge"/>
          <c:x val="0.13332733294930876"/>
          <c:y val="0.13942307692307693"/>
          <c:w val="0.8166726670506914"/>
          <c:h val="0.7499313186813188"/>
        </c:manualLayout>
      </c:layout>
      <c:lineChart>
        <c:ser>
          <c:idx val="0"/>
          <c:order val="0"/>
          <c:tx>
            <c:v>CDI - SELIC</c:v>
          </c:tx>
          <c:spPr>
            <a:ln cmpd="sng">
              <a:solidFill>
                <a:srgbClr val="4472C4"/>
              </a:solidFill>
            </a:ln>
          </c:spPr>
          <c:marker>
            <c:symbol val="circle"/>
            <c:size val="7"/>
            <c:spPr>
              <a:solidFill>
                <a:srgbClr val="4472C4"/>
              </a:solidFill>
              <a:ln cmpd="sng">
                <a:solidFill>
                  <a:srgbClr val="4472C4"/>
                </a:solidFill>
              </a:ln>
            </c:spPr>
          </c:marker>
          <c:dPt>
            <c:idx val="2"/>
            <c:marker>
              <c:symbol val="none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>Linear (CDI - SELIC)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BenchMarK!$A$13:$A$24</c:f>
            </c:strRef>
          </c:cat>
          <c:val>
            <c:numRef>
              <c:f>BenchMarK!$E$13:$E$14</c:f>
              <c:numCache/>
            </c:numRef>
          </c:val>
          <c:smooth val="0"/>
        </c:ser>
        <c:ser>
          <c:idx val="1"/>
          <c:order val="1"/>
          <c:tx>
            <c:v>Carteira Nasser Family</c:v>
          </c:tx>
          <c:spPr>
            <a:ln cmpd="sng">
              <a:solidFill>
                <a:srgbClr val="00FF00"/>
              </a:solidFill>
            </a:ln>
          </c:spPr>
          <c:marker>
            <c:symbol val="circle"/>
            <c:size val="7"/>
            <c:spPr>
              <a:solidFill>
                <a:srgbClr val="00FF00"/>
              </a:solidFill>
              <a:ln cmpd="sng">
                <a:solidFill>
                  <a:srgbClr val="00FF00"/>
                </a:solidFill>
              </a:ln>
            </c:spPr>
          </c:marker>
          <c:dPt>
            <c:idx val="1"/>
            <c:marker>
              <c:symbol val="none"/>
            </c:marker>
          </c:dPt>
          <c:dPt>
            <c:idx val="2"/>
            <c:marker>
              <c:symbol val="none"/>
            </c:marker>
          </c:dPt>
          <c:dPt>
            <c:idx val="6"/>
            <c:marker>
              <c:symbol val="none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 b="1" i="0">
                    <a:solidFill>
                      <a:srgbClr val="00FF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>Linear (Carteira Nasser Family)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BenchMarK!$A$13:$A$24</c:f>
            </c:strRef>
          </c:cat>
          <c:val>
            <c:numRef>
              <c:f>BenchMarK!$G$13:$G$14</c:f>
              <c:numCache/>
            </c:numRef>
          </c:val>
          <c:smooth val="0"/>
        </c:ser>
        <c:axId val="1136293865"/>
        <c:axId val="516009099"/>
      </c:lineChart>
      <c:catAx>
        <c:axId val="11362938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MESES 2023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Arial"/>
              </a:defRPr>
            </a:pPr>
          </a:p>
        </c:txPr>
        <c:crossAx val="516009099"/>
      </c:catAx>
      <c:valAx>
        <c:axId val="5160090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% DE DESEMPENHO</a:t>
                </a:r>
              </a:p>
            </c:rich>
          </c:tx>
          <c:overlay val="0"/>
        </c:title>
        <c:numFmt formatCode="0.00%" sourceLinked="0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136293865"/>
      </c:valAx>
    </c:plotArea>
    <c:legend>
      <c:legendPos val="t"/>
      <c:overlay val="0"/>
      <c:txPr>
        <a:bodyPr/>
        <a:lstStyle/>
        <a:p>
          <a:pPr lvl="0">
            <a:defRPr b="0" i="1">
              <a:solidFill>
                <a:srgbClr val="000000"/>
              </a:solidFill>
              <a:latin typeface="Arial black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Arial"/>
              </a:defRPr>
            </a:pPr>
            <a:r>
              <a:rPr b="1" i="0">
                <a:solidFill>
                  <a:srgbClr val="000000"/>
                </a:solidFill>
                <a:latin typeface="Arial"/>
              </a:rPr>
              <a:t>BENCHMARK (IBOV) x (CDI-DI) x Carteira "NASSER Family"</a:t>
            </a:r>
          </a:p>
        </c:rich>
      </c:tx>
      <c:overlay val="0"/>
    </c:title>
    <c:plotArea>
      <c:layout>
        <c:manualLayout>
          <c:xMode val="edge"/>
          <c:yMode val="edge"/>
          <c:x val="0.13332733294930876"/>
          <c:y val="0.13942307692307693"/>
          <c:w val="0.8166726670506914"/>
          <c:h val="0.7499313186813188"/>
        </c:manualLayout>
      </c:layout>
      <c:lineChart>
        <c:ser>
          <c:idx val="0"/>
          <c:order val="0"/>
          <c:tx>
            <c:v>CDI - SELIC</c:v>
          </c:tx>
          <c:spPr>
            <a:ln cmpd="sng">
              <a:solidFill>
                <a:srgbClr val="0000FF"/>
              </a:solidFill>
            </a:ln>
          </c:spPr>
          <c:marker>
            <c:symbol val="circle"/>
            <c:size val="14"/>
            <c:spPr>
              <a:solidFill>
                <a:srgbClr val="0000FF"/>
              </a:solidFill>
              <a:ln cmpd="sng">
                <a:solidFill>
                  <a:srgbClr val="0000FF"/>
                </a:solidFill>
              </a:ln>
            </c:spPr>
          </c:marker>
          <c:dPt>
            <c:idx val="0"/>
            <c:marker>
              <c:symbol val="none"/>
            </c:marker>
          </c:dPt>
          <c:dPt>
            <c:idx val="2"/>
            <c:marker>
              <c:symbol val="none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 b="1" i="0">
                    <a:solidFill>
                      <a:srgbClr val="4A86E8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>Linear (CDI - SELIC)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BenchMarK!$A$13:$A$24</c:f>
            </c:strRef>
          </c:cat>
          <c:val>
            <c:numRef>
              <c:f>BenchMarK!$E$13:$E$14</c:f>
              <c:numCache/>
            </c:numRef>
          </c:val>
          <c:smooth val="0"/>
        </c:ser>
        <c:ser>
          <c:idx val="1"/>
          <c:order val="1"/>
          <c:tx>
            <c:v>Carteira Nasser Family</c:v>
          </c:tx>
          <c:spPr>
            <a:ln cmpd="sng">
              <a:solidFill>
                <a:srgbClr val="00FF00"/>
              </a:solidFill>
            </a:ln>
          </c:spPr>
          <c:marker>
            <c:symbol val="circle"/>
            <c:size val="14"/>
            <c:spPr>
              <a:solidFill>
                <a:srgbClr val="00FF00"/>
              </a:solidFill>
              <a:ln cmpd="sng">
                <a:solidFill>
                  <a:srgbClr val="00FF00"/>
                </a:solidFill>
              </a:ln>
            </c:spPr>
          </c:marker>
          <c:dPt>
            <c:idx val="1"/>
            <c:marker>
              <c:symbol val="none"/>
            </c:marker>
          </c:dPt>
          <c:dPt>
            <c:idx val="2"/>
            <c:marker>
              <c:symbol val="none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 b="1" i="0">
                    <a:solidFill>
                      <a:srgbClr val="00FF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>Linear (Carteira Nasser Family)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BenchMarK!$A$13:$A$24</c:f>
            </c:strRef>
          </c:cat>
          <c:val>
            <c:numRef>
              <c:f>BenchMarK!$G$13:$G$14</c:f>
              <c:numCache/>
            </c:numRef>
          </c:val>
          <c:smooth val="0"/>
        </c:ser>
        <c:ser>
          <c:idx val="2"/>
          <c:order val="2"/>
          <c:tx>
            <c:v>IBOV</c:v>
          </c:tx>
          <c:spPr>
            <a:ln cmpd="sng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rgbClr val="000000"/>
              </a:solidFill>
              <a:ln cmpd="sng">
                <a:solidFill>
                  <a:srgbClr val="000000"/>
                </a:solidFill>
              </a:ln>
            </c:spPr>
          </c:marker>
          <c:dPt>
            <c:idx val="0"/>
            <c:marker>
              <c:symbol val="none"/>
            </c:marker>
          </c:dPt>
          <c:dPt>
            <c:idx val="1"/>
            <c:marker>
              <c:symbol val="none"/>
            </c:marker>
          </c:dPt>
          <c:dPt>
            <c:idx val="2"/>
            <c:marker>
              <c:symbol val="circle"/>
              <c:size val="7"/>
              <c:spPr>
                <a:solidFill>
                  <a:srgbClr val="000000"/>
                </a:solidFill>
                <a:ln cmpd="sng">
                  <a:solidFill>
                    <a:srgbClr val="000000"/>
                  </a:solidFill>
                </a:ln>
              </c:spPr>
            </c:marker>
          </c:dPt>
          <c:dLbls>
            <c:dLbl>
              <c:idx val="0"/>
              <c:numFmt formatCode="0.00%" sourceLinked="0"/>
              <c:txPr>
                <a:bodyPr/>
                <a:lstStyle/>
                <a:p>
                  <a:pPr lvl="0">
                    <a:defRPr b="1" i="0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numFmt formatCode="0.00%" sourceLinked="0"/>
              <c:txPr>
                <a:bodyPr/>
                <a:lstStyle/>
                <a:p>
                  <a:pPr lvl="0">
                    <a:defRPr b="1" i="0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0.00%" sourceLinked="0"/>
            <c:txPr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>Linear (IBOV)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BenchMarK!$A$13:$A$24</c:f>
            </c:strRef>
          </c:cat>
          <c:val>
            <c:numRef>
              <c:f>BenchMarK!$B$13:$B$14</c:f>
              <c:numCache/>
            </c:numRef>
          </c:val>
          <c:smooth val="0"/>
        </c:ser>
        <c:axId val="1514526984"/>
        <c:axId val="1562358904"/>
      </c:lineChart>
      <c:catAx>
        <c:axId val="15145269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MESES 2023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562358904"/>
      </c:catAx>
      <c:valAx>
        <c:axId val="15623589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% DE DESEMPENHO</a:t>
                </a:r>
              </a:p>
            </c:rich>
          </c:tx>
          <c:overlay val="0"/>
        </c:title>
        <c:numFmt formatCode="0.00%" sourceLinked="0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514526984"/>
      </c:valAx>
    </c:plotArea>
    <c:legend>
      <c:legendPos val="t"/>
      <c:overlay val="0"/>
      <c:txPr>
        <a:bodyPr/>
        <a:lstStyle/>
        <a:p>
          <a:pPr lvl="0">
            <a:defRPr b="0" i="1">
              <a:solidFill>
                <a:srgbClr val="000000"/>
              </a:solidFill>
              <a:latin typeface="Arial black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Calibri"/>
              </a:defRPr>
            </a:pPr>
            <a:r>
              <a:rPr b="1" i="0">
                <a:solidFill>
                  <a:srgbClr val="000000"/>
                </a:solidFill>
                <a:latin typeface="Calibri"/>
              </a:rPr>
              <a:t>Valor (R$) da carteira (mês a mês)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R$</c:v>
          </c:tx>
          <c:spPr>
            <a:solidFill>
              <a:srgbClr val="93C47D"/>
            </a:solidFill>
            <a:ln cmpd="sng">
              <a:solidFill>
                <a:srgbClr val="93C47D">
                  <a:alpha val="100000"/>
                </a:srgbClr>
              </a:solidFill>
            </a:ln>
          </c:spPr>
          <c:dPt>
            <c:idx val="0"/>
            <c:spPr>
              <a:solidFill>
                <a:srgbClr val="93C47D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</c:dPt>
          <c:dPt>
            <c:idx val="2"/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 b="0" i="0" sz="12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numFmt formatCode="General" sourceLinked="1"/>
              <c:txPr>
                <a:bodyPr/>
                <a:lstStyle/>
                <a:p>
                  <a:pPr lvl="0">
                    <a:defRPr b="0" i="0" sz="12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numFmt formatCode="General" sourceLinked="1"/>
              <c:txPr>
                <a:bodyPr/>
                <a:lstStyle/>
                <a:p>
                  <a:pPr lvl="0">
                    <a:defRPr b="0" i="0" sz="10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'Planilha de Rentabilidade'!$AI$6</c:f>
              <c:numCache/>
            </c:numRef>
          </c:val>
        </c:ser>
        <c:ser>
          <c:idx val="1"/>
          <c:order val="1"/>
          <c:spPr>
            <a:solidFill>
              <a:srgbClr val="93C47D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'Planilha de Rentabilidade'!$AI$14</c:f>
              <c:numCache/>
            </c:numRef>
          </c:val>
        </c:ser>
        <c:axId val="225608590"/>
        <c:axId val="1479427207"/>
      </c:barChart>
      <c:catAx>
        <c:axId val="2256085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 i="0" sz="900">
                <a:solidFill>
                  <a:srgbClr val="595959"/>
                </a:solidFill>
                <a:latin typeface="Arial"/>
              </a:defRPr>
            </a:pPr>
          </a:p>
        </c:txPr>
        <c:crossAx val="1479427207"/>
      </c:catAx>
      <c:valAx>
        <c:axId val="14794272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595959"/>
                </a:solidFill>
                <a:latin typeface="Calibri"/>
              </a:defRPr>
            </a:pPr>
          </a:p>
        </c:txPr>
        <c:crossAx val="225608590"/>
      </c:valAx>
      <c:spPr>
        <a:solidFill>
          <a:srgbClr val="FFFFFF"/>
        </a:solidFill>
      </c:spPr>
    </c:plotArea>
    <c:legend>
      <c:legendPos val="t"/>
      <c:legendEntry>
        <c:idx val="0"/>
        <c:txPr>
          <a:bodyPr/>
          <a:lstStyle/>
          <a:p>
            <a:pPr lvl="0">
              <a:defRPr b="1" i="0">
                <a:solidFill>
                  <a:srgbClr val="00FF00"/>
                </a:solidFill>
              </a:defRPr>
            </a:pPr>
          </a:p>
        </c:txPr>
      </c:legendEntry>
      <c:overlay val="0"/>
      <c:txPr>
        <a:bodyPr/>
        <a:lstStyle/>
        <a:p>
          <a:pPr lvl="0">
            <a:defRPr b="0" i="0">
              <a:solidFill>
                <a:srgbClr val="CC4125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r>
              <a:rPr b="1" i="0">
                <a:solidFill>
                  <a:srgbClr val="000000"/>
                </a:solidFill>
                <a:latin typeface="+mn-lt"/>
              </a:rPr>
              <a:t>Patrimônio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 w="19050">
              <a:solidFill>
                <a:srgbClr val="4472C4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4472C4">
                  <a:alpha val="100000"/>
                </a:srgbClr>
              </a:solidFill>
              <a:ln cmpd="sng">
                <a:solidFill>
                  <a:srgbClr val="4472C4">
                    <a:alpha val="100000"/>
                  </a:srgbClr>
                </a:solidFill>
              </a:ln>
            </c:spPr>
          </c:marker>
          <c:dPt>
            <c:idx val="0"/>
            <c:marker>
              <c:symbol val="none"/>
            </c:marker>
          </c:dPt>
          <c:dPt>
            <c:idx val="1"/>
            <c:marker>
              <c:symbol val="none"/>
            </c:marker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 b="1" i="0">
                      <a:latin typeface="Roboto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 i="0" sz="7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>Linha de tendência para série 1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val>
            <c:numRef>
              <c:f>('Planilha de Rentabilidade'!$AI$6,'Planilha de Rentabilidade'!$AI$14)</c:f>
              <c:numCache/>
            </c:numRef>
          </c:val>
          <c:smooth val="0"/>
        </c:ser>
        <c:axId val="233160179"/>
        <c:axId val="253063817"/>
      </c:lineChart>
      <c:catAx>
        <c:axId val="2331601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sans-serif"/>
              </a:defRPr>
            </a:pPr>
          </a:p>
        </c:txPr>
        <c:crossAx val="253063817"/>
      </c:catAx>
      <c:valAx>
        <c:axId val="253063817"/>
        <c:scaling>
          <c:orientation val="minMax"/>
          <c:min val="250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sans-serif"/>
              </a:defRPr>
            </a:pPr>
          </a:p>
        </c:txPr>
        <c:crossAx val="233160179"/>
      </c:valAx>
    </c:plotArea>
    <c:legend>
      <c:legendPos val="r"/>
      <c:overlay val="0"/>
      <c:txPr>
        <a:bodyPr/>
        <a:lstStyle/>
        <a:p>
          <a:pPr lvl="0">
            <a:defRPr b="0" i="0" sz="80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Carteira "Nasser Family" 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472C4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Pt>
            <c:idx val="4"/>
            <c:spPr>
              <a:solidFill>
                <a:srgbClr val="5B9BD5"/>
              </a:solidFill>
            </c:spPr>
          </c:dPt>
          <c:dPt>
            <c:idx val="5"/>
            <c:spPr>
              <a:solidFill>
                <a:srgbClr val="70AD47"/>
              </a:solidFill>
            </c:spPr>
          </c:dPt>
          <c:dPt>
            <c:idx val="6"/>
            <c:spPr>
              <a:solidFill>
                <a:srgbClr val="7C9CD6"/>
              </a:solidFill>
            </c:spPr>
          </c:dPt>
          <c:dPt>
            <c:idx val="7"/>
            <c:spPr>
              <a:solidFill>
                <a:srgbClr val="F2A46F"/>
              </a:solidFill>
            </c:spPr>
          </c:dPt>
          <c:dPt>
            <c:idx val="8"/>
            <c:spPr>
              <a:solidFill>
                <a:srgbClr val="C0C0C0"/>
              </a:solidFill>
            </c:spPr>
          </c:dPt>
          <c:dPt>
            <c:idx val="9"/>
            <c:spPr>
              <a:solidFill>
                <a:srgbClr val="FFD34D"/>
              </a:solidFill>
            </c:spPr>
          </c:dPt>
          <c:dPt>
            <c:idx val="10"/>
            <c:spPr>
              <a:solidFill>
                <a:srgbClr val="8CB9E2"/>
              </a:solidFill>
            </c:spPr>
          </c:dPt>
          <c:dLbls>
            <c:showLegendKey val="0"/>
            <c:showVal val="0"/>
            <c:showCatName val="1"/>
            <c:showSerName val="0"/>
            <c:showPercent val="0"/>
            <c:showBubbleSize val="0"/>
            <c:showLeaderLines val="1"/>
          </c:dLbls>
          <c:cat>
            <c:strRef>
              <c:f>'% de Alocação da Carteira 02_25'!$B$4:$B$14</c:f>
            </c:strRef>
          </c:cat>
          <c:val>
            <c:numRef>
              <c:f>'% de Alocação da Carteira 02_25'!$E$4:$E$14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600">
                <a:solidFill>
                  <a:srgbClr val="757575"/>
                </a:solidFill>
                <a:latin typeface="Arial"/>
              </a:defRPr>
            </a:pPr>
            <a:r>
              <a:rPr b="0" i="0" sz="1600">
                <a:solidFill>
                  <a:srgbClr val="757575"/>
                </a:solidFill>
                <a:latin typeface="Arial"/>
              </a:rPr>
              <a:t>% de Alocações Carteira "Nasser Family" na R.V. por Setor</a:t>
            </a:r>
          </a:p>
        </c:rich>
      </c:tx>
      <c:layout>
        <c:manualLayout>
          <c:xMode val="edge"/>
          <c:yMode val="edge"/>
          <c:x val="0.03356164383561644"/>
          <c:y val="0.06333333333333334"/>
        </c:manualLayout>
      </c:layout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472C4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Pt>
            <c:idx val="4"/>
            <c:spPr>
              <a:solidFill>
                <a:srgbClr val="5B9BD5"/>
              </a:solidFill>
            </c:spPr>
          </c:dPt>
          <c:dPt>
            <c:idx val="5"/>
            <c:spPr>
              <a:solidFill>
                <a:srgbClr val="70AD47"/>
              </a:solidFill>
            </c:spPr>
          </c:dPt>
          <c:dPt>
            <c:idx val="6"/>
            <c:spPr>
              <a:solidFill>
                <a:srgbClr val="7C9CD6"/>
              </a:solidFill>
            </c:spPr>
          </c:dPt>
          <c:dPt>
            <c:idx val="7"/>
            <c:spPr>
              <a:solidFill>
                <a:srgbClr val="F2A46F"/>
              </a:solidFill>
            </c:spPr>
          </c:dPt>
          <c:dPt>
            <c:idx val="8"/>
            <c:spPr>
              <a:solidFill>
                <a:srgbClr val="C0C0C0"/>
              </a:solidFill>
            </c:spPr>
          </c:dPt>
          <c:dPt>
            <c:idx val="9"/>
            <c:spPr>
              <a:solidFill>
                <a:srgbClr val="FFD34D"/>
              </a:solidFill>
            </c:spPr>
          </c:dPt>
          <c:dPt>
            <c:idx val="10"/>
            <c:spPr>
              <a:solidFill>
                <a:srgbClr val="8CB9E2"/>
              </a:solidFill>
            </c:spPr>
          </c:dPt>
          <c:dLbls>
            <c:showLegendKey val="0"/>
            <c:showVal val="0"/>
            <c:showCatName val="1"/>
            <c:showSerName val="0"/>
            <c:showPercent val="0"/>
            <c:showBubbleSize val="0"/>
            <c:showLeaderLines val="1"/>
          </c:dLbls>
          <c:cat>
            <c:strRef>
              <c:f>'% de Alocação da Carteira 02_25'!$D$20:$D$32</c:f>
            </c:strRef>
          </c:cat>
          <c:val>
            <c:numRef>
              <c:f>'% de Alocação da Carteira 02_25'!$C$20:$C$30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Carteira "NF" -ALOCAÇÃO % COMPACTA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472C4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Pt>
            <c:idx val="4"/>
            <c:spPr>
              <a:solidFill>
                <a:srgbClr val="5B9BD5"/>
              </a:solidFill>
            </c:spPr>
          </c:dPt>
          <c:dPt>
            <c:idx val="5"/>
            <c:spPr>
              <a:solidFill>
                <a:srgbClr val="70AD47"/>
              </a:solidFill>
            </c:spPr>
          </c:dPt>
          <c:dPt>
            <c:idx val="6"/>
            <c:spPr>
              <a:solidFill>
                <a:srgbClr val="7C9CD6"/>
              </a:solidFill>
            </c:spPr>
          </c:dPt>
          <c:dPt>
            <c:idx val="7"/>
            <c:spPr>
              <a:solidFill>
                <a:srgbClr val="F2A46F"/>
              </a:solidFill>
            </c:spPr>
          </c:dPt>
          <c:dPt>
            <c:idx val="8"/>
            <c:spPr>
              <a:solidFill>
                <a:srgbClr val="C0C0C0"/>
              </a:solidFill>
            </c:spPr>
          </c:dPt>
          <c:dPt>
            <c:idx val="9"/>
            <c:spPr>
              <a:solidFill>
                <a:srgbClr val="FFD34D"/>
              </a:solidFill>
            </c:spPr>
          </c:dPt>
          <c:dPt>
            <c:idx val="10"/>
            <c:spPr>
              <a:solidFill>
                <a:srgbClr val="8CB9E2"/>
              </a:solidFill>
            </c:spPr>
          </c:dPt>
          <c:dLbls>
            <c:showLegendKey val="0"/>
            <c:showVal val="0"/>
            <c:showCatName val="1"/>
            <c:showSerName val="0"/>
            <c:showPercent val="0"/>
            <c:showBubbleSize val="0"/>
            <c:showLeaderLines val="1"/>
          </c:dLbls>
          <c:cat>
            <c:strRef>
              <c:f>'% de Alocação da Carteira 02_25'!$L$4:$L$14</c:f>
            </c:strRef>
          </c:cat>
          <c:val>
            <c:numRef>
              <c:f>'% de Alocação da Carteira 02_25'!$N$4:$N$14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Carteira "Nasser Family" 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472C4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Pt>
            <c:idx val="4"/>
            <c:spPr>
              <a:solidFill>
                <a:srgbClr val="5B9BD5"/>
              </a:solidFill>
            </c:spPr>
          </c:dPt>
          <c:dPt>
            <c:idx val="5"/>
            <c:spPr>
              <a:solidFill>
                <a:srgbClr val="70AD47"/>
              </a:solidFill>
            </c:spPr>
          </c:dPt>
          <c:dPt>
            <c:idx val="6"/>
            <c:spPr>
              <a:solidFill>
                <a:srgbClr val="7C9CD6"/>
              </a:solidFill>
            </c:spPr>
          </c:dPt>
          <c:dPt>
            <c:idx val="7"/>
            <c:spPr>
              <a:solidFill>
                <a:srgbClr val="F2A46F"/>
              </a:solidFill>
            </c:spPr>
          </c:dPt>
          <c:dPt>
            <c:idx val="8"/>
            <c:spPr>
              <a:solidFill>
                <a:srgbClr val="C0C0C0"/>
              </a:solidFill>
            </c:spPr>
          </c:dPt>
          <c:dPt>
            <c:idx val="9"/>
            <c:spPr>
              <a:solidFill>
                <a:srgbClr val="FFD34D"/>
              </a:solidFill>
            </c:spPr>
          </c:dPt>
          <c:dPt>
            <c:idx val="10"/>
            <c:spPr>
              <a:solidFill>
                <a:srgbClr val="8CB9E2"/>
              </a:solidFill>
            </c:spPr>
          </c:dPt>
          <c:dLbls>
            <c:dLbl>
              <c:idx val="7"/>
              <c:txPr>
                <a:bodyPr/>
                <a:lstStyle/>
                <a:p>
                  <a:pPr lvl="0">
                    <a:defRPr b="1" i="0" sz="1000">
                      <a:latin typeface="serif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8"/>
              <c:txPr>
                <a:bodyPr/>
                <a:lstStyle/>
                <a:p>
                  <a:pPr lvl="0">
                    <a:defRPr b="1" i="0" sz="800">
                      <a:latin typeface="serif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9"/>
              <c:txPr>
                <a:bodyPr/>
                <a:lstStyle/>
                <a:p>
                  <a:pPr lvl="0">
                    <a:defRPr b="1" i="0" sz="700">
                      <a:latin typeface="serif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10"/>
              <c:txPr>
                <a:bodyPr/>
                <a:lstStyle/>
                <a:p>
                  <a:pPr lvl="0">
                    <a:defRPr b="1" i="0" sz="700">
                      <a:latin typeface="serif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</c:dLbl>
            <c:showLegendKey val="0"/>
            <c:showVal val="0"/>
            <c:showCatName val="1"/>
            <c:showSerName val="0"/>
            <c:showPercent val="0"/>
            <c:showBubbleSize val="0"/>
            <c:showLeaderLines val="1"/>
          </c:dLbls>
          <c:cat>
            <c:strRef>
              <c:f>'Alocação da Carteira 04_25'!$B$4:$B$14</c:f>
            </c:strRef>
          </c:cat>
          <c:val>
            <c:numRef>
              <c:f>'Alocação da Carteira 04_25'!$E$4:$E$14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serif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600">
                <a:solidFill>
                  <a:srgbClr val="757575"/>
                </a:solidFill>
                <a:latin typeface="Arial"/>
              </a:defRPr>
            </a:pPr>
            <a:r>
              <a:rPr b="0" i="0" sz="1600">
                <a:solidFill>
                  <a:srgbClr val="757575"/>
                </a:solidFill>
                <a:latin typeface="Arial"/>
              </a:rPr>
              <a:t>% de Alocações Carteira "Nasser Family" na R. V. por Setor</a:t>
            </a:r>
          </a:p>
        </c:rich>
      </c:tx>
      <c:layout>
        <c:manualLayout>
          <c:xMode val="edge"/>
          <c:yMode val="edge"/>
          <c:x val="0.03356164383561644"/>
          <c:y val="0.06333333333333334"/>
        </c:manualLayout>
      </c:layout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472C4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Pt>
            <c:idx val="4"/>
            <c:spPr>
              <a:solidFill>
                <a:srgbClr val="5B9BD5"/>
              </a:solidFill>
            </c:spPr>
          </c:dPt>
          <c:dPt>
            <c:idx val="5"/>
            <c:spPr>
              <a:solidFill>
                <a:srgbClr val="70AD47"/>
              </a:solidFill>
            </c:spPr>
          </c:dPt>
          <c:dPt>
            <c:idx val="6"/>
            <c:spPr>
              <a:solidFill>
                <a:srgbClr val="7C9CD6"/>
              </a:solidFill>
            </c:spPr>
          </c:dPt>
          <c:dPt>
            <c:idx val="7"/>
            <c:spPr>
              <a:solidFill>
                <a:srgbClr val="F2A46F"/>
              </a:solidFill>
            </c:spPr>
          </c:dPt>
          <c:dPt>
            <c:idx val="8"/>
            <c:spPr>
              <a:solidFill>
                <a:srgbClr val="C0C0C0"/>
              </a:solidFill>
            </c:spPr>
          </c:dPt>
          <c:dPt>
            <c:idx val="9"/>
            <c:spPr>
              <a:solidFill>
                <a:srgbClr val="FFD34D"/>
              </a:solidFill>
            </c:spPr>
          </c:dPt>
          <c:dPt>
            <c:idx val="10"/>
            <c:spPr>
              <a:solidFill>
                <a:srgbClr val="8CB9E2"/>
              </a:solidFill>
            </c:spPr>
          </c:dPt>
          <c:dPt>
            <c:idx val="11"/>
            <c:spPr>
              <a:solidFill>
                <a:srgbClr val="9BC67E"/>
              </a:solidFill>
            </c:spPr>
          </c:dPt>
          <c:dPt>
            <c:idx val="12"/>
            <c:spPr>
              <a:solidFill>
                <a:srgbClr val="B4C7E7"/>
              </a:solidFill>
            </c:spPr>
          </c:dPt>
          <c:dLbls>
            <c:showLegendKey val="0"/>
            <c:showVal val="0"/>
            <c:showCatName val="1"/>
            <c:showSerName val="0"/>
            <c:showPercent val="0"/>
            <c:showBubbleSize val="0"/>
            <c:showLeaderLines val="1"/>
          </c:dLbls>
          <c:cat>
            <c:strRef>
              <c:f>'Alocação da Carteira 04_25'!$D$20:$D$32</c:f>
            </c:strRef>
          </c:cat>
          <c:val>
            <c:numRef>
              <c:f>'Alocação da Carteira 04_25'!$C$20:$C$32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Carteira "NF" -ALOCAÇÃO % COMPACTA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472C4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Pt>
            <c:idx val="4"/>
            <c:spPr>
              <a:solidFill>
                <a:srgbClr val="5B9BD5"/>
              </a:solidFill>
            </c:spPr>
          </c:dPt>
          <c:dPt>
            <c:idx val="5"/>
            <c:spPr>
              <a:solidFill>
                <a:srgbClr val="70AD47"/>
              </a:solidFill>
            </c:spPr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Lbls>
            <c:dLbl>
              <c:idx val="3"/>
              <c:txPr>
                <a:bodyPr/>
                <a:lstStyle/>
                <a:p>
                  <a:pPr lvl="0">
                    <a:defRPr b="1" i="0">
                      <a:latin typeface="serif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4"/>
              <c:txPr>
                <a:bodyPr/>
                <a:lstStyle/>
                <a:p>
                  <a:pPr lvl="0">
                    <a:defRPr b="1" i="0">
                      <a:latin typeface="serif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</c:dLbl>
            <c:showLegendKey val="0"/>
            <c:showVal val="0"/>
            <c:showCatName val="1"/>
            <c:showSerName val="0"/>
            <c:showPercent val="0"/>
            <c:showBubbleSize val="0"/>
            <c:showLeaderLines val="1"/>
          </c:dLbls>
          <c:cat>
            <c:strRef>
              <c:f>'Alocação da Carteira 04_25'!$L$4:$L$14</c:f>
            </c:strRef>
          </c:cat>
          <c:val>
            <c:numRef>
              <c:f>'Alocação da Carteira 04_25'!$N$4:$N$14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Carteira "Nasser Family" </a:t>
            </a:r>
          </a:p>
        </c:rich>
      </c:tx>
      <c:overlay val="0"/>
    </c:title>
    <c:view3D>
      <c:rotX val="50"/>
      <c:perspective val="0"/>
    </c:view3D>
    <c:plotArea>
      <c:layout>
        <c:manualLayout>
          <c:xMode val="edge"/>
          <c:yMode val="edge"/>
          <c:x val="0.0279352226720648"/>
          <c:y val="0.11413043478260869"/>
          <c:w val="0.6289765203272604"/>
          <c:h val="0.8623188405797102"/>
        </c:manualLayout>
      </c:layout>
      <c:pie3DChart>
        <c:varyColors val="1"/>
        <c:ser>
          <c:idx val="0"/>
          <c:order val="0"/>
          <c:dPt>
            <c:idx val="0"/>
            <c:spPr>
              <a:solidFill>
                <a:srgbClr val="4472C4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Pt>
            <c:idx val="4"/>
            <c:spPr>
              <a:solidFill>
                <a:srgbClr val="5B9BD5"/>
              </a:solidFill>
            </c:spPr>
          </c:dPt>
          <c:dPt>
            <c:idx val="5"/>
            <c:spPr>
              <a:solidFill>
                <a:srgbClr val="70AD47"/>
              </a:solidFill>
            </c:spPr>
          </c:dPt>
          <c:dPt>
            <c:idx val="6"/>
            <c:spPr>
              <a:solidFill>
                <a:srgbClr val="7C9CD6"/>
              </a:solidFill>
            </c:spPr>
          </c:dPt>
          <c:dPt>
            <c:idx val="7"/>
            <c:spPr>
              <a:solidFill>
                <a:srgbClr val="F2A46F"/>
              </a:solidFill>
            </c:spPr>
          </c:dPt>
          <c:dPt>
            <c:idx val="8"/>
            <c:spPr>
              <a:solidFill>
                <a:srgbClr val="C0C0C0"/>
              </a:solidFill>
            </c:spPr>
          </c:dPt>
          <c:dPt>
            <c:idx val="9"/>
            <c:spPr>
              <a:solidFill>
                <a:srgbClr val="FFD34D"/>
              </a:solidFill>
            </c:spPr>
          </c:dPt>
          <c:dPt>
            <c:idx val="10"/>
            <c:spPr>
              <a:solidFill>
                <a:srgbClr val="8CB9E2"/>
              </a:solidFill>
            </c:spPr>
          </c:dPt>
          <c:dLbls>
            <c:dLbl>
              <c:idx val="8"/>
              <c:txPr>
                <a:bodyPr/>
                <a:lstStyle/>
                <a:p>
                  <a:pPr lvl="0">
                    <a:defRPr b="1" i="0" sz="1000"/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</c:dLbl>
            <c:showLegendKey val="0"/>
            <c:showVal val="0"/>
            <c:showCatName val="1"/>
            <c:showSerName val="0"/>
            <c:showPercent val="0"/>
            <c:showBubbleSize val="0"/>
            <c:showLeaderLines val="1"/>
          </c:dLbls>
          <c:cat>
            <c:strRef>
              <c:f>'% de Alocação da Carteira 03_25'!$B$4:$B$14</c:f>
            </c:strRef>
          </c:cat>
          <c:val>
            <c:numRef>
              <c:f>'% de Alocação da Carteira 03_25'!$E$4:$E$14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600">
                <a:solidFill>
                  <a:srgbClr val="757575"/>
                </a:solidFill>
                <a:latin typeface="Arial"/>
              </a:defRPr>
            </a:pPr>
            <a:r>
              <a:rPr b="0" i="0" sz="1600">
                <a:solidFill>
                  <a:srgbClr val="757575"/>
                </a:solidFill>
                <a:latin typeface="Arial"/>
              </a:rPr>
              <a:t>% de Alocações Carteira "Nasser Family" na R. V. por Setor</a:t>
            </a:r>
          </a:p>
        </c:rich>
      </c:tx>
      <c:layout>
        <c:manualLayout>
          <c:xMode val="edge"/>
          <c:yMode val="edge"/>
          <c:x val="0.03356164383561644"/>
          <c:y val="0.06333333333333334"/>
        </c:manualLayout>
      </c:layout>
      <c:overlay val="0"/>
    </c:title>
    <c:view3D>
      <c:rotX val="50"/>
      <c:perspective val="0"/>
    </c:view3D>
    <c:plotArea>
      <c:layout>
        <c:manualLayout>
          <c:xMode val="edge"/>
          <c:yMode val="edge"/>
          <c:x val="0.016355140186915893"/>
          <c:y val="0.12857142857142856"/>
          <c:w val="0.5623301187772275"/>
          <c:h val="0.8214285714285714"/>
        </c:manualLayout>
      </c:layout>
      <c:pie3DChart>
        <c:varyColors val="1"/>
        <c:ser>
          <c:idx val="0"/>
          <c:order val="0"/>
          <c:dPt>
            <c:idx val="0"/>
            <c:spPr>
              <a:solidFill>
                <a:srgbClr val="4472C4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Pt>
            <c:idx val="4"/>
            <c:spPr>
              <a:solidFill>
                <a:srgbClr val="5B9BD5"/>
              </a:solidFill>
            </c:spPr>
          </c:dPt>
          <c:dPt>
            <c:idx val="5"/>
            <c:spPr>
              <a:solidFill>
                <a:srgbClr val="70AD47"/>
              </a:solidFill>
            </c:spPr>
          </c:dPt>
          <c:dPt>
            <c:idx val="6"/>
            <c:spPr>
              <a:solidFill>
                <a:srgbClr val="7C9CD6"/>
              </a:solidFill>
            </c:spPr>
          </c:dPt>
          <c:dPt>
            <c:idx val="7"/>
            <c:spPr>
              <a:solidFill>
                <a:srgbClr val="F2A46F"/>
              </a:solidFill>
            </c:spPr>
          </c:dPt>
          <c:dPt>
            <c:idx val="8"/>
            <c:spPr>
              <a:solidFill>
                <a:srgbClr val="C0C0C0"/>
              </a:solidFill>
            </c:spPr>
          </c:dPt>
          <c:dPt>
            <c:idx val="9"/>
            <c:spPr>
              <a:solidFill>
                <a:srgbClr val="FFD34D"/>
              </a:solidFill>
            </c:spPr>
          </c:dPt>
          <c:dPt>
            <c:idx val="10"/>
            <c:spPr>
              <a:solidFill>
                <a:srgbClr val="8CB9E2"/>
              </a:solidFill>
            </c:spPr>
          </c:dPt>
          <c:dPt>
            <c:idx val="11"/>
            <c:spPr>
              <a:solidFill>
                <a:srgbClr val="9BC67E"/>
              </a:solidFill>
            </c:spPr>
          </c:dPt>
          <c:dPt>
            <c:idx val="12"/>
            <c:spPr>
              <a:solidFill>
                <a:srgbClr val="B4C7E7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1" i="0" sz="800"/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1" i="0" sz="800"/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6"/>
              <c:txPr>
                <a:bodyPr/>
                <a:lstStyle/>
                <a:p>
                  <a:pPr lvl="0">
                    <a:defRPr b="1" i="0" sz="800"/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</c:dLbl>
            <c:showLegendKey val="0"/>
            <c:showVal val="0"/>
            <c:showCatName val="1"/>
            <c:showSerName val="0"/>
            <c:showPercent val="0"/>
            <c:showBubbleSize val="0"/>
            <c:showLeaderLines val="1"/>
          </c:dLbls>
          <c:cat>
            <c:strRef>
              <c:f>'% de Alocação da Carteira 03_25'!$D$20:$D$32</c:f>
            </c:strRef>
          </c:cat>
          <c:val>
            <c:numRef>
              <c:f>'% de Alocação da Carteira 03_25'!$C$20:$C$32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layout>
        <c:manualLayout>
          <c:xMode val="edge"/>
          <c:yMode val="edge"/>
          <c:x val="0.585402025927768"/>
          <c:y val="0.30873015873015874"/>
        </c:manualLayout>
      </c:layout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Carteira "NF" -ALOCAÇÃO % COMPACTA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472C4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Pt>
            <c:idx val="4"/>
            <c:spPr>
              <a:solidFill>
                <a:srgbClr val="5B9BD5"/>
              </a:solidFill>
            </c:spPr>
          </c:dPt>
          <c:dPt>
            <c:idx val="5"/>
            <c:spPr>
              <a:solidFill>
                <a:srgbClr val="70AD47"/>
              </a:solidFill>
            </c:spPr>
          </c:dPt>
          <c:dPt>
            <c:idx val="6"/>
            <c:spPr>
              <a:solidFill>
                <a:srgbClr val="7C9CD6"/>
              </a:solidFill>
            </c:spPr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Lbls>
            <c:showLegendKey val="0"/>
            <c:showVal val="0"/>
            <c:showCatName val="1"/>
            <c:showSerName val="0"/>
            <c:showPercent val="0"/>
            <c:showBubbleSize val="0"/>
            <c:showLeaderLines val="1"/>
          </c:dLbls>
          <c:cat>
            <c:strRef>
              <c:f>'% de Alocação da Carteira 03_25'!$L$4:$L$14</c:f>
            </c:strRef>
          </c:cat>
          <c:val>
            <c:numRef>
              <c:f>'% de Alocação da Carteira 03_25'!$N$4:$N$14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Carteira "Nasser Family" 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472C4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Pt>
            <c:idx val="4"/>
            <c:spPr>
              <a:solidFill>
                <a:srgbClr val="5B9BD5"/>
              </a:solidFill>
            </c:spPr>
          </c:dPt>
          <c:dPt>
            <c:idx val="5"/>
            <c:spPr>
              <a:solidFill>
                <a:srgbClr val="70AD47"/>
              </a:solidFill>
            </c:spPr>
          </c:dPt>
          <c:dPt>
            <c:idx val="6"/>
            <c:spPr>
              <a:solidFill>
                <a:srgbClr val="7C9CD6"/>
              </a:solidFill>
            </c:spPr>
          </c:dPt>
          <c:dPt>
            <c:idx val="7"/>
            <c:spPr>
              <a:solidFill>
                <a:srgbClr val="F2A46F"/>
              </a:solidFill>
            </c:spPr>
          </c:dPt>
          <c:dPt>
            <c:idx val="8"/>
            <c:spPr>
              <a:solidFill>
                <a:srgbClr val="C0C0C0"/>
              </a:solidFill>
            </c:spPr>
          </c:dPt>
          <c:dPt>
            <c:idx val="9"/>
            <c:spPr>
              <a:solidFill>
                <a:srgbClr val="FFD34D"/>
              </a:solidFill>
            </c:spPr>
          </c:dPt>
          <c:dPt>
            <c:idx val="10"/>
            <c:spPr>
              <a:solidFill>
                <a:srgbClr val="8CB9E2"/>
              </a:solidFill>
            </c:spPr>
          </c:dPt>
          <c:dLbls>
            <c:dLbl>
              <c:idx val="7"/>
              <c:txPr>
                <a:bodyPr/>
                <a:lstStyle/>
                <a:p>
                  <a:pPr lvl="0">
                    <a:defRPr b="1" i="0" sz="1000">
                      <a:latin typeface="serif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8"/>
              <c:txPr>
                <a:bodyPr/>
                <a:lstStyle/>
                <a:p>
                  <a:pPr lvl="0">
                    <a:defRPr b="1" i="0" sz="800">
                      <a:latin typeface="serif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</c:dLbl>
            <c:showLegendKey val="0"/>
            <c:showVal val="0"/>
            <c:showCatName val="1"/>
            <c:showSerName val="0"/>
            <c:showPercent val="0"/>
            <c:showBubbleSize val="0"/>
            <c:showLeaderLines val="1"/>
          </c:dLbls>
          <c:cat>
            <c:strRef>
              <c:f>'% de Alocação da Carteira 05_25'!$B$4:$B$14</c:f>
            </c:strRef>
          </c:cat>
          <c:val>
            <c:numRef>
              <c:f>'% de Alocação da Carteira 05_25'!$E$4:$E$14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layout>
        <c:manualLayout>
          <c:xMode val="edge"/>
          <c:yMode val="edge"/>
          <c:x val="0.653883495145631"/>
          <c:y val="0.15"/>
        </c:manualLayout>
      </c:layout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serif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600">
                <a:solidFill>
                  <a:srgbClr val="757575"/>
                </a:solidFill>
                <a:latin typeface="Arial"/>
              </a:defRPr>
            </a:pPr>
            <a:r>
              <a:rPr b="0" i="0" sz="1600">
                <a:solidFill>
                  <a:srgbClr val="757575"/>
                </a:solidFill>
                <a:latin typeface="Arial"/>
              </a:rPr>
              <a:t>% de Alocações Carteira "Nasser Family" na R. V. por Setor</a:t>
            </a:r>
          </a:p>
        </c:rich>
      </c:tx>
      <c:layout>
        <c:manualLayout>
          <c:xMode val="edge"/>
          <c:yMode val="edge"/>
          <c:x val="0.03356164383561644"/>
          <c:y val="0.06333333333333334"/>
        </c:manualLayout>
      </c:layout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472C4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Pt>
            <c:idx val="4"/>
            <c:spPr>
              <a:solidFill>
                <a:srgbClr val="5B9BD5"/>
              </a:solidFill>
            </c:spPr>
          </c:dPt>
          <c:dPt>
            <c:idx val="5"/>
            <c:spPr>
              <a:solidFill>
                <a:srgbClr val="70AD47"/>
              </a:solidFill>
            </c:spPr>
          </c:dPt>
          <c:dPt>
            <c:idx val="6"/>
            <c:spPr>
              <a:solidFill>
                <a:srgbClr val="7C9CD6"/>
              </a:solidFill>
            </c:spPr>
          </c:dPt>
          <c:dPt>
            <c:idx val="7"/>
            <c:spPr>
              <a:solidFill>
                <a:srgbClr val="F2A46F"/>
              </a:solidFill>
            </c:spPr>
          </c:dPt>
          <c:dPt>
            <c:idx val="8"/>
            <c:spPr>
              <a:solidFill>
                <a:srgbClr val="C0C0C0"/>
              </a:solidFill>
            </c:spPr>
          </c:dPt>
          <c:dPt>
            <c:idx val="9"/>
            <c:spPr>
              <a:solidFill>
                <a:srgbClr val="FFD34D"/>
              </a:solidFill>
            </c:spPr>
          </c:dPt>
          <c:dPt>
            <c:idx val="10"/>
            <c:spPr>
              <a:solidFill>
                <a:srgbClr val="8CB9E2"/>
              </a:solidFill>
            </c:spPr>
          </c:dPt>
          <c:dPt>
            <c:idx val="11"/>
            <c:spPr>
              <a:solidFill>
                <a:srgbClr val="9BC67E"/>
              </a:solidFill>
            </c:spPr>
          </c:dPt>
          <c:dPt>
            <c:idx val="12"/>
            <c:spPr>
              <a:solidFill>
                <a:srgbClr val="B4C7E7"/>
              </a:solidFill>
            </c:spPr>
          </c:dPt>
          <c:dLbls>
            <c:showLegendKey val="0"/>
            <c:showVal val="0"/>
            <c:showCatName val="1"/>
            <c:showSerName val="0"/>
            <c:showPercent val="0"/>
            <c:showBubbleSize val="0"/>
            <c:showLeaderLines val="1"/>
          </c:dLbls>
          <c:cat>
            <c:strRef>
              <c:f>'% de Alocação da Carteira 05_25'!$D$20:$D$32</c:f>
            </c:strRef>
          </c:cat>
          <c:val>
            <c:numRef>
              <c:f>'% de Alocação da Carteira 05_25'!$C$20:$C$32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Carteira "NF" -ALOCAÇÃO % COMPACTA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472C4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Pt>
            <c:idx val="4"/>
            <c:spPr>
              <a:solidFill>
                <a:srgbClr val="5B9BD5"/>
              </a:solidFill>
            </c:spPr>
          </c:dPt>
          <c:dPt>
            <c:idx val="5"/>
            <c:spPr>
              <a:solidFill>
                <a:srgbClr val="70AD47"/>
              </a:solidFill>
            </c:spPr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Lbls>
            <c:dLbl>
              <c:idx val="3"/>
              <c:txPr>
                <a:bodyPr/>
                <a:lstStyle/>
                <a:p>
                  <a:pPr lvl="0">
                    <a:defRPr b="1" i="0">
                      <a:latin typeface="serif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</c:dLbl>
            <c:showLegendKey val="0"/>
            <c:showVal val="0"/>
            <c:showCatName val="1"/>
            <c:showSerName val="0"/>
            <c:showPercent val="0"/>
            <c:showBubbleSize val="0"/>
            <c:showLeaderLines val="1"/>
          </c:dLbls>
          <c:cat>
            <c:strRef>
              <c:f>'% de Alocação da Carteira 05_25'!$L$4:$L$14</c:f>
            </c:strRef>
          </c:cat>
          <c:val>
            <c:numRef>
              <c:f>'% de Alocação da Carteira 05_25'!$N$4:$N$14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layout>
        <c:manualLayout>
          <c:xMode val="edge"/>
          <c:yMode val="edge"/>
          <c:x val="0.6731727065826331"/>
          <c:y val="0.16152263374485595"/>
        </c:manualLayout>
      </c:layout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Carteira "Nasser Family" 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472C4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Pt>
            <c:idx val="4"/>
            <c:spPr>
              <a:solidFill>
                <a:srgbClr val="5B9BD5"/>
              </a:solidFill>
            </c:spPr>
          </c:dPt>
          <c:dPt>
            <c:idx val="5"/>
            <c:spPr>
              <a:solidFill>
                <a:srgbClr val="70AD47"/>
              </a:solidFill>
            </c:spPr>
          </c:dPt>
          <c:dPt>
            <c:idx val="6"/>
            <c:spPr>
              <a:solidFill>
                <a:srgbClr val="7C9CD6"/>
              </a:solidFill>
            </c:spPr>
          </c:dPt>
          <c:dPt>
            <c:idx val="7"/>
            <c:spPr>
              <a:solidFill>
                <a:srgbClr val="F2A46F"/>
              </a:solidFill>
            </c:spPr>
          </c:dPt>
          <c:dPt>
            <c:idx val="8"/>
            <c:spPr>
              <a:solidFill>
                <a:srgbClr val="C0C0C0"/>
              </a:solidFill>
            </c:spPr>
          </c:dPt>
          <c:dPt>
            <c:idx val="9"/>
            <c:spPr>
              <a:solidFill>
                <a:srgbClr val="FFD34D"/>
              </a:solidFill>
            </c:spPr>
          </c:dPt>
          <c:dPt>
            <c:idx val="10"/>
            <c:spPr>
              <a:solidFill>
                <a:srgbClr val="8CB9E2"/>
              </a:solidFill>
            </c:spPr>
          </c:dPt>
          <c:dLbls>
            <c:dLbl>
              <c:idx val="7"/>
              <c:txPr>
                <a:bodyPr/>
                <a:lstStyle/>
                <a:p>
                  <a:pPr lvl="0">
                    <a:defRPr b="1" i="0" sz="1000">
                      <a:latin typeface="serif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8"/>
              <c:txPr>
                <a:bodyPr/>
                <a:lstStyle/>
                <a:p>
                  <a:pPr lvl="0">
                    <a:defRPr b="1" i="0" sz="800">
                      <a:latin typeface="serif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</c:dLbl>
            <c:showLegendKey val="0"/>
            <c:showVal val="0"/>
            <c:showCatName val="1"/>
            <c:showSerName val="0"/>
            <c:showPercent val="0"/>
            <c:showBubbleSize val="0"/>
            <c:showLeaderLines val="1"/>
          </c:dLbls>
          <c:cat>
            <c:strRef>
              <c:f>'% de Alocação da Carteira 06_25'!$B$4:$B$14</c:f>
            </c:strRef>
          </c:cat>
          <c:val>
            <c:numRef>
              <c:f>'% de Alocação da Carteira 06_25'!$E$4:$E$14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layout>
        <c:manualLayout>
          <c:xMode val="edge"/>
          <c:yMode val="edge"/>
          <c:x val="0.653883495145631"/>
          <c:y val="0.15"/>
        </c:manualLayout>
      </c:layout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serif"/>
            </a:defRPr>
          </a:pPr>
        </a:p>
      </c:txPr>
    </c:legend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Carteira "NF" -ALOCAÇÃO % COMPACTA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472C4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Pt>
            <c:idx val="4"/>
            <c:spPr>
              <a:solidFill>
                <a:srgbClr val="5B9BD5"/>
              </a:solidFill>
            </c:spPr>
          </c:dPt>
          <c:dPt>
            <c:idx val="5"/>
            <c:spPr>
              <a:solidFill>
                <a:srgbClr val="70AD47"/>
              </a:solidFill>
            </c:spPr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Lbls>
            <c:dLbl>
              <c:idx val="3"/>
              <c:txPr>
                <a:bodyPr/>
                <a:lstStyle/>
                <a:p>
                  <a:pPr lvl="0">
                    <a:defRPr b="1" i="0">
                      <a:latin typeface="serif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</c:dLbl>
            <c:showLegendKey val="0"/>
            <c:showVal val="0"/>
            <c:showCatName val="1"/>
            <c:showSerName val="0"/>
            <c:showPercent val="0"/>
            <c:showBubbleSize val="0"/>
            <c:showLeaderLines val="1"/>
          </c:dLbls>
          <c:cat>
            <c:strRef>
              <c:f>'% de Alocação da Carteira 06_25'!$L$4:$L$14</c:f>
            </c:strRef>
          </c:cat>
          <c:val>
            <c:numRef>
              <c:f>'% de Alocação da Carteira 06_25'!$N$4:$N$14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layout>
        <c:manualLayout>
          <c:xMode val="edge"/>
          <c:yMode val="edge"/>
          <c:x val="0.6731727065826331"/>
          <c:y val="0.16152263374485595"/>
        </c:manualLayout>
      </c:layout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600">
                <a:solidFill>
                  <a:srgbClr val="757575"/>
                </a:solidFill>
                <a:latin typeface="Arial"/>
              </a:defRPr>
            </a:pPr>
            <a:r>
              <a:rPr b="0" i="0" sz="1600">
                <a:solidFill>
                  <a:srgbClr val="757575"/>
                </a:solidFill>
                <a:latin typeface="Arial"/>
              </a:rPr>
              <a:t>% de Alocações Carteira "Nasser Family" na R. V. por Setor</a:t>
            </a:r>
          </a:p>
        </c:rich>
      </c:tx>
      <c:layout>
        <c:manualLayout>
          <c:xMode val="edge"/>
          <c:yMode val="edge"/>
          <c:x val="0.03356164383561644"/>
          <c:y val="0.06333333333333334"/>
        </c:manualLayout>
      </c:layout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472C4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Pt>
            <c:idx val="4"/>
            <c:spPr>
              <a:solidFill>
                <a:srgbClr val="5B9BD5"/>
              </a:solidFill>
            </c:spPr>
          </c:dPt>
          <c:dPt>
            <c:idx val="5"/>
            <c:spPr>
              <a:solidFill>
                <a:srgbClr val="70AD47"/>
              </a:solidFill>
            </c:spPr>
          </c:dPt>
          <c:dPt>
            <c:idx val="6"/>
            <c:spPr>
              <a:solidFill>
                <a:srgbClr val="7C9CD6"/>
              </a:solidFill>
            </c:spPr>
          </c:dPt>
          <c:dPt>
            <c:idx val="7"/>
            <c:spPr>
              <a:solidFill>
                <a:srgbClr val="F2A46F"/>
              </a:solidFill>
            </c:spPr>
          </c:dPt>
          <c:dPt>
            <c:idx val="8"/>
            <c:spPr>
              <a:solidFill>
                <a:srgbClr val="C0C0C0"/>
              </a:solidFill>
            </c:spPr>
          </c:dPt>
          <c:dPt>
            <c:idx val="9"/>
            <c:spPr>
              <a:solidFill>
                <a:srgbClr val="FFD34D"/>
              </a:solidFill>
            </c:spPr>
          </c:dPt>
          <c:dPt>
            <c:idx val="10"/>
            <c:spPr>
              <a:solidFill>
                <a:srgbClr val="8CB9E2"/>
              </a:solidFill>
            </c:spPr>
          </c:dPt>
          <c:dPt>
            <c:idx val="11"/>
            <c:spPr>
              <a:solidFill>
                <a:srgbClr val="9BC67E"/>
              </a:solidFill>
            </c:spPr>
          </c:dPt>
          <c:dPt>
            <c:idx val="12"/>
            <c:spPr>
              <a:solidFill>
                <a:srgbClr val="B4C7E7"/>
              </a:solidFill>
            </c:spPr>
          </c:dPt>
          <c:dLbls>
            <c:showLegendKey val="0"/>
            <c:showVal val="0"/>
            <c:showCatName val="1"/>
            <c:showSerName val="0"/>
            <c:showPercent val="0"/>
            <c:showBubbleSize val="0"/>
            <c:showLeaderLines val="1"/>
          </c:dLbls>
          <c:cat>
            <c:strRef>
              <c:f>'% de Alocação da Carteira 06_25'!$D$20:$D$32</c:f>
            </c:strRef>
          </c:cat>
          <c:val>
            <c:numRef>
              <c:f>'% de Alocação da Carteira 06_25'!$C$20:$C$32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Carteira "Nasser Family" 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472C4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Pt>
            <c:idx val="4"/>
            <c:spPr>
              <a:solidFill>
                <a:srgbClr val="5B9BD5"/>
              </a:solidFill>
            </c:spPr>
          </c:dPt>
          <c:dPt>
            <c:idx val="5"/>
            <c:spPr>
              <a:solidFill>
                <a:srgbClr val="70AD47"/>
              </a:solidFill>
            </c:spPr>
          </c:dPt>
          <c:dPt>
            <c:idx val="6"/>
            <c:spPr>
              <a:solidFill>
                <a:srgbClr val="7C9CD6"/>
              </a:solidFill>
            </c:spPr>
          </c:dPt>
          <c:dPt>
            <c:idx val="7"/>
            <c:spPr>
              <a:solidFill>
                <a:srgbClr val="F2A46F"/>
              </a:solidFill>
            </c:spPr>
          </c:dPt>
          <c:dPt>
            <c:idx val="8"/>
            <c:spPr>
              <a:solidFill>
                <a:srgbClr val="C0C0C0"/>
              </a:solidFill>
            </c:spPr>
          </c:dPt>
          <c:dLbls>
            <c:dLbl>
              <c:idx val="5"/>
              <c:txPr>
                <a:bodyPr/>
                <a:lstStyle/>
                <a:p>
                  <a:pPr lvl="0">
                    <a:defRPr b="1" i="0">
                      <a:latin typeface="serif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6"/>
              <c:txPr>
                <a:bodyPr/>
                <a:lstStyle/>
                <a:p>
                  <a:pPr lvl="0">
                    <a:defRPr b="1" i="0">
                      <a:latin typeface="serif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7"/>
              <c:txPr>
                <a:bodyPr/>
                <a:lstStyle/>
                <a:p>
                  <a:pPr lvl="0">
                    <a:defRPr b="1" i="0" sz="1000">
                      <a:latin typeface="serif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8"/>
              <c:txPr>
                <a:bodyPr/>
                <a:lstStyle/>
                <a:p>
                  <a:pPr lvl="0">
                    <a:defRPr b="1" i="0" sz="800">
                      <a:latin typeface="serif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</c:dLbl>
            <c:showLegendKey val="0"/>
            <c:showVal val="0"/>
            <c:showCatName val="1"/>
            <c:showSerName val="0"/>
            <c:showPercent val="0"/>
            <c:showBubbleSize val="0"/>
            <c:showLeaderLines val="1"/>
          </c:dLbls>
          <c:cat>
            <c:strRef>
              <c:f>'% de Alocação da Carteira 07_25'!$B$4:$B$15</c:f>
            </c:strRef>
          </c:cat>
          <c:val>
            <c:numRef>
              <c:f>'% de Alocação da Carteira 07_25'!$E$4:$E$12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1A1A1A"/>
              </a:solidFill>
              <a:latin typeface="serif"/>
            </a:defRPr>
          </a:pPr>
        </a:p>
      </c:txPr>
    </c:legend>
    <c:plotVisOnly val="1"/>
  </c:chart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600">
                <a:solidFill>
                  <a:srgbClr val="757575"/>
                </a:solidFill>
                <a:latin typeface="Arial"/>
              </a:defRPr>
            </a:pPr>
            <a:r>
              <a:rPr b="0" i="0" sz="1600">
                <a:solidFill>
                  <a:srgbClr val="757575"/>
                </a:solidFill>
                <a:latin typeface="Arial"/>
              </a:rPr>
              <a:t>% de Alocações Carteira "Nasser Family" na R. V. por Setor</a:t>
            </a:r>
          </a:p>
        </c:rich>
      </c:tx>
      <c:layout>
        <c:manualLayout>
          <c:xMode val="edge"/>
          <c:yMode val="edge"/>
          <c:x val="0.03356164383561644"/>
          <c:y val="0.06333333333333334"/>
        </c:manualLayout>
      </c:layout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472C4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Pt>
            <c:idx val="4"/>
            <c:spPr>
              <a:solidFill>
                <a:srgbClr val="5B9BD5"/>
              </a:solidFill>
            </c:spPr>
          </c:dPt>
          <c:dPt>
            <c:idx val="5"/>
            <c:spPr>
              <a:solidFill>
                <a:srgbClr val="70AD47"/>
              </a:solidFill>
            </c:spPr>
          </c:dPt>
          <c:dPt>
            <c:idx val="6"/>
            <c:spPr>
              <a:solidFill>
                <a:srgbClr val="7C9CD6"/>
              </a:solidFill>
            </c:spPr>
          </c:dPt>
          <c:dPt>
            <c:idx val="7"/>
            <c:spPr>
              <a:solidFill>
                <a:srgbClr val="F2A46F"/>
              </a:solidFill>
            </c:spPr>
          </c:dPt>
          <c:dPt>
            <c:idx val="8"/>
            <c:spPr>
              <a:solidFill>
                <a:srgbClr val="C0C0C0"/>
              </a:solidFill>
            </c:spPr>
          </c:dPt>
          <c:dPt>
            <c:idx val="9"/>
            <c:spPr>
              <a:solidFill>
                <a:srgbClr val="FFD34D"/>
              </a:solidFill>
            </c:spPr>
          </c:dPt>
          <c:dPt>
            <c:idx val="10"/>
            <c:spPr>
              <a:solidFill>
                <a:srgbClr val="8CB9E2"/>
              </a:solidFill>
            </c:spPr>
          </c:dPt>
          <c:dPt>
            <c:idx val="11"/>
            <c:spPr>
              <a:solidFill>
                <a:srgbClr val="9BC67E"/>
              </a:solidFill>
            </c:spPr>
          </c:dPt>
          <c:dPt>
            <c:idx val="12"/>
            <c:spPr>
              <a:solidFill>
                <a:srgbClr val="B4C7E7"/>
              </a:solidFill>
            </c:spPr>
          </c:dPt>
          <c:dLbls>
            <c:dLbl>
              <c:idx val="11"/>
              <c:txPr>
                <a:bodyPr/>
                <a:lstStyle/>
                <a:p>
                  <a:pPr lvl="0">
                    <a:defRPr b="1" i="0" sz="1000"/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</c:dLbl>
            <c:showLegendKey val="0"/>
            <c:showVal val="0"/>
            <c:showCatName val="1"/>
            <c:showSerName val="0"/>
            <c:showPercent val="0"/>
            <c:showBubbleSize val="0"/>
            <c:showLeaderLines val="1"/>
          </c:dLbls>
          <c:cat>
            <c:strRef>
              <c:f>'% de Alocação da Carteira 07_25'!$D$20:$D$32</c:f>
            </c:strRef>
          </c:cat>
          <c:val>
            <c:numRef>
              <c:f>'% de Alocação da Carteira 07_25'!$C$20:$C$32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Carteira "NF" -ALOCAÇÃO % COMPACTA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472C4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Pt>
            <c:idx val="4"/>
            <c:spPr>
              <a:solidFill>
                <a:srgbClr val="5B9BD5"/>
              </a:solidFill>
            </c:spPr>
          </c:dPt>
          <c:dPt>
            <c:idx val="5"/>
            <c:spPr>
              <a:solidFill>
                <a:srgbClr val="70AD47"/>
              </a:solidFill>
            </c:spPr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Lbls>
            <c:dLbl>
              <c:idx val="3"/>
              <c:txPr>
                <a:bodyPr/>
                <a:lstStyle/>
                <a:p>
                  <a:pPr lvl="0">
                    <a:defRPr b="1" i="0">
                      <a:latin typeface="serif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</c:dLbl>
            <c:showLegendKey val="0"/>
            <c:showVal val="0"/>
            <c:showCatName val="1"/>
            <c:showSerName val="0"/>
            <c:showPercent val="0"/>
            <c:showBubbleSize val="0"/>
            <c:showLeaderLines val="1"/>
          </c:dLbls>
          <c:cat>
            <c:strRef>
              <c:f>'% de Alocação da Carteira 07_25'!$L$4:$L$14</c:f>
            </c:strRef>
          </c:cat>
          <c:val>
            <c:numRef>
              <c:f>'% de Alocação da Carteira 07_25'!$N$4:$N$14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layout>
        <c:manualLayout>
          <c:xMode val="edge"/>
          <c:yMode val="edge"/>
          <c:x val="0.6731727065826331"/>
          <c:y val="0.16152263374485595"/>
        </c:manualLayout>
      </c:layout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Carteira "Nasser Family" 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472C4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Pt>
            <c:idx val="4"/>
            <c:spPr>
              <a:solidFill>
                <a:srgbClr val="5B9BD5"/>
              </a:solidFill>
            </c:spPr>
          </c:dPt>
          <c:dPt>
            <c:idx val="5"/>
            <c:spPr>
              <a:solidFill>
                <a:srgbClr val="70AD47"/>
              </a:solidFill>
            </c:spPr>
          </c:dPt>
          <c:dPt>
            <c:idx val="6"/>
            <c:spPr>
              <a:solidFill>
                <a:srgbClr val="7C9CD6"/>
              </a:solidFill>
            </c:spPr>
          </c:dPt>
          <c:dPt>
            <c:idx val="7"/>
            <c:spPr>
              <a:solidFill>
                <a:srgbClr val="F2A46F"/>
              </a:solidFill>
            </c:spPr>
          </c:dPt>
          <c:dPt>
            <c:idx val="8"/>
            <c:spPr>
              <a:solidFill>
                <a:srgbClr val="C0C0C0"/>
              </a:solidFill>
            </c:spPr>
          </c:dPt>
          <c:dPt>
            <c:idx val="9"/>
            <c:spPr>
              <a:solidFill>
                <a:srgbClr val="FFD34D"/>
              </a:solidFill>
            </c:spPr>
          </c:dPt>
          <c:dPt>
            <c:idx val="10"/>
            <c:spPr>
              <a:solidFill>
                <a:srgbClr val="8CB9E2"/>
              </a:solidFill>
            </c:spPr>
          </c:dPt>
          <c:dLbls>
            <c:dLbl>
              <c:idx val="5"/>
              <c:txPr>
                <a:bodyPr/>
                <a:lstStyle/>
                <a:p>
                  <a:pPr lvl="0">
                    <a:defRPr b="1" i="0">
                      <a:latin typeface="serif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6"/>
              <c:txPr>
                <a:bodyPr/>
                <a:lstStyle/>
                <a:p>
                  <a:pPr lvl="0">
                    <a:defRPr b="1" i="0">
                      <a:latin typeface="serif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7"/>
              <c:txPr>
                <a:bodyPr/>
                <a:lstStyle/>
                <a:p>
                  <a:pPr lvl="0">
                    <a:defRPr b="1" i="0" sz="1000">
                      <a:latin typeface="serif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8"/>
              <c:txPr>
                <a:bodyPr/>
                <a:lstStyle/>
                <a:p>
                  <a:pPr lvl="0">
                    <a:defRPr b="1" i="0" sz="800">
                      <a:latin typeface="serif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9"/>
              <c:txPr>
                <a:bodyPr/>
                <a:lstStyle/>
                <a:p>
                  <a:pPr lvl="0">
                    <a:defRPr b="1" i="0" sz="700">
                      <a:latin typeface="serif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10"/>
              <c:txPr>
                <a:bodyPr/>
                <a:lstStyle/>
                <a:p>
                  <a:pPr lvl="0">
                    <a:defRPr b="1" i="0" sz="700">
                      <a:latin typeface="serif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</c:dLbl>
            <c:showLegendKey val="0"/>
            <c:showVal val="0"/>
            <c:showCatName val="1"/>
            <c:showSerName val="0"/>
            <c:showPercent val="0"/>
            <c:showBubbleSize val="0"/>
            <c:showLeaderLines val="1"/>
          </c:dLbls>
          <c:cat>
            <c:strRef>
              <c:f>'% de Alocação da Carteira 08_25'!$B$4:$B$14</c:f>
            </c:strRef>
          </c:cat>
          <c:val>
            <c:numRef>
              <c:f>'% de Alocação da Carteira 08_25'!$E$4:$E$14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serif"/>
            </a:defRPr>
          </a:pPr>
        </a:p>
      </c:txPr>
    </c:legend>
    <c:plotVisOnly val="1"/>
  </c:chart>
</c:chartSpace>
</file>

<file path=xl/charts/chart2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600">
                <a:solidFill>
                  <a:srgbClr val="757575"/>
                </a:solidFill>
                <a:latin typeface="Arial"/>
              </a:defRPr>
            </a:pPr>
            <a:r>
              <a:rPr b="0" i="0" sz="1600">
                <a:solidFill>
                  <a:srgbClr val="757575"/>
                </a:solidFill>
                <a:latin typeface="Arial"/>
              </a:rPr>
              <a:t>% de Alocações Carteira "Nasser Family" na R. V. por Setor</a:t>
            </a:r>
          </a:p>
        </c:rich>
      </c:tx>
      <c:layout>
        <c:manualLayout>
          <c:xMode val="edge"/>
          <c:yMode val="edge"/>
          <c:x val="0.03356164383561644"/>
          <c:y val="0.06333333333333334"/>
        </c:manualLayout>
      </c:layout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472C4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Pt>
            <c:idx val="4"/>
            <c:spPr>
              <a:solidFill>
                <a:srgbClr val="5B9BD5"/>
              </a:solidFill>
            </c:spPr>
          </c:dPt>
          <c:dPt>
            <c:idx val="5"/>
            <c:spPr>
              <a:solidFill>
                <a:srgbClr val="70AD47"/>
              </a:solidFill>
            </c:spPr>
          </c:dPt>
          <c:dPt>
            <c:idx val="6"/>
            <c:spPr>
              <a:solidFill>
                <a:srgbClr val="7C9CD6"/>
              </a:solidFill>
            </c:spPr>
          </c:dPt>
          <c:dPt>
            <c:idx val="7"/>
            <c:spPr>
              <a:solidFill>
                <a:srgbClr val="F2A46F"/>
              </a:solidFill>
            </c:spPr>
          </c:dPt>
          <c:dPt>
            <c:idx val="8"/>
            <c:spPr>
              <a:solidFill>
                <a:srgbClr val="C0C0C0"/>
              </a:solidFill>
            </c:spPr>
          </c:dPt>
          <c:dPt>
            <c:idx val="9"/>
            <c:spPr>
              <a:solidFill>
                <a:srgbClr val="FFD34D"/>
              </a:solidFill>
            </c:spPr>
          </c:dPt>
          <c:dPt>
            <c:idx val="10"/>
            <c:spPr>
              <a:solidFill>
                <a:srgbClr val="8CB9E2"/>
              </a:solidFill>
            </c:spPr>
          </c:dPt>
          <c:dPt>
            <c:idx val="11"/>
            <c:spPr>
              <a:solidFill>
                <a:srgbClr val="9BC67E"/>
              </a:solidFill>
            </c:spPr>
          </c:dPt>
          <c:dPt>
            <c:idx val="12"/>
            <c:spPr>
              <a:solidFill>
                <a:srgbClr val="B4C7E7"/>
              </a:solidFill>
            </c:spPr>
          </c:dPt>
          <c:dLbls>
            <c:showLegendKey val="0"/>
            <c:showVal val="0"/>
            <c:showCatName val="1"/>
            <c:showSerName val="0"/>
            <c:showPercent val="0"/>
            <c:showBubbleSize val="0"/>
            <c:showLeaderLines val="1"/>
          </c:dLbls>
          <c:cat>
            <c:strRef>
              <c:f>'% de Alocação da Carteira 08_25'!$D$20:$D$32</c:f>
            </c:strRef>
          </c:cat>
          <c:val>
            <c:numRef>
              <c:f>'% de Alocação da Carteira 08_25'!$C$20:$C$32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Carteira "NF" -ALOCAÇÃO % COMPACTA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472C4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Pt>
            <c:idx val="4"/>
            <c:spPr>
              <a:solidFill>
                <a:srgbClr val="5B9BD5"/>
              </a:solidFill>
            </c:spPr>
          </c:dPt>
          <c:dPt>
            <c:idx val="5"/>
            <c:spPr>
              <a:solidFill>
                <a:srgbClr val="70AD47"/>
              </a:solidFill>
            </c:spPr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Lbls>
            <c:dLbl>
              <c:idx val="0"/>
              <c:txPr>
                <a:bodyPr/>
                <a:lstStyle/>
                <a:p>
                  <a:pPr lvl="0">
                    <a:defRPr b="1" i="0">
                      <a:latin typeface="serif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b="1" i="0">
                      <a:latin typeface="serif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4"/>
              <c:txPr>
                <a:bodyPr/>
                <a:lstStyle/>
                <a:p>
                  <a:pPr lvl="0">
                    <a:defRPr b="1" i="0">
                      <a:latin typeface="serif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</c:dLbl>
            <c:showLegendKey val="0"/>
            <c:showVal val="0"/>
            <c:showCatName val="1"/>
            <c:showSerName val="0"/>
            <c:showPercent val="0"/>
            <c:showBubbleSize val="0"/>
            <c:showLeaderLines val="1"/>
          </c:dLbls>
          <c:cat>
            <c:strRef>
              <c:f>'% de Alocação da Carteira 08_25'!$L$4:$L$14</c:f>
            </c:strRef>
          </c:cat>
          <c:val>
            <c:numRef>
              <c:f>'% de Alocação da Carteira 08_25'!$N$4:$N$14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layout>
        <c:manualLayout>
          <c:xMode val="edge"/>
          <c:yMode val="edge"/>
          <c:x val="0.6731727065826331"/>
          <c:y val="0.16152263374485595"/>
        </c:manualLayout>
      </c:layout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600">
                <a:solidFill>
                  <a:srgbClr val="757575"/>
                </a:solidFill>
                <a:latin typeface="Arial"/>
              </a:defRPr>
            </a:pPr>
            <a:r>
              <a:rPr b="0" i="0" sz="1600">
                <a:solidFill>
                  <a:srgbClr val="757575"/>
                </a:solidFill>
                <a:latin typeface="Arial"/>
              </a:rPr>
              <a:t>% de Alocações Carteira "Nasser Family" na R. V. por Setor</a:t>
            </a:r>
          </a:p>
        </c:rich>
      </c:tx>
      <c:layout>
        <c:manualLayout>
          <c:xMode val="edge"/>
          <c:yMode val="edge"/>
          <c:x val="0.03356164383561644"/>
          <c:y val="0.06333333333333334"/>
        </c:manualLayout>
      </c:layout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472C4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Pt>
            <c:idx val="4"/>
            <c:spPr>
              <a:solidFill>
                <a:srgbClr val="5B9BD5"/>
              </a:solidFill>
            </c:spPr>
          </c:dPt>
          <c:dPt>
            <c:idx val="5"/>
            <c:spPr>
              <a:solidFill>
                <a:srgbClr val="70AD47"/>
              </a:solidFill>
            </c:spPr>
          </c:dPt>
          <c:dPt>
            <c:idx val="6"/>
            <c:spPr>
              <a:solidFill>
                <a:srgbClr val="7C9CD6"/>
              </a:solidFill>
            </c:spPr>
          </c:dPt>
          <c:dPt>
            <c:idx val="7"/>
            <c:spPr>
              <a:solidFill>
                <a:srgbClr val="F2A46F"/>
              </a:solidFill>
            </c:spPr>
          </c:dPt>
          <c:dPt>
            <c:idx val="8"/>
            <c:spPr>
              <a:solidFill>
                <a:srgbClr val="C0C0C0"/>
              </a:solidFill>
            </c:spPr>
          </c:dPt>
          <c:dPt>
            <c:idx val="9"/>
            <c:spPr>
              <a:solidFill>
                <a:srgbClr val="FFD34D"/>
              </a:solidFill>
            </c:spPr>
          </c:dPt>
          <c:dPt>
            <c:idx val="10"/>
            <c:spPr>
              <a:solidFill>
                <a:srgbClr val="8CB9E2"/>
              </a:solidFill>
            </c:spPr>
          </c:dPt>
          <c:dPt>
            <c:idx val="11"/>
            <c:spPr>
              <a:solidFill>
                <a:srgbClr val="9BC67E"/>
              </a:solidFill>
            </c:spPr>
          </c:dPt>
          <c:dPt>
            <c:idx val="12"/>
            <c:spPr>
              <a:solidFill>
                <a:srgbClr val="B4C7E7"/>
              </a:solidFill>
            </c:spPr>
          </c:dPt>
          <c:dLbls>
            <c:showLegendKey val="0"/>
            <c:showVal val="0"/>
            <c:showCatName val="1"/>
            <c:showSerName val="0"/>
            <c:showPercent val="0"/>
            <c:showBubbleSize val="0"/>
            <c:showLeaderLines val="1"/>
          </c:dLbls>
          <c:cat>
            <c:strRef>
              <c:f>'% de Alocação da Carteira 09_25'!$D$20:$D$32</c:f>
            </c:strRef>
          </c:cat>
          <c:val>
            <c:numRef>
              <c:f>'% de Alocação da Carteira 09_25'!$C$20:$C$32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Carteira "Nasser Family" 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472C4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Pt>
            <c:idx val="4"/>
            <c:spPr>
              <a:solidFill>
                <a:srgbClr val="5B9BD5"/>
              </a:solidFill>
            </c:spPr>
          </c:dPt>
          <c:dPt>
            <c:idx val="5"/>
            <c:spPr>
              <a:solidFill>
                <a:srgbClr val="70AD47"/>
              </a:solidFill>
            </c:spPr>
          </c:dPt>
          <c:dPt>
            <c:idx val="6"/>
            <c:spPr>
              <a:solidFill>
                <a:srgbClr val="7C9CD6"/>
              </a:solidFill>
            </c:spPr>
          </c:dPt>
          <c:dPt>
            <c:idx val="7"/>
            <c:spPr>
              <a:solidFill>
                <a:srgbClr val="F2A46F"/>
              </a:solidFill>
            </c:spPr>
          </c:dPt>
          <c:dPt>
            <c:idx val="8"/>
            <c:spPr>
              <a:solidFill>
                <a:srgbClr val="C0C0C0"/>
              </a:solidFill>
            </c:spPr>
          </c:dPt>
          <c:dPt>
            <c:idx val="9"/>
            <c:spPr>
              <a:solidFill>
                <a:srgbClr val="FFD34D"/>
              </a:solidFill>
            </c:spPr>
          </c:dPt>
          <c:dPt>
            <c:idx val="10"/>
            <c:spPr>
              <a:solidFill>
                <a:srgbClr val="8CB9E2"/>
              </a:solidFill>
            </c:spPr>
          </c:dPt>
          <c:dLbls>
            <c:dLbl>
              <c:idx val="5"/>
              <c:txPr>
                <a:bodyPr/>
                <a:lstStyle/>
                <a:p>
                  <a:pPr lvl="0">
                    <a:defRPr b="1" i="0">
                      <a:latin typeface="serif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6"/>
              <c:txPr>
                <a:bodyPr/>
                <a:lstStyle/>
                <a:p>
                  <a:pPr lvl="0">
                    <a:defRPr b="1" i="0">
                      <a:latin typeface="serif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7"/>
              <c:txPr>
                <a:bodyPr/>
                <a:lstStyle/>
                <a:p>
                  <a:pPr lvl="0">
                    <a:defRPr b="1" i="0" sz="1000">
                      <a:latin typeface="serif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8"/>
              <c:txPr>
                <a:bodyPr/>
                <a:lstStyle/>
                <a:p>
                  <a:pPr lvl="0">
                    <a:defRPr b="1" i="0" sz="800">
                      <a:latin typeface="serif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9"/>
              <c:txPr>
                <a:bodyPr/>
                <a:lstStyle/>
                <a:p>
                  <a:pPr lvl="0">
                    <a:defRPr b="1" i="0" sz="700">
                      <a:latin typeface="serif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10"/>
              <c:txPr>
                <a:bodyPr/>
                <a:lstStyle/>
                <a:p>
                  <a:pPr lvl="0">
                    <a:defRPr b="1" i="0" sz="700">
                      <a:latin typeface="serif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</c:dLbl>
            <c:showLegendKey val="0"/>
            <c:showVal val="0"/>
            <c:showCatName val="1"/>
            <c:showSerName val="0"/>
            <c:showPercent val="0"/>
            <c:showBubbleSize val="0"/>
            <c:showLeaderLines val="1"/>
          </c:dLbls>
          <c:cat>
            <c:strRef>
              <c:f>'% de Alocação da Carteira 09_25'!$B$4:$B$14</c:f>
            </c:strRef>
          </c:cat>
          <c:val>
            <c:numRef>
              <c:f>'% de Alocação da Carteira 09_25'!$E$4:$E$14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serif"/>
            </a:defRPr>
          </a:pPr>
        </a:p>
      </c:txPr>
    </c:legend>
    <c:plotVisOnly val="1"/>
  </c:chart>
</c:chartSpace>
</file>

<file path=xl/charts/chart3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Carteira "NF" -ALOCAÇÃO % COMPACTA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472C4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Pt>
            <c:idx val="4"/>
            <c:spPr>
              <a:solidFill>
                <a:srgbClr val="5B9BD5"/>
              </a:solidFill>
            </c:spPr>
          </c:dPt>
          <c:dPt>
            <c:idx val="5"/>
            <c:spPr>
              <a:solidFill>
                <a:srgbClr val="70AD47"/>
              </a:solidFill>
            </c:spPr>
          </c:dPt>
          <c:dPt>
            <c:idx val="6"/>
            <c:spPr>
              <a:solidFill>
                <a:srgbClr val="7C9CD6"/>
              </a:solidFill>
            </c:spPr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Lbls>
            <c:dLbl>
              <c:idx val="0"/>
              <c:txPr>
                <a:bodyPr/>
                <a:lstStyle/>
                <a:p>
                  <a:pPr lvl="0">
                    <a:defRPr b="1" i="0">
                      <a:latin typeface="serif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b="1" i="0">
                      <a:latin typeface="serif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4"/>
              <c:txPr>
                <a:bodyPr/>
                <a:lstStyle/>
                <a:p>
                  <a:pPr lvl="0">
                    <a:defRPr b="1" i="0">
                      <a:latin typeface="serif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</c:dLbl>
            <c:showLegendKey val="0"/>
            <c:showVal val="0"/>
            <c:showCatName val="1"/>
            <c:showSerName val="0"/>
            <c:showPercent val="0"/>
            <c:showBubbleSize val="0"/>
            <c:showLeaderLines val="1"/>
          </c:dLbls>
          <c:cat>
            <c:strRef>
              <c:f>'% de Alocação da Carteira 09_25'!$L$4:$L$14</c:f>
            </c:strRef>
          </c:cat>
          <c:val>
            <c:numRef>
              <c:f>'% de Alocação da Carteira 09_25'!$N$4:$N$14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layout>
        <c:manualLayout>
          <c:xMode val="edge"/>
          <c:yMode val="edge"/>
          <c:x val="0.6731727065826331"/>
          <c:y val="0.16152263374485595"/>
        </c:manualLayout>
      </c:layout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Carteira "Nasser Family" 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472C4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Pt>
            <c:idx val="4"/>
            <c:spPr>
              <a:solidFill>
                <a:srgbClr val="5B9BD5"/>
              </a:solidFill>
            </c:spPr>
          </c:dPt>
          <c:dPt>
            <c:idx val="5"/>
            <c:spPr>
              <a:solidFill>
                <a:srgbClr val="70AD47"/>
              </a:solidFill>
            </c:spPr>
          </c:dPt>
          <c:dPt>
            <c:idx val="6"/>
            <c:spPr>
              <a:solidFill>
                <a:srgbClr val="7C9CD6"/>
              </a:solidFill>
            </c:spPr>
          </c:dPt>
          <c:dPt>
            <c:idx val="7"/>
            <c:spPr>
              <a:solidFill>
                <a:srgbClr val="F2A46F"/>
              </a:solidFill>
            </c:spPr>
          </c:dPt>
          <c:dPt>
            <c:idx val="8"/>
            <c:spPr>
              <a:solidFill>
                <a:srgbClr val="C0C0C0"/>
              </a:solidFill>
            </c:spPr>
          </c:dPt>
          <c:dPt>
            <c:idx val="9"/>
            <c:spPr>
              <a:solidFill>
                <a:srgbClr val="FFD34D"/>
              </a:solidFill>
            </c:spPr>
          </c:dPt>
          <c:dPt>
            <c:idx val="10"/>
            <c:spPr>
              <a:solidFill>
                <a:srgbClr val="8CB9E2"/>
              </a:solidFill>
            </c:spPr>
          </c:dPt>
          <c:dLbls>
            <c:dLbl>
              <c:idx val="5"/>
              <c:txPr>
                <a:bodyPr/>
                <a:lstStyle/>
                <a:p>
                  <a:pPr lvl="0">
                    <a:defRPr b="1" i="0">
                      <a:latin typeface="serif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6"/>
              <c:txPr>
                <a:bodyPr/>
                <a:lstStyle/>
                <a:p>
                  <a:pPr lvl="0">
                    <a:defRPr b="1" i="0">
                      <a:latin typeface="serif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7"/>
              <c:txPr>
                <a:bodyPr/>
                <a:lstStyle/>
                <a:p>
                  <a:pPr lvl="0">
                    <a:defRPr b="1" i="0" sz="1000">
                      <a:latin typeface="serif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8"/>
              <c:txPr>
                <a:bodyPr/>
                <a:lstStyle/>
                <a:p>
                  <a:pPr lvl="0">
                    <a:defRPr b="1" i="0" sz="800">
                      <a:latin typeface="serif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9"/>
              <c:txPr>
                <a:bodyPr/>
                <a:lstStyle/>
                <a:p>
                  <a:pPr lvl="0">
                    <a:defRPr b="1" i="0" sz="700">
                      <a:latin typeface="serif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10"/>
              <c:txPr>
                <a:bodyPr/>
                <a:lstStyle/>
                <a:p>
                  <a:pPr lvl="0">
                    <a:defRPr b="1" i="0" sz="700">
                      <a:latin typeface="serif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</c:dLbl>
            <c:showLegendKey val="0"/>
            <c:showVal val="0"/>
            <c:showCatName val="1"/>
            <c:showSerName val="0"/>
            <c:showPercent val="0"/>
            <c:showBubbleSize val="0"/>
            <c:showLeaderLines val="1"/>
          </c:dLbls>
          <c:cat>
            <c:strRef>
              <c:f>'% de Alocação da Carteira 10_25'!$B$4:$B$14</c:f>
            </c:strRef>
          </c:cat>
          <c:val>
            <c:numRef>
              <c:f>'% de Alocação da Carteira 10_25'!$D$4:$D$14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serif"/>
            </a:defRPr>
          </a:pPr>
        </a:p>
      </c:txPr>
    </c:legend>
    <c:plotVisOnly val="1"/>
  </c:chart>
</c:chartSpace>
</file>

<file path=xl/charts/chart3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600">
                <a:solidFill>
                  <a:srgbClr val="757575"/>
                </a:solidFill>
                <a:latin typeface="Arial"/>
              </a:defRPr>
            </a:pPr>
            <a:r>
              <a:rPr b="0" i="0" sz="1600">
                <a:solidFill>
                  <a:srgbClr val="757575"/>
                </a:solidFill>
                <a:latin typeface="Arial"/>
              </a:rPr>
              <a:t>% de Alocações Carteira "Nasser Family" na R. V. por Setor</a:t>
            </a:r>
          </a:p>
        </c:rich>
      </c:tx>
      <c:layout>
        <c:manualLayout>
          <c:xMode val="edge"/>
          <c:yMode val="edge"/>
          <c:x val="0.03356164383561644"/>
          <c:y val="0.06333333333333334"/>
        </c:manualLayout>
      </c:layout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explosion val="0"/>
            <c:spPr>
              <a:solidFill>
                <a:srgbClr val="4472C4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Pt>
            <c:idx val="4"/>
            <c:spPr>
              <a:solidFill>
                <a:srgbClr val="5B9BD5"/>
              </a:solidFill>
            </c:spPr>
          </c:dPt>
          <c:dPt>
            <c:idx val="5"/>
            <c:spPr>
              <a:solidFill>
                <a:srgbClr val="70AD47"/>
              </a:solidFill>
            </c:spPr>
          </c:dPt>
          <c:dPt>
            <c:idx val="6"/>
            <c:spPr>
              <a:solidFill>
                <a:srgbClr val="7C9CD6"/>
              </a:solidFill>
            </c:spPr>
          </c:dPt>
          <c:dPt>
            <c:idx val="7"/>
            <c:spPr>
              <a:solidFill>
                <a:srgbClr val="F2A46F"/>
              </a:solidFill>
            </c:spPr>
          </c:dPt>
          <c:dPt>
            <c:idx val="8"/>
            <c:spPr>
              <a:solidFill>
                <a:srgbClr val="C0C0C0"/>
              </a:solidFill>
            </c:spPr>
          </c:dPt>
          <c:dPt>
            <c:idx val="9"/>
            <c:spPr>
              <a:solidFill>
                <a:srgbClr val="FFD34D"/>
              </a:solidFill>
            </c:spPr>
          </c:dPt>
          <c:dPt>
            <c:idx val="10"/>
            <c:spPr>
              <a:solidFill>
                <a:srgbClr val="8CB9E2"/>
              </a:solidFill>
            </c:spPr>
          </c:dPt>
          <c:dPt>
            <c:idx val="11"/>
            <c:spPr>
              <a:solidFill>
                <a:srgbClr val="9BC67E"/>
              </a:solidFill>
            </c:spPr>
          </c:dPt>
          <c:dPt>
            <c:idx val="12"/>
            <c:spPr>
              <a:solidFill>
                <a:srgbClr val="B4C7E7"/>
              </a:solidFill>
            </c:spPr>
          </c:dPt>
          <c:dLbls>
            <c:dLbl>
              <c:idx val="11"/>
              <c:txPr>
                <a:bodyPr/>
                <a:lstStyle/>
                <a:p>
                  <a:pPr lvl="0">
                    <a:defRPr b="1" i="0" sz="800"/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</c:dLbl>
            <c:showLegendKey val="0"/>
            <c:showVal val="0"/>
            <c:showCatName val="1"/>
            <c:showSerName val="0"/>
            <c:showPercent val="0"/>
            <c:showBubbleSize val="0"/>
            <c:showLeaderLines val="1"/>
          </c:dLbls>
          <c:cat>
            <c:strRef>
              <c:f>'% de Alocação da Carteira 10_25'!$D$20:$D$32</c:f>
            </c:strRef>
          </c:cat>
          <c:val>
            <c:numRef>
              <c:f>'% de Alocação da Carteira 10_25'!$C$20:$C$32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1A1A1A"/>
              </a:solidFill>
              <a:latin typeface="Arial black"/>
            </a:defRPr>
          </a:pPr>
        </a:p>
      </c:txPr>
    </c:legend>
    <c:plotVisOnly val="1"/>
  </c:chart>
</c:chartSpace>
</file>

<file path=xl/charts/chart3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Carteira "NF" -ALOCAÇÃO % COMPACTA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472C4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Pt>
            <c:idx val="4"/>
            <c:spPr>
              <a:solidFill>
                <a:srgbClr val="5B9BD5"/>
              </a:solidFill>
            </c:spPr>
          </c:dPt>
          <c:dPt>
            <c:idx val="5"/>
            <c:spPr>
              <a:solidFill>
                <a:srgbClr val="70AD47"/>
              </a:solidFill>
            </c:spPr>
          </c:dPt>
          <c:dPt>
            <c:idx val="6"/>
            <c:spPr>
              <a:solidFill>
                <a:srgbClr val="7C9CD6"/>
              </a:solidFill>
            </c:spPr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Lbls>
            <c:dLbl>
              <c:idx val="0"/>
              <c:txPr>
                <a:bodyPr/>
                <a:lstStyle/>
                <a:p>
                  <a:pPr lvl="0">
                    <a:defRPr b="1" i="0">
                      <a:latin typeface="serif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b="1" i="0">
                      <a:latin typeface="serif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4"/>
              <c:txPr>
                <a:bodyPr/>
                <a:lstStyle/>
                <a:p>
                  <a:pPr lvl="0">
                    <a:defRPr b="1" i="0">
                      <a:latin typeface="serif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</c:dLbl>
            <c:showLegendKey val="0"/>
            <c:showVal val="0"/>
            <c:showCatName val="1"/>
            <c:showSerName val="0"/>
            <c:showPercent val="0"/>
            <c:showBubbleSize val="0"/>
            <c:showLeaderLines val="1"/>
          </c:dLbls>
          <c:cat>
            <c:strRef>
              <c:f>'% de Alocação da Carteira 10_25'!$L$4:$L$14</c:f>
            </c:strRef>
          </c:cat>
          <c:val>
            <c:numRef>
              <c:f>'% de Alocação da Carteira 10_25'!$N$4:$N$14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layout>
        <c:manualLayout>
          <c:xMode val="edge"/>
          <c:yMode val="edge"/>
          <c:x val="0.8234733077850378"/>
          <c:y val="0.15791252544160686"/>
        </c:manualLayout>
      </c:layout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600">
                <a:solidFill>
                  <a:srgbClr val="757575"/>
                </a:solidFill>
                <a:latin typeface="Arial"/>
              </a:defRPr>
            </a:pPr>
            <a:r>
              <a:rPr b="0" i="0" sz="1600">
                <a:solidFill>
                  <a:srgbClr val="757575"/>
                </a:solidFill>
                <a:latin typeface="Arial"/>
              </a:rPr>
              <a:t>% de Alocações Carteira "Nasser Family" na R. V. por Setor</a:t>
            </a:r>
          </a:p>
        </c:rich>
      </c:tx>
      <c:layout>
        <c:manualLayout>
          <c:xMode val="edge"/>
          <c:yMode val="edge"/>
          <c:x val="0.03356164383561644"/>
          <c:y val="0.06333333333333334"/>
        </c:manualLayout>
      </c:layout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472C4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Pt>
            <c:idx val="4"/>
            <c:spPr>
              <a:solidFill>
                <a:srgbClr val="5B9BD5"/>
              </a:solidFill>
            </c:spPr>
          </c:dPt>
          <c:dPt>
            <c:idx val="5"/>
            <c:spPr>
              <a:solidFill>
                <a:srgbClr val="70AD47"/>
              </a:solidFill>
            </c:spPr>
          </c:dPt>
          <c:dPt>
            <c:idx val="6"/>
            <c:spPr>
              <a:solidFill>
                <a:srgbClr val="7C9CD6"/>
              </a:solidFill>
            </c:spPr>
          </c:dPt>
          <c:dPt>
            <c:idx val="7"/>
            <c:spPr>
              <a:solidFill>
                <a:srgbClr val="F2A46F"/>
              </a:solidFill>
            </c:spPr>
          </c:dPt>
          <c:dPt>
            <c:idx val="8"/>
            <c:spPr>
              <a:solidFill>
                <a:srgbClr val="C0C0C0"/>
              </a:solidFill>
            </c:spPr>
          </c:dPt>
          <c:dPt>
            <c:idx val="9"/>
            <c:spPr>
              <a:solidFill>
                <a:srgbClr val="FFD34D"/>
              </a:solidFill>
            </c:spPr>
          </c:dPt>
          <c:dPt>
            <c:idx val="10"/>
            <c:spPr>
              <a:solidFill>
                <a:srgbClr val="8CB9E2"/>
              </a:solidFill>
            </c:spPr>
          </c:dPt>
          <c:dPt>
            <c:idx val="11"/>
            <c:spPr>
              <a:solidFill>
                <a:srgbClr val="9BC67E"/>
              </a:solidFill>
            </c:spPr>
          </c:dPt>
          <c:dPt>
            <c:idx val="12"/>
            <c:spPr>
              <a:solidFill>
                <a:srgbClr val="B4C7E7"/>
              </a:solidFill>
            </c:spPr>
          </c:dPt>
          <c:dLbls>
            <c:dLbl>
              <c:idx val="11"/>
              <c:txPr>
                <a:bodyPr/>
                <a:lstStyle/>
                <a:p>
                  <a:pPr lvl="0">
                    <a:defRPr b="1" i="0" sz="800"/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</c:dLbl>
            <c:showLegendKey val="0"/>
            <c:showVal val="0"/>
            <c:showCatName val="1"/>
            <c:showSerName val="0"/>
            <c:showPercent val="0"/>
            <c:showBubbleSize val="0"/>
            <c:showLeaderLines val="1"/>
          </c:dLbls>
          <c:cat>
            <c:strRef>
              <c:f>'% de Alocação da Carteira 11_25'!$D$20:$D$32</c:f>
            </c:strRef>
          </c:cat>
          <c:val>
            <c:numRef>
              <c:f>'% de Alocação da Carteira 11_25'!$C$20:$C$32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Carteira "Nasser Family" 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472C4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Pt>
            <c:idx val="4"/>
            <c:spPr>
              <a:solidFill>
                <a:srgbClr val="5B9BD5"/>
              </a:solidFill>
            </c:spPr>
          </c:dPt>
          <c:dPt>
            <c:idx val="5"/>
            <c:spPr>
              <a:solidFill>
                <a:srgbClr val="70AD47"/>
              </a:solidFill>
            </c:spPr>
          </c:dPt>
          <c:dPt>
            <c:idx val="6"/>
            <c:spPr>
              <a:solidFill>
                <a:srgbClr val="7C9CD6"/>
              </a:solidFill>
            </c:spPr>
          </c:dPt>
          <c:dPt>
            <c:idx val="7"/>
            <c:spPr>
              <a:solidFill>
                <a:srgbClr val="F2A46F"/>
              </a:solidFill>
            </c:spPr>
          </c:dPt>
          <c:dPt>
            <c:idx val="8"/>
            <c:spPr>
              <a:solidFill>
                <a:srgbClr val="C0C0C0"/>
              </a:solidFill>
            </c:spPr>
          </c:dPt>
          <c:dPt>
            <c:idx val="9"/>
            <c:spPr>
              <a:solidFill>
                <a:srgbClr val="FFD34D"/>
              </a:solidFill>
            </c:spPr>
          </c:dPt>
          <c:dPt>
            <c:idx val="10"/>
            <c:spPr>
              <a:solidFill>
                <a:srgbClr val="8CB9E2"/>
              </a:solidFill>
            </c:spPr>
          </c:dPt>
          <c:dLbls>
            <c:dLbl>
              <c:idx val="5"/>
              <c:txPr>
                <a:bodyPr/>
                <a:lstStyle/>
                <a:p>
                  <a:pPr lvl="0">
                    <a:defRPr b="1" i="0">
                      <a:latin typeface="serif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6"/>
              <c:txPr>
                <a:bodyPr/>
                <a:lstStyle/>
                <a:p>
                  <a:pPr lvl="0">
                    <a:defRPr b="1" i="0">
                      <a:latin typeface="serif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7"/>
              <c:txPr>
                <a:bodyPr/>
                <a:lstStyle/>
                <a:p>
                  <a:pPr lvl="0">
                    <a:defRPr b="1" i="0" sz="1000">
                      <a:latin typeface="serif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8"/>
              <c:txPr>
                <a:bodyPr/>
                <a:lstStyle/>
                <a:p>
                  <a:pPr lvl="0">
                    <a:defRPr b="1" i="0" sz="800">
                      <a:latin typeface="serif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9"/>
              <c:txPr>
                <a:bodyPr/>
                <a:lstStyle/>
                <a:p>
                  <a:pPr lvl="0">
                    <a:defRPr b="1" i="0" sz="700">
                      <a:latin typeface="serif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10"/>
              <c:txPr>
                <a:bodyPr/>
                <a:lstStyle/>
                <a:p>
                  <a:pPr lvl="0">
                    <a:defRPr b="1" i="0" sz="700">
                      <a:latin typeface="serif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</c:dLbl>
            <c:showLegendKey val="0"/>
            <c:showVal val="0"/>
            <c:showCatName val="1"/>
            <c:showSerName val="0"/>
            <c:showPercent val="0"/>
            <c:showBubbleSize val="0"/>
            <c:showLeaderLines val="1"/>
          </c:dLbls>
          <c:cat>
            <c:strRef>
              <c:f>'% de Alocação da Carteira 11_25'!$B$4:$B$14</c:f>
            </c:strRef>
          </c:cat>
          <c:val>
            <c:numRef>
              <c:f>'% de Alocação da Carteira 11_25'!$E$4:$E$14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serif"/>
            </a:defRPr>
          </a:pPr>
        </a:p>
      </c:txPr>
    </c:legend>
    <c:plotVisOnly val="1"/>
  </c:chart>
</c:chartSpace>
</file>

<file path=xl/charts/chart3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Carteira "NF" -ALOCAÇÃO % COMPACTA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472C4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Pt>
            <c:idx val="4"/>
            <c:spPr>
              <a:solidFill>
                <a:srgbClr val="5B9BD5"/>
              </a:solidFill>
            </c:spPr>
          </c:dPt>
          <c:dPt>
            <c:idx val="5"/>
            <c:spPr>
              <a:solidFill>
                <a:srgbClr val="70AD47"/>
              </a:solidFill>
            </c:spPr>
          </c:dPt>
          <c:dPt>
            <c:idx val="6"/>
            <c:spPr>
              <a:solidFill>
                <a:srgbClr val="7C9CD6"/>
              </a:solidFill>
            </c:spPr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Lbls>
            <c:dLbl>
              <c:idx val="0"/>
              <c:txPr>
                <a:bodyPr/>
                <a:lstStyle/>
                <a:p>
                  <a:pPr lvl="0">
                    <a:defRPr b="1" i="0">
                      <a:latin typeface="serif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b="1" i="0">
                      <a:latin typeface="serif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4"/>
              <c:txPr>
                <a:bodyPr/>
                <a:lstStyle/>
                <a:p>
                  <a:pPr lvl="0">
                    <a:defRPr b="1" i="0">
                      <a:latin typeface="serif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</c:dLbl>
            <c:showLegendKey val="0"/>
            <c:showVal val="0"/>
            <c:showCatName val="1"/>
            <c:showSerName val="0"/>
            <c:showPercent val="0"/>
            <c:showBubbleSize val="0"/>
            <c:showLeaderLines val="1"/>
          </c:dLbls>
          <c:cat>
            <c:strRef>
              <c:f>'% de Alocação da Carteira 11_25'!$L$4:$L$14</c:f>
            </c:strRef>
          </c:cat>
          <c:val>
            <c:numRef>
              <c:f>'% de Alocação da Carteira 11_25'!$N$4:$N$14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layout>
        <c:manualLayout>
          <c:xMode val="edge"/>
          <c:yMode val="edge"/>
          <c:x val="0.6731727065826331"/>
          <c:y val="0.16152263374485595"/>
        </c:manualLayout>
      </c:layout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Carteira "Nasser Family" 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472C4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Pt>
            <c:idx val="4"/>
            <c:spPr>
              <a:solidFill>
                <a:srgbClr val="5B9BD5"/>
              </a:solidFill>
            </c:spPr>
          </c:dPt>
          <c:dPt>
            <c:idx val="5"/>
            <c:spPr>
              <a:solidFill>
                <a:srgbClr val="70AD47"/>
              </a:solidFill>
            </c:spPr>
          </c:dPt>
          <c:dPt>
            <c:idx val="6"/>
            <c:spPr>
              <a:solidFill>
                <a:srgbClr val="7C9CD6"/>
              </a:solidFill>
            </c:spPr>
          </c:dPt>
          <c:dPt>
            <c:idx val="7"/>
            <c:spPr>
              <a:solidFill>
                <a:srgbClr val="F2A46F"/>
              </a:solidFill>
            </c:spPr>
          </c:dPt>
          <c:dPt>
            <c:idx val="8"/>
            <c:spPr>
              <a:solidFill>
                <a:srgbClr val="C0C0C0"/>
              </a:solidFill>
            </c:spPr>
          </c:dPt>
          <c:dPt>
            <c:idx val="9"/>
            <c:spPr>
              <a:solidFill>
                <a:srgbClr val="FFD34D"/>
              </a:solidFill>
            </c:spPr>
          </c:dPt>
          <c:dPt>
            <c:idx val="10"/>
            <c:spPr>
              <a:solidFill>
                <a:srgbClr val="8CB9E2"/>
              </a:solidFill>
            </c:spPr>
          </c:dPt>
          <c:dLbls>
            <c:dLbl>
              <c:idx val="5"/>
              <c:txPr>
                <a:bodyPr/>
                <a:lstStyle/>
                <a:p>
                  <a:pPr lvl="0">
                    <a:defRPr b="1" i="0">
                      <a:latin typeface="serif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6"/>
              <c:txPr>
                <a:bodyPr/>
                <a:lstStyle/>
                <a:p>
                  <a:pPr lvl="0">
                    <a:defRPr b="1" i="0">
                      <a:latin typeface="serif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7"/>
              <c:txPr>
                <a:bodyPr/>
                <a:lstStyle/>
                <a:p>
                  <a:pPr lvl="0">
                    <a:defRPr b="1" i="0" sz="1000">
                      <a:latin typeface="serif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8"/>
              <c:txPr>
                <a:bodyPr/>
                <a:lstStyle/>
                <a:p>
                  <a:pPr lvl="0">
                    <a:defRPr b="1" i="0" sz="800">
                      <a:latin typeface="serif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9"/>
              <c:txPr>
                <a:bodyPr/>
                <a:lstStyle/>
                <a:p>
                  <a:pPr lvl="0">
                    <a:defRPr b="1" i="0" sz="700">
                      <a:latin typeface="serif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10"/>
              <c:txPr>
                <a:bodyPr/>
                <a:lstStyle/>
                <a:p>
                  <a:pPr lvl="0">
                    <a:defRPr b="1" i="0" sz="700">
                      <a:latin typeface="serif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</c:dLbl>
            <c:showLegendKey val="0"/>
            <c:showVal val="0"/>
            <c:showCatName val="1"/>
            <c:showSerName val="0"/>
            <c:showPercent val="0"/>
            <c:showBubbleSize val="0"/>
            <c:showLeaderLines val="1"/>
          </c:dLbls>
          <c:cat>
            <c:strRef>
              <c:f>'% de Alocação da Carteira 12_25'!$B$4:$B$14</c:f>
            </c:strRef>
          </c:cat>
          <c:val>
            <c:numRef>
              <c:f>'% de Alocação da Carteira 12_25'!$E$4:$E$14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serif"/>
            </a:defRPr>
          </a:pPr>
        </a:p>
      </c:txPr>
    </c:legend>
    <c:plotVisOnly val="1"/>
  </c:chart>
</c:chartSpace>
</file>

<file path=xl/charts/chart4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Carteira "NF" -ALOCAÇÃO % COMPACTA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472C4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Pt>
            <c:idx val="4"/>
            <c:spPr>
              <a:solidFill>
                <a:srgbClr val="5B9BD5"/>
              </a:solidFill>
            </c:spPr>
          </c:dPt>
          <c:dPt>
            <c:idx val="5"/>
            <c:spPr>
              <a:solidFill>
                <a:srgbClr val="70AD47"/>
              </a:solidFill>
            </c:spPr>
          </c:dPt>
          <c:dPt>
            <c:idx val="6"/>
            <c:spPr>
              <a:solidFill>
                <a:srgbClr val="7C9CD6"/>
              </a:solidFill>
            </c:spPr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Lbls>
            <c:dLbl>
              <c:idx val="0"/>
              <c:txPr>
                <a:bodyPr/>
                <a:lstStyle/>
                <a:p>
                  <a:pPr lvl="0">
                    <a:defRPr b="1" i="0">
                      <a:latin typeface="serif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b="1" i="0">
                      <a:latin typeface="serif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4"/>
              <c:txPr>
                <a:bodyPr/>
                <a:lstStyle/>
                <a:p>
                  <a:pPr lvl="0">
                    <a:defRPr b="1" i="0">
                      <a:latin typeface="serif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</c:dLbl>
            <c:showLegendKey val="0"/>
            <c:showVal val="0"/>
            <c:showCatName val="1"/>
            <c:showSerName val="0"/>
            <c:showPercent val="0"/>
            <c:showBubbleSize val="0"/>
            <c:showLeaderLines val="1"/>
          </c:dLbls>
          <c:cat>
            <c:strRef>
              <c:f>'% de Alocação da Carteira 12_25'!$L$4:$L$14</c:f>
            </c:strRef>
          </c:cat>
          <c:val>
            <c:numRef>
              <c:f>'% de Alocação da Carteira 12_25'!$N$4:$N$14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layout>
        <c:manualLayout>
          <c:xMode val="edge"/>
          <c:yMode val="edge"/>
          <c:x val="0.6731727065826331"/>
          <c:y val="0.16152263374485595"/>
        </c:manualLayout>
      </c:layout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600">
                <a:solidFill>
                  <a:srgbClr val="757575"/>
                </a:solidFill>
                <a:latin typeface="Arial"/>
              </a:defRPr>
            </a:pPr>
            <a:r>
              <a:rPr b="0" i="0" sz="1600">
                <a:solidFill>
                  <a:srgbClr val="757575"/>
                </a:solidFill>
                <a:latin typeface="Arial"/>
              </a:rPr>
              <a:t>% de Alocações Carteira "Nasser Family" na R. V. por Setor</a:t>
            </a:r>
          </a:p>
        </c:rich>
      </c:tx>
      <c:layout>
        <c:manualLayout>
          <c:xMode val="edge"/>
          <c:yMode val="edge"/>
          <c:x val="0.03356164383561644"/>
          <c:y val="0.06333333333333334"/>
        </c:manualLayout>
      </c:layout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472C4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Pt>
            <c:idx val="4"/>
            <c:spPr>
              <a:solidFill>
                <a:srgbClr val="5B9BD5"/>
              </a:solidFill>
            </c:spPr>
          </c:dPt>
          <c:dPt>
            <c:idx val="5"/>
            <c:spPr>
              <a:solidFill>
                <a:srgbClr val="70AD47"/>
              </a:solidFill>
            </c:spPr>
          </c:dPt>
          <c:dPt>
            <c:idx val="6"/>
            <c:spPr>
              <a:solidFill>
                <a:srgbClr val="7C9CD6"/>
              </a:solidFill>
            </c:spPr>
          </c:dPt>
          <c:dPt>
            <c:idx val="7"/>
            <c:spPr>
              <a:solidFill>
                <a:srgbClr val="F2A46F"/>
              </a:solidFill>
            </c:spPr>
          </c:dPt>
          <c:dPt>
            <c:idx val="8"/>
            <c:spPr>
              <a:solidFill>
                <a:srgbClr val="C0C0C0"/>
              </a:solidFill>
            </c:spPr>
          </c:dPt>
          <c:dPt>
            <c:idx val="9"/>
            <c:spPr>
              <a:solidFill>
                <a:srgbClr val="FFD34D"/>
              </a:solidFill>
            </c:spPr>
          </c:dPt>
          <c:dPt>
            <c:idx val="10"/>
            <c:spPr>
              <a:solidFill>
                <a:srgbClr val="8CB9E2"/>
              </a:solidFill>
            </c:spPr>
          </c:dPt>
          <c:dPt>
            <c:idx val="11"/>
            <c:spPr>
              <a:solidFill>
                <a:srgbClr val="9BC67E"/>
              </a:solidFill>
            </c:spPr>
          </c:dPt>
          <c:dPt>
            <c:idx val="12"/>
            <c:spPr>
              <a:solidFill>
                <a:srgbClr val="B4C7E7"/>
              </a:solidFill>
            </c:spPr>
          </c:dPt>
          <c:dLbls>
            <c:dLbl>
              <c:idx val="11"/>
              <c:txPr>
                <a:bodyPr/>
                <a:lstStyle/>
                <a:p>
                  <a:pPr lvl="0">
                    <a:defRPr b="1" i="0" sz="800"/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</c:dLbl>
            <c:showLegendKey val="0"/>
            <c:showVal val="0"/>
            <c:showCatName val="1"/>
            <c:showSerName val="0"/>
            <c:showPercent val="0"/>
            <c:showBubbleSize val="0"/>
            <c:showLeaderLines val="1"/>
          </c:dLbls>
          <c:cat>
            <c:strRef>
              <c:f>'% de Alocação da Carteira 12_25'!$D$20:$D$32</c:f>
            </c:strRef>
          </c:cat>
          <c:val>
            <c:numRef>
              <c:f>'% de Alocação da Carteira 12_25'!$C$20:$C$32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ocumenttasks/documenttask1.xml><?xml version="1.0" encoding="utf-8"?>
<Tasks xmlns="http://schemas.microsoft.com/office/tasks/2019/documenttasks"/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image" Target="../media/Chart5.png"/><Relationship Id="rId3" Type="http://schemas.openxmlformats.org/officeDocument/2006/relationships/chart" Target="../charts/chart5.xml"/><Relationship Id="rId4" Type="http://schemas.openxmlformats.org/officeDocument/2006/relationships/image" Target="../media/Chart7.png"/><Relationship Id="rId9" Type="http://schemas.openxmlformats.org/officeDocument/2006/relationships/chart" Target="../charts/chart9.xml"/><Relationship Id="rId5" Type="http://schemas.openxmlformats.org/officeDocument/2006/relationships/chart" Target="../charts/chart6.xml"/><Relationship Id="rId6" Type="http://schemas.openxmlformats.org/officeDocument/2006/relationships/image" Target="../media/Chart9.png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Relationship Id="rId3" Type="http://schemas.openxmlformats.org/officeDocument/2006/relationships/chart" Target="../charts/chart12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Relationship Id="rId3" Type="http://schemas.openxmlformats.org/officeDocument/2006/relationships/chart" Target="../charts/chart15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6.xml"/><Relationship Id="rId2" Type="http://schemas.openxmlformats.org/officeDocument/2006/relationships/chart" Target="../charts/chart17.xml"/><Relationship Id="rId3" Type="http://schemas.openxmlformats.org/officeDocument/2006/relationships/chart" Target="../charts/chart18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9.xml"/><Relationship Id="rId2" Type="http://schemas.openxmlformats.org/officeDocument/2006/relationships/chart" Target="../charts/chart20.xml"/><Relationship Id="rId3" Type="http://schemas.openxmlformats.org/officeDocument/2006/relationships/chart" Target="../charts/chart21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22.xml"/><Relationship Id="rId2" Type="http://schemas.openxmlformats.org/officeDocument/2006/relationships/chart" Target="../charts/chart23.xml"/><Relationship Id="rId3" Type="http://schemas.openxmlformats.org/officeDocument/2006/relationships/chart" Target="../charts/chart24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25.xml"/><Relationship Id="rId2" Type="http://schemas.openxmlformats.org/officeDocument/2006/relationships/chart" Target="../charts/chart26.xml"/><Relationship Id="rId3" Type="http://schemas.openxmlformats.org/officeDocument/2006/relationships/chart" Target="../charts/chart27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8.xml"/><Relationship Id="rId2" Type="http://schemas.openxmlformats.org/officeDocument/2006/relationships/chart" Target="../charts/chart29.xml"/><Relationship Id="rId3" Type="http://schemas.openxmlformats.org/officeDocument/2006/relationships/chart" Target="../charts/chart30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1.xml"/><Relationship Id="rId2" Type="http://schemas.openxmlformats.org/officeDocument/2006/relationships/chart" Target="../charts/chart32.xml"/><Relationship Id="rId3" Type="http://schemas.openxmlformats.org/officeDocument/2006/relationships/chart" Target="../charts/chart33.xml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4.xml"/><Relationship Id="rId2" Type="http://schemas.openxmlformats.org/officeDocument/2006/relationships/chart" Target="../charts/chart35.xml"/><Relationship Id="rId3" Type="http://schemas.openxmlformats.org/officeDocument/2006/relationships/chart" Target="../charts/chart36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chart" Target="../charts/chart37.xml"/><Relationship Id="rId2" Type="http://schemas.openxmlformats.org/officeDocument/2006/relationships/chart" Target="../charts/chart38.xml"/><Relationship Id="rId3" Type="http://schemas.openxmlformats.org/officeDocument/2006/relationships/chart" Target="../charts/chart39.xml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chart" Target="../charts/chart40.xml"/><Relationship Id="rId2" Type="http://schemas.openxmlformats.org/officeDocument/2006/relationships/chart" Target="../charts/chart41.xml"/><Relationship Id="rId3" Type="http://schemas.openxmlformats.org/officeDocument/2006/relationships/chart" Target="../charts/chart4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314325</xdr:colOff>
      <xdr:row>2</xdr:row>
      <xdr:rowOff>47625</xdr:rowOff>
    </xdr:from>
    <xdr:ext cx="4200525" cy="256222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314325</xdr:colOff>
      <xdr:row>18</xdr:row>
      <xdr:rowOff>19050</xdr:rowOff>
    </xdr:from>
    <xdr:ext cx="4200525" cy="2819400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14</xdr:col>
      <xdr:colOff>114300</xdr:colOff>
      <xdr:row>0</xdr:row>
      <xdr:rowOff>171450</xdr:rowOff>
    </xdr:from>
    <xdr:ext cx="3400425" cy="2686050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44</xdr:col>
      <xdr:colOff>781050</xdr:colOff>
      <xdr:row>149</xdr:row>
      <xdr:rowOff>0</xdr:rowOff>
    </xdr:from>
    <xdr:ext cx="6134100" cy="5638800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38</xdr:col>
      <xdr:colOff>514350</xdr:colOff>
      <xdr:row>74</xdr:row>
      <xdr:rowOff>104775</xdr:rowOff>
    </xdr:from>
    <xdr:ext cx="6134100" cy="4600575"/>
    <xdr:pic>
      <xdr:nvPicPr>
        <xdr:cNvPr id="1965174387" name="Chart5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37</xdr:col>
      <xdr:colOff>295275</xdr:colOff>
      <xdr:row>8</xdr:row>
      <xdr:rowOff>66675</xdr:rowOff>
    </xdr:from>
    <xdr:ext cx="11658600" cy="9382125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45</xdr:col>
      <xdr:colOff>114300</xdr:colOff>
      <xdr:row>115</xdr:row>
      <xdr:rowOff>0</xdr:rowOff>
    </xdr:from>
    <xdr:ext cx="5181600" cy="5829300"/>
    <xdr:pic>
      <xdr:nvPicPr>
        <xdr:cNvPr id="827556356" name="Chart7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514350</xdr:colOff>
      <xdr:row>114</xdr:row>
      <xdr:rowOff>19050</xdr:rowOff>
    </xdr:from>
    <xdr:ext cx="6496050" cy="5915025"/>
    <xdr:graphicFrame>
      <xdr:nvGraphicFramePr>
        <xdr:cNvPr id="8" name="Chart 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44</xdr:col>
      <xdr:colOff>781050</xdr:colOff>
      <xdr:row>74</xdr:row>
      <xdr:rowOff>161925</xdr:rowOff>
    </xdr:from>
    <xdr:ext cx="5553075" cy="4600575"/>
    <xdr:pic>
      <xdr:nvPicPr>
        <xdr:cNvPr id="1293369535" name="Chart9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514350</xdr:colOff>
      <xdr:row>149</xdr:row>
      <xdr:rowOff>0</xdr:rowOff>
    </xdr:from>
    <xdr:ext cx="6686550" cy="5638800"/>
    <xdr:graphicFrame>
      <xdr:nvGraphicFramePr>
        <xdr:cNvPr id="10" name="Chart 1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38</xdr:col>
      <xdr:colOff>514350</xdr:colOff>
      <xdr:row>92</xdr:row>
      <xdr:rowOff>114300</xdr:rowOff>
    </xdr:from>
    <xdr:ext cx="6134100" cy="4219575"/>
    <xdr:graphicFrame>
      <xdr:nvGraphicFramePr>
        <xdr:cNvPr id="11" name="Chart 1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44</xdr:col>
      <xdr:colOff>781050</xdr:colOff>
      <xdr:row>92</xdr:row>
      <xdr:rowOff>95250</xdr:rowOff>
    </xdr:from>
    <xdr:ext cx="5553075" cy="4048125"/>
    <xdr:graphicFrame>
      <xdr:nvGraphicFramePr>
        <xdr:cNvPr id="12" name="Chart 1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171450</xdr:colOff>
      <xdr:row>1</xdr:row>
      <xdr:rowOff>161925</xdr:rowOff>
    </xdr:from>
    <xdr:ext cx="3952875" cy="2505075"/>
    <xdr:graphicFrame>
      <xdr:nvGraphicFramePr>
        <xdr:cNvPr id="13" name="Chart 1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171450</xdr:colOff>
      <xdr:row>18</xdr:row>
      <xdr:rowOff>0</xdr:rowOff>
    </xdr:from>
    <xdr:ext cx="3952875" cy="2857500"/>
    <xdr:graphicFrame>
      <xdr:nvGraphicFramePr>
        <xdr:cNvPr id="14" name="Chart 1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14</xdr:col>
      <xdr:colOff>419100</xdr:colOff>
      <xdr:row>0</xdr:row>
      <xdr:rowOff>190500</xdr:rowOff>
    </xdr:from>
    <xdr:ext cx="3448050" cy="2667000"/>
    <xdr:graphicFrame>
      <xdr:nvGraphicFramePr>
        <xdr:cNvPr id="15" name="Chart 1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180975</xdr:colOff>
      <xdr:row>1</xdr:row>
      <xdr:rowOff>0</xdr:rowOff>
    </xdr:from>
    <xdr:ext cx="4552950" cy="2647950"/>
    <xdr:graphicFrame>
      <xdr:nvGraphicFramePr>
        <xdr:cNvPr id="16" name="Chart 1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152400</xdr:colOff>
      <xdr:row>17</xdr:row>
      <xdr:rowOff>0</xdr:rowOff>
    </xdr:from>
    <xdr:ext cx="4581525" cy="3409950"/>
    <xdr:graphicFrame>
      <xdr:nvGraphicFramePr>
        <xdr:cNvPr id="17" name="Chart 1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14</xdr:col>
      <xdr:colOff>257175</xdr:colOff>
      <xdr:row>1</xdr:row>
      <xdr:rowOff>0</xdr:rowOff>
    </xdr:from>
    <xdr:ext cx="3448050" cy="2647950"/>
    <xdr:graphicFrame>
      <xdr:nvGraphicFramePr>
        <xdr:cNvPr id="18" name="Chart 1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285750</xdr:colOff>
      <xdr:row>1</xdr:row>
      <xdr:rowOff>0</xdr:rowOff>
    </xdr:from>
    <xdr:ext cx="4705350" cy="2628900"/>
    <xdr:graphicFrame>
      <xdr:nvGraphicFramePr>
        <xdr:cNvPr id="19" name="Chart 1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285750</xdr:colOff>
      <xdr:row>17</xdr:row>
      <xdr:rowOff>0</xdr:rowOff>
    </xdr:from>
    <xdr:ext cx="4705350" cy="3419475"/>
    <xdr:graphicFrame>
      <xdr:nvGraphicFramePr>
        <xdr:cNvPr id="20" name="Chart 2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14</xdr:col>
      <xdr:colOff>180975</xdr:colOff>
      <xdr:row>0</xdr:row>
      <xdr:rowOff>171450</xdr:rowOff>
    </xdr:from>
    <xdr:ext cx="3448050" cy="2667000"/>
    <xdr:graphicFrame>
      <xdr:nvGraphicFramePr>
        <xdr:cNvPr id="21" name="Chart 2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228600</xdr:colOff>
      <xdr:row>0</xdr:row>
      <xdr:rowOff>171450</xdr:rowOff>
    </xdr:from>
    <xdr:ext cx="4905375" cy="2714625"/>
    <xdr:graphicFrame>
      <xdr:nvGraphicFramePr>
        <xdr:cNvPr id="22" name="Chart 2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228600</xdr:colOff>
      <xdr:row>16</xdr:row>
      <xdr:rowOff>152400</xdr:rowOff>
    </xdr:from>
    <xdr:ext cx="4905375" cy="3095625"/>
    <xdr:graphicFrame>
      <xdr:nvGraphicFramePr>
        <xdr:cNvPr id="23" name="Chart 2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14</xdr:col>
      <xdr:colOff>142875</xdr:colOff>
      <xdr:row>0</xdr:row>
      <xdr:rowOff>171450</xdr:rowOff>
    </xdr:from>
    <xdr:ext cx="3895725" cy="2657475"/>
    <xdr:graphicFrame>
      <xdr:nvGraphicFramePr>
        <xdr:cNvPr id="24" name="Chart 2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733425</xdr:colOff>
      <xdr:row>1</xdr:row>
      <xdr:rowOff>171450</xdr:rowOff>
    </xdr:from>
    <xdr:ext cx="4686300" cy="2466975"/>
    <xdr:graphicFrame>
      <xdr:nvGraphicFramePr>
        <xdr:cNvPr id="25" name="Chart 2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609600</xdr:colOff>
      <xdr:row>1</xdr:row>
      <xdr:rowOff>9525</xdr:rowOff>
    </xdr:from>
    <xdr:ext cx="3276600" cy="2628900"/>
    <xdr:graphicFrame>
      <xdr:nvGraphicFramePr>
        <xdr:cNvPr id="26" name="Chart 2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952500</xdr:colOff>
      <xdr:row>18</xdr:row>
      <xdr:rowOff>9525</xdr:rowOff>
    </xdr:from>
    <xdr:ext cx="4467225" cy="2838450"/>
    <xdr:graphicFrame>
      <xdr:nvGraphicFramePr>
        <xdr:cNvPr id="27" name="Chart 2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742950</xdr:colOff>
      <xdr:row>2</xdr:row>
      <xdr:rowOff>0</xdr:rowOff>
    </xdr:from>
    <xdr:ext cx="4819650" cy="2409825"/>
    <xdr:graphicFrame>
      <xdr:nvGraphicFramePr>
        <xdr:cNvPr id="28" name="Chart 2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523875</xdr:colOff>
      <xdr:row>18</xdr:row>
      <xdr:rowOff>28575</xdr:rowOff>
    </xdr:from>
    <xdr:ext cx="4905375" cy="2819400"/>
    <xdr:graphicFrame>
      <xdr:nvGraphicFramePr>
        <xdr:cNvPr id="29" name="Chart 2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14</xdr:col>
      <xdr:colOff>238125</xdr:colOff>
      <xdr:row>1</xdr:row>
      <xdr:rowOff>95250</xdr:rowOff>
    </xdr:from>
    <xdr:ext cx="3276600" cy="2628900"/>
    <xdr:graphicFrame>
      <xdr:nvGraphicFramePr>
        <xdr:cNvPr id="30" name="Chart 3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685800</xdr:colOff>
      <xdr:row>1</xdr:row>
      <xdr:rowOff>190500</xdr:rowOff>
    </xdr:from>
    <xdr:ext cx="4524375" cy="2495550"/>
    <xdr:graphicFrame>
      <xdr:nvGraphicFramePr>
        <xdr:cNvPr id="31" name="Chart 3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790575</xdr:colOff>
      <xdr:row>17</xdr:row>
      <xdr:rowOff>0</xdr:rowOff>
    </xdr:from>
    <xdr:ext cx="4810125" cy="3048000"/>
    <xdr:graphicFrame>
      <xdr:nvGraphicFramePr>
        <xdr:cNvPr id="32" name="Chart 3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14</xdr:col>
      <xdr:colOff>514350</xdr:colOff>
      <xdr:row>0</xdr:row>
      <xdr:rowOff>161925</xdr:rowOff>
    </xdr:from>
    <xdr:ext cx="3838575" cy="2705100"/>
    <xdr:graphicFrame>
      <xdr:nvGraphicFramePr>
        <xdr:cNvPr id="33" name="Chart 3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333375</xdr:colOff>
      <xdr:row>18</xdr:row>
      <xdr:rowOff>9525</xdr:rowOff>
    </xdr:from>
    <xdr:ext cx="4905375" cy="2819400"/>
    <xdr:graphicFrame>
      <xdr:nvGraphicFramePr>
        <xdr:cNvPr id="34" name="Chart 3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171450</xdr:colOff>
      <xdr:row>2</xdr:row>
      <xdr:rowOff>19050</xdr:rowOff>
    </xdr:from>
    <xdr:ext cx="4200525" cy="2324100"/>
    <xdr:graphicFrame>
      <xdr:nvGraphicFramePr>
        <xdr:cNvPr id="35" name="Chart 3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14</xdr:col>
      <xdr:colOff>390525</xdr:colOff>
      <xdr:row>1</xdr:row>
      <xdr:rowOff>0</xdr:rowOff>
    </xdr:from>
    <xdr:ext cx="3733800" cy="2819400"/>
    <xdr:graphicFrame>
      <xdr:nvGraphicFramePr>
        <xdr:cNvPr id="36" name="Chart 3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647700</xdr:colOff>
      <xdr:row>2</xdr:row>
      <xdr:rowOff>19050</xdr:rowOff>
    </xdr:from>
    <xdr:ext cx="4200525" cy="2428875"/>
    <xdr:graphicFrame>
      <xdr:nvGraphicFramePr>
        <xdr:cNvPr id="37" name="Chart 3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123825</xdr:colOff>
      <xdr:row>17</xdr:row>
      <xdr:rowOff>171450</xdr:rowOff>
    </xdr:from>
    <xdr:ext cx="4905375" cy="2819400"/>
    <xdr:graphicFrame>
      <xdr:nvGraphicFramePr>
        <xdr:cNvPr id="38" name="Chart 3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14</xdr:col>
      <xdr:colOff>371475</xdr:colOff>
      <xdr:row>0</xdr:row>
      <xdr:rowOff>180975</xdr:rowOff>
    </xdr:from>
    <xdr:ext cx="4381500" cy="2914650"/>
    <xdr:graphicFrame>
      <xdr:nvGraphicFramePr>
        <xdr:cNvPr id="39" name="Chart 3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142875</xdr:colOff>
      <xdr:row>17</xdr:row>
      <xdr:rowOff>161925</xdr:rowOff>
    </xdr:from>
    <xdr:ext cx="4905375" cy="2819400"/>
    <xdr:graphicFrame>
      <xdr:nvGraphicFramePr>
        <xdr:cNvPr id="40" name="Chart 4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209550</xdr:colOff>
      <xdr:row>1</xdr:row>
      <xdr:rowOff>180975</xdr:rowOff>
    </xdr:from>
    <xdr:ext cx="4200525" cy="2428875"/>
    <xdr:graphicFrame>
      <xdr:nvGraphicFramePr>
        <xdr:cNvPr id="41" name="Chart 4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14</xdr:col>
      <xdr:colOff>342900</xdr:colOff>
      <xdr:row>0</xdr:row>
      <xdr:rowOff>161925</xdr:rowOff>
    </xdr:from>
    <xdr:ext cx="3400425" cy="2638425"/>
    <xdr:graphicFrame>
      <xdr:nvGraphicFramePr>
        <xdr:cNvPr id="42" name="Chart 4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266700</xdr:colOff>
      <xdr:row>2</xdr:row>
      <xdr:rowOff>47625</xdr:rowOff>
    </xdr:from>
    <xdr:ext cx="4200525" cy="2428875"/>
    <xdr:graphicFrame>
      <xdr:nvGraphicFramePr>
        <xdr:cNvPr id="43" name="Chart 4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323850</xdr:colOff>
      <xdr:row>1</xdr:row>
      <xdr:rowOff>28575</xdr:rowOff>
    </xdr:from>
    <xdr:ext cx="3400425" cy="2638425"/>
    <xdr:graphicFrame>
      <xdr:nvGraphicFramePr>
        <xdr:cNvPr id="44" name="Chart 4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266700</xdr:colOff>
      <xdr:row>17</xdr:row>
      <xdr:rowOff>180975</xdr:rowOff>
    </xdr:from>
    <xdr:ext cx="4905375" cy="2819400"/>
    <xdr:graphicFrame>
      <xdr:nvGraphicFramePr>
        <xdr:cNvPr id="45" name="Chart 4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Nasser de Melo" id="{bf9f0f12-0199-4ece-a40e-ba3625a53442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D75" dT="2025-10-02T02:37:12.00" personId="{bf9f0f12-0199-4ece-a40e-ba3625a53442}" id="{f7e15954-09cb-42eb-b682-97844a33e2a0}" done="0">
    <x18tc:text xml:space="preserve">COMPRA 
COSAN CSAN3 BTG ALEXA
01/10/2025
+200*6,22
+400*6,21
+100*6,20
+300*6,19
+500*6,18
+100*6,17
+300*6,16
+100*6,15
+100*6,14
02/10/25
COMPRA COSAN
+100*6,03
+100*6,12</x18tc:text>
  </x18tc:threadedComment>
  <x18tc:threadedComment ref="L35" dT="2025-05-02T20:37:52.00" personId="{bf9f0f12-0199-4ece-a40e-ba3625a53442}" id="{3c1d75c3-db51-4cbc-9552-39c883568148}" done="0">
    <x18tc:text xml:space="preserve">02/05
DEPOSITO 
R$10.000,00
-3815,00
-1000,00=
+5181,81
DESCRITIVO DAS COMPRAS :
compra moedas
LIBRA ESTERLINA GBP 
+500*7,63 = 3815,00
YEN JAPONEZ
+25213*0,0396 = 1000,00
#####
09/05
DEPOSITO 
R$10.000,00
11/05
deposito 
R$4000,00
12/05
DEPOSITO
+10000,00
COMPRA de EURO
13/05
DEPOSITO
+10000,00
COMPRA de EURO E CHF
14/05
DEPOSITO
+10000,00
COMPRA de USD
22/5
deposito btg
+5000,00
pra compra de USD</x18tc:text>
  </x18tc:threadedComment>
  <x18tc:threadedComment ref="X43" dT="2025-06-10T20:56:01.00" personId="{bf9f0f12-0199-4ece-a40e-ba3625a53442}" id="{f7505d79-2855-4b5b-9c83-797eebc81728}" done="0">
    <x18tc:text xml:space="preserve">09/06
COMPRA ASML34
POR CONTA ENGANO OPERADOR CLEAR
+374*77,92</x18tc:text>
  </x18tc:threadedComment>
  <x18tc:threadedComment ref="AD52" dT="2025-07-21T22:34:02.00" personId="{bf9f0f12-0199-4ece-a40e-ba3625a53442}" id="{1392887b-7951-45e2-99bd-d47f83e274d4}" done="0">
    <x18tc:text xml:space="preserve">21/07
VENDA BBAS3
TRUMP VISTOS STF
-2100*19.93
22/07
-1100*19,91
-1000*19,90</x18tc:text>
  </x18tc:threadedComment>
  <x18tc:threadedComment ref="F43" dT="2025-06-16T19:38:54.00" personId="{bf9f0f12-0199-4ece-a40e-ba3625a53442}" id="{7804a8b4-06d8-4d18-a8b3-d2029622eb1f}" done="0">
    <x18tc:text xml:space="preserve">16/06
COMPRA LFTS11
+150*134,86
+150*134,87</x18tc:text>
  </x18tc:threadedComment>
  <x18tc:threadedComment ref="AB75" dT="2025-10-02T02:24:24.00" personId="{bf9f0f12-0199-4ece-a40e-ba3625a53442}" id="{3d92e735-b3dc-4e3a-a5ab-e4c231353ca3}" done="0">
    <x18tc:text xml:space="preserve">01/10/25
COMPRA WEGE3
+100*36,02
+100*36,01
+100*36
+100*35,97
+100*35,91
+100*35,83
+100*35,81
+100*35,81
+100*35,77
+100*35,73
+100*35,69
+100*35,66
+100*35,54
+100*35,52</x18tc:text>
  </x18tc:threadedComment>
  <x18tc:threadedComment ref="Y68" dT="2025-09-21T05:33:16.00" personId="{bf9f0f12-0199-4ece-a40e-ba3625a53442}" id="{80d2c1b8-2e5b-45a3-8ddc-21aa69303bd9}" done="0">
    <x18tc:text xml:space="preserve">15 E 18/09/25
VENDA ASML34 GAIN
-300*82,05
-179*83,31
-100*83,45
-100*83,50
-250*89,50</x18tc:text>
  </x18tc:threadedComment>
  <x18tc:threadedComment ref="X44" dT="2025-06-10T20:54:53.00" personId="{bf9f0f12-0199-4ece-a40e-ba3625a53442}" id="{22de1c19-6949-4698-97d9-7c6484464abd}" done="0">
    <x18tc:text xml:space="preserve">09/06
venda ASML34
OPERADOR cLEAR
-374*77,92
10/06
OPERADOR CLEAR
VENDA ASML34
-52*79,12
12/06
venda ASML34
OPERADOR clear
-322*79,35</x18tc:text>
  </x18tc:threadedComment>
  <x18tc:threadedComment ref="O52" dT="2025-07-21T22:26:43.00" personId="{bf9f0f12-0199-4ece-a40e-ba3625a53442}" id="{bf72453f-8e0b-43a6-a052-5929550fa893}" done="0">
    <x18tc:text xml:space="preserve">21/07
venda SOJA3
-3600*10.41
-5000*10.44
-1000*10.43
22/07
-4900*10,47
-2000*10,48
-3000*10,49</x18tc:text>
  </x18tc:threadedComment>
  <x18tc:threadedComment ref="X76" dT="2025-10-02T02:32:59.00" personId="{bf9f0f12-0199-4ece-a40e-ba3625a53442}" id="{5029bc1a-4bec-474e-8be5-1de1c100359c}" done="0">
    <x18tc:text xml:space="preserve">01/10/2025
VENDA ASML34 GAIN
-140*96,56</x18tc:text>
  </x18tc:threadedComment>
  <x18tc:threadedComment ref="AA67" dT="2025-09-21T05:28:32.00" personId="{bf9f0f12-0199-4ece-a40e-ba3625a53442}" id="{9cc51e68-6466-4ee9-86f9-b2a056d9081b}" done="0">
    <x18tc:text xml:space="preserve">11/09
COMPRA SIGMA
+500*10,01
+1000*9,96
+500*9,90
+500*9,89
+500*9,80
+500*9,71</x18tc:text>
  </x18tc:threadedComment>
  <x18tc:threadedComment ref="M70" dT="2025-09-20T22:02:20.00" personId="{bf9f0f12-0199-4ece-a40e-ba3625a53442}" id="{363cf196-6a63-44f1-8596-4ab658a0f73c}" done="0">
    <x18tc:text xml:space="preserve">ATUALIZAÇÃO
09/2025
20/09/2025
grama OURO = R$570,00
EU$1,00 = R$ 6,51
US$1,00 = R$ 5,54
=====
(GOLD+CASH) 
HOME + BANKs
&gt;pulseira MACIÇA OURO+ Dadinho
(32,96g+1,33g =34,29g)= 
34,29g * R$570,00 a grama =
R$19545,30
COMPRA GOLD
&gt;PULSEIRA EGÍPCIA
(51,18g) *570 =
R$29172,60
&gt;CHAVEIRO VARGAS
(10,93g) * 570 =
R$6230,10
&gt;CORRENTE CORDA
GOLD
+17,26g*570,00= R$9838,20
=&gt;&gt;TOTAL GOLD
19545,30+29172,60+6230,10+9838,20 = 
=&gt;&gt;R$64789,20
=============
CASH HOME
&gt;US$1672 = R$9262,88+
&gt;EU$2000,00 =R$13020,00 +
&gt;EU$2615,00=R$17023,65
BPI BANK
(EU6340,00)+EU$431,88=
TOTAL BPI EU$6771,88 * 6,51
R$44084,93
=&gt;TOTAL CASH
9262,88+13020,00+17023,65
+44084,93=
TT =&gt;R$ 83391,46
==========
&gt;&gt; TOTAL GERAL
(GOLD+CASH)
HOME+BANKs
64786,20+83391,46=
==&gt;&gt; R$ 148177,66</x18tc:text>
  </x18tc:threadedComment>
  <x18tc:threadedComment ref="AE52" dT="2025-07-21T22:32:56.00" personId="{bf9f0f12-0199-4ece-a40e-ba3625a53442}" id="{f3f0384d-cf75-474e-8762-3c7e5143909f}" done="0">
    <x18tc:text xml:space="preserve">21/07/25
VENDA BBAS3 
TRUMP VISTOS STF
-1800*20.07
22/07
-500*19,89
-1000*19,90
-300*19,93</x18tc:text>
  </x18tc:threadedComment>
  <x18tc:threadedComment ref="AB12" dT="2026-02-02T19:46:30.00" personId="{bf9f0f12-0199-4ece-a40e-ba3625a53442}" id="{01108e8d-e71c-48c0-a873-a5fc0c1b5f04}" done="0">
    <x18tc:text xml:space="preserve">02/02/26
VENDA WEGE
-100*51,54
- 100*51,54
- 100*51,54
- 100*51,54
05/02
venda WEGE
-300*53,02
- 300*53,01 
- 100*53,01
- 200*53,04
06/02/26
VENDAS WEGE GAIN
200*52,42
- 200*52,46 
- 200*52,40
- 200*52,42
- 100*52,40
- 100*52,43
- 200*52,47 
- 200*52,38
- 200*52,44
- 200*52,41
- 200*52,41</x18tc:text>
  </x18tc:threadedComment>
  <x18tc:threadedComment ref="F53" dT="2025-07-30T13:43:39.00" personId="{bf9f0f12-0199-4ece-a40e-ba3625a53442}" id="{7fb842a2-337a-41ed-91a4-6828309ff702}" done="0">
    <x18tc:text xml:space="preserve">30/07/25
VENDA LFTS11
PARA COB CC
-200*137,17
-200*137,20</x18tc:text>
  </x18tc:threadedComment>
  <x18tc:threadedComment ref="X59" dT="2025-08-05T02:36:58.00" personId="{bf9f0f12-0199-4ece-a40e-ba3625a53442}" id="{759fd737-d07d-48ed-bcfa-e4ce1ee92763}" done="0">
    <x18tc:text xml:space="preserve">01/08/2025
COMPRA ASML
+8*69,57</x18tc:text>
  </x18tc:threadedComment>
  <x18tc:threadedComment ref="AC12" dT="2026-02-02T19:42:19.00" personId="{bf9f0f12-0199-4ece-a40e-ba3625a53442}" id="{564aca58-b75b-4b8e-aa20-6dfd3676f057}" done="0">
    <x18tc:text xml:space="preserve">02/02/26
VENDA AMD
-22*164,11
-50*164,13
-50*164,18</x18tc:text>
  </x18tc:threadedComment>
  <x18tc:threadedComment ref="Z91" dT="2025-12-08T01:28:52.00" personId="{bf9f0f12-0199-4ece-a40e-ba3625a53442}" id="{fbf6fd87-0361-403c-9279-d1dc7f44dab8}" done="0">
    <x18tc:text xml:space="preserve">05/12
COMPRA VALE3 
DIVIDENDOS dia com 11/12
+100*71,42
+ 100*71,52
+ 100*71,62
+ 100*71,32
+ 100*71,26
+ 100*71,23
+ 100*70,83
+ 100*70,52 
+ 100*71,01
+ 100*71,11
+ 100*71,50 
+ 100*71,57
+ 100*71,53
+ 100*71,46
+ 100*71,41
+ 100*71,42 
+ 100*70,92
+ 100*70,67 
+ 100*71,26
+ 100*70,15
+ 100*70,01</x18tc:text>
  </x18tc:threadedComment>
  <x18tc:threadedComment ref="S91" dT="2025-12-08T01:23:41.00" personId="{bf9f0f12-0199-4ece-a40e-ba3625a53442}" id="{11058264-d115-46e4-b60a-15af6b4fbbd9}" done="0">
    <x18tc:text xml:space="preserve">05/12
compra LFTS11
+5*143,96
29/12/25
COMPRA LFTS11
+45*145,36</x18tc:text>
  </x18tc:threadedComment>
  <x18tc:threadedComment ref="N68" dT="2025-09-25T18:24:06.00" personId="{bf9f0f12-0199-4ece-a40e-ba3625a53442}" id="{da5b2eb9-60b2-4ab0-8ff7-49ae30a94ead}" done="0">
    <x18tc:text xml:space="preserve">25/09/2025
venda Intel GAIN
-500*28,96
VENDA INTEL GAIN
-500*30,39
26/09
venda INTEL GAIN
-250*31,36</x18tc:text>
  </x18tc:threadedComment>
  <x18tc:threadedComment ref="D52" dT="2025-07-11T11:29:47.00" personId="{bf9f0f12-0199-4ece-a40e-ba3625a53442}" id="{e88b5c39-fb14-469f-bb20-373c2aab69e3}" done="0">
    <x18tc:text xml:space="preserve">10/07/25
resgate TD
-19915,18
IR
-649,08
RESGATE TD
-8943,13
IR
-317,43</x18tc:text>
  </x18tc:threadedComment>
  <x18tc:threadedComment ref="T59" dT="2025-08-05T02:03:28.00" personId="{bf9f0f12-0199-4ece-a40e-ba3625a53442}" id="{2bdb255a-ada3-4222-9863-6692166645bd}" done="0">
    <x18tc:text xml:space="preserve">01/08/2025
COMPRA AAPL34
+10*58,82
+20*58,81
+10*58,78
+10*58,72
+10*58,67
+10*58,62
+10*58,59
+10*58,51
+10*58,46
+10*58,33
+10*58,27
+10*58,21</x18tc:text>
  </x18tc:threadedComment>
  <x18tc:threadedComment ref="X51" dT="2025-07-24T16:18:41.00" personId="{bf9f0f12-0199-4ece-a40e-ba3625a53442}" id="{5d0a8638-9ca5-4039-9549-0d8ca35907c9}" done="0">
    <x18tc:text xml:space="preserve">23/07/2025
BTG ALEXA
COMPRA ASML34
+50*71,41
+50*71,48
+50*71,55
+50*71,64
+50*71,71
25/07
+20*71,51
+60*71,43
+42*71,41
+50*71,39</x18tc:text>
  </x18tc:threadedComment>
  <x18tc:threadedComment ref="L83" dT="2025-11-27T15:38:25.00" personId="{bf9f0f12-0199-4ece-a40e-ba3625a53442}" id="{edc09cfe-1455-47db-a2a8-23d205942e92}" done="0">
    <x18tc:text xml:space="preserve">27/11
transferencia para WISE
COMPRA DE MOEDAS
+30K
30/11
transferencia para WISE
+4500,00</x18tc:text>
  </x18tc:threadedComment>
  <x18tc:threadedComment ref="C62" dT="2025-08-05T01:56:31.00" personId="{bf9f0f12-0199-4ece-a40e-ba3625a53442}" id="{ec25aa5d-399a-450a-9b79-a2bb1dfb55a2}" done="0">
    <x18tc:text xml:space="preserve">04/08/25
transferido TD 
DA CLEAR PARA BTG</x18tc:text>
  </x18tc:threadedComment>
  <x18tc:threadedComment ref="I36" dT="2025-06-01T01:36:29.00" personId="{bf9f0f12-0199-4ece-a40e-ba3625a53442}" id="{9fc58bdf-ee41-4964-ad77-8d89a01d4861}" done="0">
    <x18tc:text xml:space="preserve">30/05
IR FUNDO BB
-1975,24</x18tc:text>
  </x18tc:threadedComment>
  <x18tc:threadedComment ref="D62" dT="2025-08-05T01:56:15.00" personId="{bf9f0f12-0199-4ece-a40e-ba3625a53442}" id="{b48ebb5f-5cce-414a-aca9-d79d16b939a3}" done="0">
    <x18tc:text xml:space="preserve">04/08/25
transferido TD 
DA CLEAR PARA BTG</x18tc:text>
  </x18tc:threadedComment>
  <x18tc:threadedComment ref="F52" dT="2025-07-24T16:20:29.00" personId="{bf9f0f12-0199-4ece-a40e-ba3625a53442}" id="{a865a4fe-bef4-4d70-96a0-ab21ed95612d}" done="0">
    <x18tc:text xml:space="preserve">23/07/2025
VENDA LFTS11 
COB CONTA
-100*136,8</x18tc:text>
  </x18tc:threadedComment>
  <x18tc:threadedComment ref="AG43" dT="2025-06-20T17:30:20.00" personId="{bf9f0f12-0199-4ece-a40e-ba3625a53442}" id="{db245ef1-747f-4ffd-bd37-6a7b06b710b3}" done="0">
    <x18tc:text xml:space="preserve">20/06
ALEXA BTG NEW
COMPRA APPLE
+50*54,65
+50*54,50
+50*54,34
23/06
+40*55,38
+40*55,13
+40*55,06
25/06
+50*55,86</x18tc:text>
  </x18tc:threadedComment>
  <x18tc:threadedComment ref="AF43" dT="2025-06-20T17:29:02.00" personId="{bf9f0f12-0199-4ece-a40e-ba3625a53442}" id="{a498d9ac-86d2-43a3-a8ad-90f1e5457f80}" done="0">
    <x18tc:text xml:space="preserve">20/06
ALEXA BTG NEW
COMPRA TESLA
+100*55,32
+30*55,22
+30*55,09
+100*54,84
+100*54,83
+100*54,77
+100*54,74
25/06
100*55,84
+50*55,86
+50*55,99
+50*56,01
+50*56,03
+50*56,10
+50*56,15
+50*56,25
+100*56,31
+50*56,37
+90*56,80
27/06
COMPRA TESLA
LANÇAMENTO ENTREGA AUTONOMA
+38*55,25
+38*55,20
+40*54,88
+40*54,86
+38*54,84</x18tc:text>
  </x18tc:threadedComment>
  <x18tc:threadedComment ref="Y59" dT="2025-08-05T02:23:39.00" personId="{bf9f0f12-0199-4ece-a40e-ba3625a53442}" id="{2158a144-a95a-44b4-b1a6-a9cf61361774}" done="0">
    <x18tc:text xml:space="preserve">01/08/2025
COMPRA ASML34
+50*69,04
+50*69,17
+50*69,31
+50*69,41
+50*69,48</x18tc:text>
  </x18tc:threadedComment>
  <x18tc:threadedComment ref="L12" dT="2026-02-03T21:56:04.00" personId="{bf9f0f12-0199-4ece-a40e-ba3625a53442}" id="{6c98c314-7fc9-4034-aba4-8846fc5dd86e}" done="0">
    <x18tc:text xml:space="preserve">03/02
pgto SOFIA
CHAT GPT
US$100,00
R$-519,15
06/02/2026
PRA TRANSFERENCIA PARA BPI
EU$3400 = R$20734,59
EU$1,00 = R$6,09
10/02/2026
PRA TRANSFERENCIA PARA BPI
EU$2900 = R$18674,97
EU$1,00 = R$6,18
11/02/26
PRA TRANSFERENCIA PARA BPI
EU$1550 = R$9941,48
EU$1,00 = R$6,15</x18tc:text>
  </x18tc:threadedComment>
  <x18tc:threadedComment ref="AF44" dT="2025-06-25T22:06:49.00" personId="{bf9f0f12-0199-4ece-a40e-ba3625a53442}" id="{6e1ecc30-29b7-4eae-82a8-254d39f29fd7}" done="0">
    <x18tc:text xml:space="preserve">25/06
VENDA TESLA 
POR ENGANO
-100*56,03</x18tc:text>
  </x18tc:threadedComment>
  <x18tc:threadedComment ref="N59" dT="2025-08-05T02:20:48.00" personId="{bf9f0f12-0199-4ece-a40e-ba3625a53442}" id="{397a4fec-5294-499e-bf46-ba38b4f98ae4}" done="0">
    <x18tc:text xml:space="preserve">01/08/2025
COMPRA INTEL ITLC34
+100*18,06
+50*18,01
+100*18,00
+50*17,99
+50*17,96
+50*17,95
+100*17,87
+94*17,82
+50*17,72
+100*17,65</x18tc:text>
  </x18tc:threadedComment>
  <x18tc:threadedComment ref="I44" dT="2025-06-20T17:07:47.00" personId="{bf9f0f12-0199-4ece-a40e-ba3625a53442}" id="{4b513465-75b0-4115-8494-ed878795bc70}" done="0">
    <x18tc:text xml:space="preserve">20/06
resgaste p cc Santander
-2000</x18tc:text>
  </x18tc:threadedComment>
  <x18tc:threadedComment ref="AE45" dT="2025-06-12T20:34:33.00" personId="{bf9f0f12-0199-4ece-a40e-ba3625a53442}" id="{1defe5df-eadb-44af-8b19-6beb6388ee51}" done="0">
    <x18tc:text xml:space="preserve">12/06
BBAS3
DIVIDENDOS
-738,72
JSC
-199,88</x18tc:text>
  </x18tc:threadedComment>
  <x18tc:threadedComment ref="W59" dT="2025-08-05T02:16:10.00" personId="{bf9f0f12-0199-4ece-a40e-ba3625a53442}" id="{1fb7a08d-594a-476d-8c29-2858340b83f7}" done="0">
    <x18tc:text xml:space="preserve">01/08/2025
COMPRA CMIN3
+2000*5,01
+1000*5,02
+1000*5,03
+1000*5,04
+800*5,06
+1200*5,07
+2800*5,08
+3600*5,09
+1600*5,010
14/08
COMPRA CMIN3
+2000*4,81</x18tc:text>
  </x18tc:threadedComment>
  <x18tc:threadedComment ref="AH43" dT="2025-06-20T17:24:12.00" personId="{bf9f0f12-0199-4ece-a40e-ba3625a53442}" id="{0ecf9382-f422-4abb-b57e-316369fe5651}" done="0">
    <x18tc:text xml:space="preserve">20/06
ALEXA BTG NEW
COMPRA ITLC34
+100*19,50
+100*19,24
+200*19,25
+100*19,18
23/06
+100*19,13
+100*19,20
+150*19,24</x18tc:text>
  </x18tc:threadedComment>
  <x18tc:threadedComment ref="AG85" dT="2025-11-19T11:06:24.00" personId="{bf9f0f12-0199-4ece-a40e-ba3625a53442}" id="{ee0fe579-2e61-4913-8596-c8e44ae3b0e8}" done="0">
    <x18tc:text xml:space="preserve">19/11/25
APPLE
DIVIDENDOS
35,57</x18tc:text>
  </x18tc:threadedComment>
  <x18tc:threadedComment ref="F60" dT="2025-08-11T18:04:22.00" personId="{bf9f0f12-0199-4ece-a40e-ba3625a53442}" id="{119a6d9a-45de-4039-a9d1-37253bcfd809}" done="0">
    <x18tc:text xml:space="preserve">11/08/25
VENDA LFTS11
-30*137,78
12/08/25
VENDA COB CC
-70*137,85
-250*137,86
CANCELADA PELA B3
13/08/25
VENDA LFTS11
-50*137,99
18/08/25
VENDA LFTS11
NOVAMENTE
-320*138,15</x18tc:text>
  </x18tc:threadedComment>
  <x18tc:threadedComment ref="M59" dT="2025-08-19T20:18:04.00" personId="{bf9f0f12-0199-4ece-a40e-ba3625a53442}" id="{17e45937-76d2-4192-84cd-d4d803b8423d}" done="0">
    <x18tc:text xml:space="preserve">19/08/25
CORRENTE CORDA
GOLD
+17,26g*500,00= R$8630,00</x18tc:text>
  </x18tc:threadedComment>
  <x18tc:threadedComment ref="M68" dT="2025-09-20T21:45:53.00" personId="{bf9f0f12-0199-4ece-a40e-ba3625a53442}" id="{9e5d2f75-82e9-4a99-919b-c73f51f45500}" done="0">
    <x18tc:text xml:space="preserve">20/09/25
- 455 * 6,51
GASTOS NA VIAGEM PORTUGAL
-2963,18
GASTOS COM EURO NO BPI
-25434,96</x18tc:text>
  </x18tc:threadedComment>
  <x18tc:threadedComment ref="S83" dT="2025-11-05T19:15:29.00" personId="{bf9f0f12-0199-4ece-a40e-ba3625a53442}" id="{59da0267-c8c5-4cca-ab04-cd683d919202}" done="0">
    <x18tc:text xml:space="preserve">03/11/25
COMPRA LFTS11 BTG NASSER
+50*142,35 
+ 50*142,36 
+ 45*142,36 
+ 50*142,35 
+ 50*142,37 
+ 50*142,36
05/11
COMPRA LFTS11
+50*142,51 
+ 50*142,52 
+ 50*142,52 
+ 50*142,52
06/11
COMPRA LFTS11
+50*142,53 
+ 50*142,53
+ 9*142,53
21/11
compra LFTS11
+50*143,37
+ 50*143,37 
+ 50*143,35</x18tc:text>
  </x18tc:threadedComment>
  <x18tc:threadedComment ref="AH51" dT="2025-07-26T01:48:00.00" personId="{bf9f0f12-0199-4ece-a40e-ba3625a53442}" id="{9408c16e-e8a7-4b76-a8d0-6416c431c9ea}" done="0">
    <x18tc:text xml:space="preserve">25/07/25
COMPRA INTEL 
BTG ALEXA
+220*18,89
+160*18,92
+50*18,93
+220*18,94
+100*18,97</x18tc:text>
  </x18tc:threadedComment>
  <x18tc:threadedComment ref="T84" dT="2025-11-05T19:17:00.00" personId="{bf9f0f12-0199-4ece-a40e-ba3625a53442}" id="{5f95bb6a-f8aa-478d-85ad-7d19de49508e}" done="0">
    <x18tc:text xml:space="preserve">03/11/25
VENDA APPLE BTG NASSER
-50*71,31 
- 50*71,48
- 50*71,53
12/11/25
venda APPLE 
-50*72,15 
- 50*72,08
- 50*72,16
- 50*72,09</x18tc:text>
  </x18tc:threadedComment>
  <x18tc:threadedComment ref="W85" dT="2025-11-19T10:56:18.00" personId="{bf9f0f12-0199-4ece-a40e-ba3625a53442}" id="{a1a01a18-271b-4743-8389-89919087dba5}" done="0">
    <x18tc:text xml:space="preserve">19/11/25
CMIN3
DIVIDENDOS
-429,51
JSC
-412,25</x18tc:text>
  </x18tc:threadedComment>
  <x18tc:threadedComment ref="Y84" dT="2025-11-05T19:18:17.00" personId="{bf9f0f12-0199-4ece-a40e-ba3625a53442}" id="{e9cac3f2-ec6c-4098-b54d-e08ca9a0b8c6}" done="0">
    <x18tc:text xml:space="preserve">03/11/25
VENDA ASML BTG
-20*103,91
- 20*104,08
- 20*103,87 
- 20*104,08</x18tc:text>
  </x18tc:threadedComment>
  <x18tc:threadedComment ref="V11" dT="2026-02-09T18:30:52.00" personId="{bf9f0f12-0199-4ece-a40e-ba3625a53442}" id="{258ff0fd-48d5-4f7b-ba37-8da9dede9a73}" done="0">
    <x18tc:text xml:space="preserve">06/02/26
COMPRAS MELI
+200*84,65
+ 200*85,62</x18tc:text>
  </x18tc:threadedComment>
  <x18tc:threadedComment ref="AB43" dT="2025-06-10T20:47:10.00" personId="{bf9f0f12-0199-4ece-a40e-ba3625a53442}" id="{a782154b-2f25-41e1-9ec2-74b4c8369685}" done="0">
    <x18tc:text xml:space="preserve">09/06
COMPRA TESLA
pala Venda engano operador Clear
=+423*53,30</x18tc:text>
  </x18tc:threadedComment>
  <x18tc:threadedComment ref="F36" dT="2025-05-27T22:09:14.00" personId="{bf9f0f12-0199-4ece-a40e-ba3625a53442}" id="{36b9ddc5-5ef8-4b1d-b260-cf7e378ec163}" done="0">
    <x18tc:text xml:space="preserve">27/05
VENDA LFTS11
-150*133,89
29/05
venda lfts11
-312*134,02</x18tc:text>
  </x18tc:threadedComment>
  <x18tc:threadedComment ref="L3" dT="2026-01-02T17:59:27.00" personId="{bf9f0f12-0199-4ece-a40e-ba3625a53442}" id="{4e5d5937-3f3b-4691-b054-a7270d926ecc}" done="0">
    <x18tc:text xml:space="preserve">02/01
PARA compra PESO ARGENTINO
4000,00
05/01/26
PARA COMPRA EU e DOLAR
+6500
+6500
06/01/26
PRA COMPRA EU e DOLAR
+8000
07/01/26
PRA COMPRA EU e DOLAR
+10000
08/01/26
PRA COMPRA EU e DOLAR
+4500
13/01/26
PRA COMPRA EU e CHF
+17000,00
16/01/26
PRA COMPRA EU 
+10000,00
19/01/26
PRA COMPRA EU 
+5000,00
22/01/26
PRA COMPRA EU E US
+10000,00
23/01
PRA COMPRA US$
+5000
PRA COMPRA EU$
+6000</x18tc:text>
  </x18tc:threadedComment>
  <x18tc:threadedComment ref="W84" dT="2025-11-05T19:19:22.00" personId="{bf9f0f12-0199-4ece-a40e-ba3625a53442}" id="{f042cbe6-95a5-48af-bc93-39a3797ee0b0}" done="0">
    <x18tc:text xml:space="preserve">03/11/25
VENDA CMIN3 BTG
-1500*6,14
12/11/25
VENDA CMIN3 
-500*5,73
- 500*5,74 
- 500*5,75 
- 500*5,86 
- 500*5,88
- 500*5,76
- 500*5,75
- 500*5,87
- 500*5,92
- 500*5,89
- 500*5,86</x18tc:text>
  </x18tc:threadedComment>
  <x18tc:threadedComment ref="AB44" dT="2025-06-10T20:45:39.00" personId="{bf9f0f12-0199-4ece-a40e-ba3625a53442}" id="{9daa57db-cb10-4277-b8dd-efa11a527519}" done="0">
    <x18tc:text xml:space="preserve">09/06
venda TESLA CLEAR
operador clear
-423*53,51
10/06
venda TESLA GAIN
-423*56,39</x18tc:text>
  </x18tc:threadedComment>
  <x18tc:threadedComment ref="AG35" dT="2025-05-27T22:06:38.00" personId="{bf9f0f12-0199-4ece-a40e-ba3625a53442}" id="{83cf0997-28b3-4033-aa9e-e7524991bdf7}" done="0">
    <x18tc:text xml:space="preserve">27/05/2025
COMPRA NVIDEA CLEAR NASSER
PRE DIVULGAÇÃO RESULTADOS E DIVIDENDOS
+300*15,84
+400*15,85
+400*15,86
+300*15,87
+700*15,88
+100*15,89
+200*15,90
+100*15,91
+200*15,92
+100*15,93
+100*15,94
+500*15,95</x18tc:text>
  </x18tc:threadedComment>
  <x18tc:threadedComment ref="N84" dT="2025-11-05T19:23:48.00" personId="{bf9f0f12-0199-4ece-a40e-ba3625a53442}" id="{d5c16358-64c5-4df1-96a9-26a9e0427be0}" done="0">
    <x18tc:text xml:space="preserve">03/11/25
VENDA INTEL BTG
-100*35,03 
- 100*35,10
- 100*35,07
- 100*35,03
- 100*34,99
05/11
VENDA INTEL GAIN
-100*34,12 
- 100*34,12 
- 100*34,12 
- 100*34,15 
- 100*34,12
- 100*34,48
- 100*34,48 
- 100*34,47
- 100*34,47 
- 100*34,47</x18tc:text>
  </x18tc:threadedComment>
  <x18tc:threadedComment ref="AG61" dT="2025-08-20T11:33:35.00" personId="{bf9f0f12-0199-4ece-a40e-ba3625a53442}" id="{8c9e7150-be68-4fa5-8149-261215129751}" done="0">
    <x18tc:text xml:space="preserve">20/08/2025
DIVIDENDOS AAPL34
-21,81</x18tc:text>
  </x18tc:threadedComment>
  <x18tc:threadedComment ref="AD11" dT="2026-02-09T18:36:30.00" personId="{bf9f0f12-0199-4ece-a40e-ba3625a53442}" id="{550eb677-605e-4ee1-b95a-c4c1919019e7}" done="0">
    <x18tc:text xml:space="preserve">06/02
COMPRAS MELI
+50*84,87
+ 50*84,73
+ 50*84,65
+ 50*83,68</x18tc:text>
  </x18tc:threadedComment>
  <x18tc:threadedComment ref="AC4" dT="2026-01-21T23:51:43.00" personId="{bf9f0f12-0199-4ece-a40e-ba3625a53442}" id="{c6acb356-977e-49d7-8d9e-63c7ad2c7b9a}" done="0">
    <x18tc:text xml:space="preserve">21/01/26
venda AMD NASSER
-3*166,18
-17*166,18
-20*166,23
-20*166,29
-20*166,34
-20*166,38
-20*166,39
-20*166,54
23/01/26
VENDA AMD
-25*172,34
- 25*172,14
- 25*172,22
30/01
VENDA AMD
-50*156,92
- 50*157,36</x18tc:text>
  </x18tc:threadedComment>
  <x18tc:threadedComment ref="AG36" dT="2025-05-29T18:54:47.00" personId="{bf9f0f12-0199-4ece-a40e-ba3625a53442}" id="{4db96962-51e6-4a01-b863-75c794de5e6b}" done="0">
    <x18tc:text xml:space="preserve">29/05
venda NVDC34 GAIN
-1000*16,53
-1400*16,52
-1000*16,47</x18tc:text>
  </x18tc:threadedComment>
  <x18tc:threadedComment ref="AG84" dT="2025-11-19T23:34:24.00" personId="{bf9f0f12-0199-4ece-a40e-ba3625a53442}" id="{d2e84391-7705-47c6-96d5-d26cb48dcf4f}" done="0">
    <x18tc:text xml:space="preserve">12/11/25
VENDA APPLE BTG ALEXA
-64*72,12 
- 50*72,13 
- 50*72,03 
- 50*72,18 
- 50*72,16
27/11
VENDA APPLED GAIN
-50*74,28 
- 50*74,28 
- 50*74,27 
- 50*74,25
- 50*74,25
- 50*74,25
- 50*74,25
- 50*74,28 
- 50*74,27
- 50*74,27</x18tc:text>
  </x18tc:threadedComment>
  <x18tc:threadedComment ref="U75" dT="2025-10-31T17:54:03.00" personId="{bf9f0f12-0199-4ece-a40e-ba3625a53442}" id="{9b153682-87e9-4695-a9e6-c82f1c63155e}" done="0">
    <x18tc:text xml:space="preserve">22/10/25
compra TESLA
G
30*73,73 
+ 30*73,72 
+ 30*72,63 
+ 30*73,48 
+ 30*73,28 
+ 30*73,68 
+ 30*73,35 
+ 30*73,88 
+ 30*73,95 
+ 30*73,86
23/10/25
COMPRA TESLA 
G
30*70,76
+ 30*71,16 
+ 30*74,67 
+ 30*71,39 
+ 30*71,40 
+ 30*71,02 
+ 30*71,52</x18tc:text>
  </x18tc:threadedComment>
  <x18tc:threadedComment ref="U84" dT="2025-11-05T19:25:16.00" personId="{bf9f0f12-0199-4ece-a40e-ba3625a53442}" id="{0da73bba-4134-4897-9846-c0700770c94a}" done="0">
    <x18tc:text xml:space="preserve">03/11/25
VENDA TESLA BTG
-100*78,82 
- 100*78,83
- 100*78,86 
- 100*78,33 
- 100*78,61</x18tc:text>
  </x18tc:threadedComment>
  <x18tc:threadedComment ref="AB91" dT="2025-12-08T01:30:18.00" personId="{bf9f0f12-0199-4ece-a40e-ba3625a53442}" id="{e223475b-5445-4866-98e2-34d682f828ff}" done="0">
    <x18tc:text xml:space="preserve">05/12
COMPRA WEGE3
+100*46,53
29/12/25
COMPRA WEGE3
QUEDA AGRRESSIVA
+100*48,65
+ 100*48,61 
+ 100*48,49
+ 100*48,48
+ 100*48,45
+ 100*48,41 
+ 100*48,41
+ 100*48,39 
+ 100*48,37
+ 100*48,31</x18tc:text>
  </x18tc:threadedComment>
  <x18tc:threadedComment ref="Y76" dT="2025-10-02T02:18:03.00" personId="{bf9f0f12-0199-4ece-a40e-ba3625a53442}" id="{23702975-cbd9-4c74-92b1-95231bcc97bf}" done="0">
    <x18tc:text xml:space="preserve">01/10/25
VENDA ASML34 GAIN
-50*97,10
-50*97,08
-1*97,01
-30*96,94
-30*96,85
-100*96,83
-100*95,68
02/10
VENDA ASML34 GAIN
-150*100,50
14/10/25
VENDA ASML
-60*97,44
-60*97,67
-60*97,86
16/10/25
VENDA ASML
-237*103,66
28/10/25
VENDA ASML
G
-30*103,66
- 30*103,58
- 45*102,56
- 10*102,57
- 44*102,53
- 1*102,55
- 50*102,50 
- 30*102,59
- 11*102,55
- 19*102,53</x18tc:text>
  </x18tc:threadedComment>
  <x18tc:threadedComment ref="U83" dT="2025-11-19T23:37:18.00" personId="{bf9f0f12-0199-4ece-a40e-ba3625a53442}" id="{456c4fef-a11f-451d-b026-24f9fcbdaf95}" done="0">
    <x18tc:text xml:space="preserve">13/11/25
COMPRA TESLA BTG NASSER
+10*65,89
+ 10*65,81
+ 10*65,84
+ 10*65,83
+ 10*65,82
+ 10*65,86
+ 10*65,88
+ 10*65,82
+ 10*65,85
+ 10*65,92 
+ 10*66,45
+ 10*65,91
+ 10*65,79
+ 10*65,78
+ 10*65,78
+ 10*65,81
+ 10*65,83 
+ 10*65,80 
+ 10*65,82
+ 10*65,80 
+ 10*65,82 
+ 10*65,80
+ 10*65,80
+ 10*66,64
+ 10*65,77
+ 10*65,94</x18tc:text>
  </x18tc:threadedComment>
  <x18tc:threadedComment ref="AG59" dT="2025-08-08T22:49:33.00" personId="{bf9f0f12-0199-4ece-a40e-ba3625a53442}" id="{c3dbde1e-e61a-4b8a-a759-b85508c33bfa}" done="0">
    <x18tc:text xml:space="preserve">08/08/25
COMPRA APPLE
+50*59,57</x18tc:text>
  </x18tc:threadedComment>
  <x18tc:threadedComment ref="AC83" dT="2025-11-27T01:11:27.00" personId="{bf9f0f12-0199-4ece-a40e-ba3625a53442}" id="{4d7af752-1c8d-4d23-8f7d-93f7821c8f0a}" done="0">
    <x18tc:text xml:space="preserve">25/11/2025
COMPRA AMD A1MD34
BTG NASSER
+10*136,00
+ 10*136,00
+ 10*136,00
+ 10*134,05 
+ 10*132,71 
+ 10*135,01 
+ 10*133,01 
+ 10*134,53
+ 10*135,45
+ 10*136,00 
+ 10*136,00 
+ 10*136,00
+ 10*136,00
+ 10*136,00 
+ 10*136,00
+ 10*136,00
+ 10*133,92 
+ 10*133,75
+ 10*136,00
+ 10*135,85
+ 10*133,91 
+ 10*132,51 
+ 10*134,39
+ 10*134,61 
+ 10*134,76
+ 10*134,81
+ 10*135,18 
+ 10*134,67
+ 10*134,86
+ 10*134,83
+ 10*134,69
+ 10*134,49
+ 10*134,41 
+ 10*134,34
+ 10*134,73
+ 10*135,11
+ 10*135,26
+ 10*135,53 
+ 10*135,11 
+ 10*135,84
+ 10*136,00 
+ 10*136,19
+ 10*135,85
+ 10*136,29
+ 10*135,74
+ 10*135,61 
+ 10*136,01
+ 10*135,43
+ 10*135,89
+ 10*134,91 
+ 10*133,51 
+ 10*133,16
+ 10*134,17
+ 10*132,60
+ 10*132,85
+ 10*131,94
+ 8*134,28
+ 2*131,30 
+ 10*131,51
+ 10*132,77
+ 10*132,17
+ 10*131,82
+ 10*131,41
26/11
+20*142,21
+20*142
+10*142,26
+10*142,22
+20*142,10</x18tc:text>
  </x18tc:threadedComment>
  <x18tc:threadedComment ref="AB67" dT="2025-09-26T20:22:13.00" personId="{bf9f0f12-0199-4ece-a40e-ba3625a53442}" id="{ba4db7e8-4034-4264-aad2-571a312f33ca}" done="0">
    <x18tc:text xml:space="preserve">26/09/25
COMPRA WEGE3
+500*36,32
+100*36,29
+100*36,30</x18tc:text>
  </x18tc:threadedComment>
  <x18tc:threadedComment ref="AE84" dT="2025-11-20T00:10:56.00" personId="{bf9f0f12-0199-4ece-a40e-ba3625a53442}" id="{740b8516-1c88-4f91-846c-a2e628031202}" done="0">
    <x18tc:text xml:space="preserve">19/11/25
VENDA SIGMA BTG ALEXA
-1000*18,43
-1000*18,53
-410*18,25
21/11
-310*16,20
- 1000*16,24 
- 1000*16,54
- 180*16,14
- 820*16,12
- 190*16,62
- 100*16,66
- 100*16,64
- 100*16,62
- 100*16,60
- 100*16,71</x18tc:text>
  </x18tc:threadedComment>
  <x18tc:threadedComment ref="Z84" dT="2025-12-01T11:10:52.00" personId="{bf9f0f12-0199-4ece-a40e-ba3625a53442}" id="{345511de-c589-48cc-b11b-215460030eec}" done="0">
    <x18tc:text xml:space="preserve">28/11/25
VENDA VALE3 GAIN
-900*67,70</x18tc:text>
  </x18tc:threadedComment>
  <x18tc:threadedComment ref="AA91" dT="2025-12-12T10:18:05.00" personId="{bf9f0f12-0199-4ece-a40e-ba3625a53442}" id="{1d181bb9-784a-4fb3-a76b-afb6d3962a4d}" done="0">
    <x18tc:text xml:space="preserve">11/12/25
COMPRA HAPV3 
ALEXA BTG
+900*14,08
12/12/25
COMPRA HAPVIDA
+100*14,91
+ 100*14,78
+ 100*14,73
+ 100*14,70 
+ 100*14,64 
+ 100*14,53
+ 100*14,37
+ 100*14,20
16/12/25
COMPRA HAPVIDA
+200*14,74
+100*14,97
+100*14,99
+100*14,98
+100*14,73
23/12
COMPRA HAPVIDA
+300*13,95
26/12
COMPRA HAPVIDA
+100*14,35
30/12
+100*14,91
+ 100*14,90
+ 100*14,90
+ 100*14,83
+ 200*14,76
+ 100*14,56</x18tc:text>
  </x18tc:threadedComment>
  <x18tc:threadedComment ref="AB93" dT="2025-12-10T03:04:46.00" personId="{bf9f0f12-0199-4ece-a40e-ba3625a53442}" id="{360b86f5-769b-40d0-b4bb-0d70c56c959c}" done="0">
    <x18tc:text xml:space="preserve">11/12/25
WEGE3
JUROS S/ CAPITAL
159,29
12/12/25
WEGE3
JUROS S/ CAPITAL
-293,26
DIVIDENDOS
-1059,27</x18tc:text>
  </x18tc:threadedComment>
  <x18tc:threadedComment ref="R93" dT="2025-12-02T12:34:43.00" personId="{bf9f0f12-0199-4ece-a40e-ba3625a53442}" id="{e5278ec3-4d72-45c4-b673-13f93b0ca7b5}" done="0">
    <x18tc:text xml:space="preserve">02/812/25
dividendos AURA33
-1915,52</x18tc:text>
  </x18tc:threadedComment>
  <x18tc:threadedComment ref="AH59" dT="2025-08-08T22:48:27.00" personId="{bf9f0f12-0199-4ece-a40e-ba3625a53442}" id="{38ff0455-043a-44ed-ba8d-e419ea7b1bca}" done="0">
    <x18tc:text xml:space="preserve">08/08/25
COMPRA INTEL
+100*17,81
+100*17,82
+100*17,85
+300*17,86</x18tc:text>
  </x18tc:threadedComment>
  <x18tc:threadedComment ref="N11" dT="2026-02-20T00:35:49.00" personId="{bf9f0f12-0199-4ece-a40e-ba3625a53442}" id="{5dfbb694-65c5-4ff5-a68e-a6c0e4e5056d}" done="0">
    <x18tc:text xml:space="preserve">19/02/26
COMPRA INTEL
50*39,12 
+ 50*39,06
+ 50*39,00 
+ 50*38,93
+ 50*38,89
+ 50*38,85 
+ 50*38,81
+ 50*38,81
+ 50*38,81
+ 50*38,68 
+ 4*38,62
+ 46*38,62
+ 50*38,61
+ 1*38,60 
+ 49*38,60
+ 50*38,55 
+ 50*38,54</x18tc:text>
  </x18tc:threadedComment>
  <x18tc:threadedComment ref="AC91" dT="2025-12-12T10:08:50.00" personId="{bf9f0f12-0199-4ece-a40e-ba3625a53442}" id="{227ba348-ca8e-40e0-be9b-2cdf06f2c979}" done="0">
    <x18tc:text xml:space="preserve">11/12/25
COMPRA A1MD345
+110*147,45
30/12/25
+40*149,12
+ 40*148,96
+ 40*148,81
+ 40*148,09
+ 40*147,61</x18tc:text>
  </x18tc:threadedComment>
  <x18tc:threadedComment ref="T61" dT="2025-08-20T11:25:48.00" personId="{bf9f0f12-0199-4ece-a40e-ba3625a53442}" id="{a449eff6-33df-44bd-ae4f-dbff491baed9}" done="0">
    <x18tc:text xml:space="preserve">20/08/25
dividendos AAPL34
-47,41</x18tc:text>
  </x18tc:threadedComment>
  <x18tc:threadedComment ref="AF3" dT="2026-01-21T17:29:32.00" personId="{bf9f0f12-0199-4ece-a40e-ba3625a53442}" id="{6829f994-abf4-463c-ba17-4ad1afd90b10}" done="0">
    <x18tc:text xml:space="preserve">20/01/26
COMPRA TESLA
+20*71,39
+ 20*71,09 
+ 20*71,18 
+ 20*71,02
+ 20*70,91
+ 20*71,14
+ 10*71,23
+ 10*71,30
+ 10*71,05
+ 80*70,73</x18tc:text>
  </x18tc:threadedComment>
  <x18tc:threadedComment ref="F91" dT="2025-12-05T12:10:37.00" personId="{bf9f0f12-0199-4ece-a40e-ba3625a53442}" id="{d46430e2-37e7-45e2-b5a6-84be651ab606}" done="0">
    <x18tc:text xml:space="preserve">04/12
COMPRA LFTS11
+50*143,94</x18tc:text>
  </x18tc:threadedComment>
  <x18tc:threadedComment ref="U76" dT="2025-10-02T02:20:04.00" personId="{bf9f0f12-0199-4ece-a40e-ba3625a53442}" id="{ea498a3d-031e-48e4-8719-b1c198205d9a}" done="0">
    <x18tc:text xml:space="preserve">01/10/26
VENDA TESLA GAIN
-300*76,42
14/10/25
VENDA TESLA
-100*72,92
-150*73,10
-100*73,49</x18tc:text>
  </x18tc:threadedComment>
  <x18tc:threadedComment ref="Y60" dT="2025-08-14T20:40:28.00" personId="{bf9f0f12-0199-4ece-a40e-ba3625a53442}" id="{18e90491-0199-4c0d-bf67-85e7045b35a3}" done="0">
    <x18tc:text xml:space="preserve">14/08/25
venda ASML
-93*74,60
19/08
VENDA ASML 
GAIN
-200*74,60</x18tc:text>
  </x18tc:threadedComment>
  <x18tc:threadedComment ref="D67" dT="2024-09-27T18:57:58.00" personId="{bf9f0f12-0199-4ece-a40e-ba3625a53442}" id="{d3074ef7-04dc-4c41-b00a-e8174b751112}" done="0">
    <x18tc:text xml:space="preserve">27/09
COMPRA TD
SELIC 2029 (0,65*R$15309,65)
+9951,27
SELIC 2027 (0,46*R$15381,38)
+7075,43</x18tc:text>
  </x18tc:threadedComment>
  <x18tc:threadedComment ref="L67" dT="2025-09-19T20:55:50.00" personId="{bf9f0f12-0199-4ece-a40e-ba3625a53442}" id="{fb3c3df3-3c34-4a40-a660-dc9ff757a564}" done="0">
    <x18tc:text xml:space="preserve">19/09/25
compra MOEDAS WISE
+R$12000,00
23/09
compra MOEDAS WISE
+R$10000,00
+R$10000,00
26/09/25
compra MOEDAS
EU JPY
R$10000,00</x18tc:text>
  </x18tc:threadedComment>
  <x18tc:threadedComment ref="L68" dT="2025-09-20T20:18:49.00" personId="{bf9f0f12-0199-4ece-a40e-ba3625a53442}" id="{320f1d15-6449-4b06-8182-88c93849f7e2}" done="0">
    <x18tc:text xml:space="preserve">20/09/25
viAGem PORTUGAL
DESPESAS EM WISE
-19839,00
26/09/25
TRANSFERENCIA PARA BPI
PGTO IRN SOFIA PORTUGAL
-3095,70</x18tc:text>
  </x18tc:threadedComment>
  <x18tc:threadedComment ref="M94" dT="2025-12-13T01:21:58.00" personId="{bf9f0f12-0199-4ece-a40e-ba3625a53442}" id="{7be3c704-42e0-4f05-b0aa-075d92403654}" done="0">
    <x18tc:text xml:space="preserve">ATUALIZAÇÃO
12/2025
12/12/2025
grama OURO = R$650,00
EU$1,00 = R$ 6,62
US$1,00 = R$ 5,64
=====
(GOLD+CASH)
HOME + BANKs
&gt;pulseira MACIÇA OURO+ Dadinho
(32,96g+1,33g =34,29g)=
34,29g * R$650,00 a grama =
R$22288,50
COMPRA GOLD
&gt;PULSEIRA EGÍPCIA
(51,18g) *650 =
R$33267,00
&gt;CHAVEIRO VARGAS
(10,93g) * 650 =
R$7104,50
&gt;CORRENTE CORDA
GOLD
+17,26g*650,00= R$11219,00
=&gt;&gt;TOTAL GOLD
R$22288,50+R$33267,00+7104,50+R$11219,00 = 
=&gt;&gt;R$73879,00
=============
CASH HOME
&gt;US$1672 = R$9437,48+
&gt;EU$2000,00 =R$13251,14 +
&gt;EU$2615,00=R$17325,85
BPI BANK
TOTAL BPI 
EU$20971
+EU$2150,00
+EU$2070,00
= EU$25191,00* 6,66
R$171060,19
=&gt;TOTAL CASH
9262,88+13020,00+17023,65
+R$171060,19=
TT =&gt;R$ 210366,72
==========
&gt;&gt; TOTAL GERAL
(GOLD+CASH)
HOME+BANKs
R$73879,00+210366,72=
==&gt;&gt; R$ 284245,72
Mostrar menos</x18tc:text>
  </x18tc:threadedComment>
  <x18tc:threadedComment ref="H52" dT="2025-07-09T13:44:48.00" personId="{bf9f0f12-0199-4ece-a40e-ba3625a53442}" id="{624f367f-30c6-4218-bc4c-9d85c26846d9}" done="0">
    <x18tc:text xml:space="preserve">08/07/25
VENDA CDB BTG
-157605,51
IR RESGATE
+2636,94</x18tc:text>
  </x18tc:threadedComment>
  <x18tc:threadedComment ref="S52" dT="2025-07-09T13:46:03.00" personId="{bf9f0f12-0199-4ece-a40e-ba3625a53442}" id="{8d144790-25e1-48b3-99ce-4a8cfa8b1f03}" done="0">
    <x18tc:text xml:space="preserve">08/07/25
VENDA CDB BTG
-64655,11
IR RESGATE
+905,11</x18tc:text>
  </x18tc:threadedComment>
  <x18tc:threadedComment ref="X84" dT="2025-12-13T00:24:18.00" personId="{bf9f0f12-0199-4ece-a40e-ba3625a53442}" id="{60ed7bc6-393f-414b-b8e8-784aa1b36079}" done="0">
    <x18tc:text xml:space="preserve">11/2025
VENDA ASML
-290*97,71</x18tc:text>
  </x18tc:threadedComment>
  <x18tc:threadedComment ref="AE67" dT="2025-09-21T04:02:35.00" personId="{bf9f0f12-0199-4ece-a40e-ba3625a53442}" id="{e446afd9-4ee3-4b3e-b83f-90b0ab2f2b1c}" done="0">
    <x18tc:text xml:space="preserve">05/09/25
COMPRA SIGMA 
S2GM34
+200*11,65
+100+11,63
+100*11,61
+100*11,60
+100*11,59
+100*11,58
+100*11,56
+100*11,54
+100*11,52
+100*11,50
+100*11,49
+200*11,46+
100*11,39
+10*11,24
10/09
+200*10,03
+100*10,01
+100*10
+100*9,91
11/09
+200*9,87
+100*9,86
+100*9,85
+100*9,84
+600*9,81
+100*-9,76
+200*9,72
+200*9,71</x18tc:text>
  </x18tc:threadedComment>
  <x18tc:threadedComment ref="X91" dT="2025-12-13T00:27:05.00" personId="{bf9f0f12-0199-4ece-a40e-ba3625a53442}" id="{7f7c9432-3a98-43f4-b5fa-b246270a3309}" done="0">
    <x18tc:text xml:space="preserve">12/12/2025
+10*143,94
+ 10*143,84
+ 10*143,74
+ 10*143,64
+ 10*143,63
+ 10*143,54
+ 10*143,53
+ 10*143,51
+ 10*143,43
+ 10*143,43
+ 10*143,41
+ 10*143,33
+ 10*143,27
+ 10*143,13
+ 10*143,09
+ 10*142,94
+ 10*142,74
+ 10*142,54
+ 10*142,39
+ 10*142,24
+ 10*142,14
+ 4*142,04 
+ 6*142,04
+ 10*141,84
+ 10*141,74 
+ 10*141,69
+ 10*141,64
+ 10*141,59
15/12/25
COMPRA AMD ALEXA
+10*141,54
+10*141,44
+10*141,34
+10*141,26
+10*141,16
+10*141,06
+10*140,96
+10*140,86
+10*140,76
+10*140,70
+10*140,69
+10*140,68
+10*140,67
+10*140,66</x18tc:text>
  </x18tc:threadedComment>
  <x18tc:threadedComment ref="AG67" dT="2025-09-21T02:41:50.00" personId="{bf9f0f12-0199-4ece-a40e-ba3625a53442}" id="{57fe23c8-739c-4f56-923c-2cb294eee4f0}" done="0">
    <x18tc:text xml:space="preserve">05/09/25
compra AAPL34
+50*64,68
+50*64,56
+50*64,53
+50*64,49
+50*64,46
+50*64,41
+4*64,33</x18tc:text>
  </x18tc:threadedComment>
  <x18tc:threadedComment ref="L59" dT="2025-08-07T20:30:05.00" personId="{bf9f0f12-0199-4ece-a40e-ba3625a53442}" id="{3047a596-a58c-4a32-8f14-82f2eb631115}" done="0">
    <x18tc:text xml:space="preserve">07/08/25
compra MOEDAS WISE
R$12000,00</x18tc:text>
  </x18tc:threadedComment>
  <x18tc:threadedComment ref="N51" dT="2025-07-26T01:34:05.00" personId="{bf9f0f12-0199-4ece-a40e-ba3625a53442}" id="{12f9f42c-e427-4c7e-9f95-380aadb508b9}" done="0">
    <x18tc:text xml:space="preserve">25/07/25
COMPRA INTEL 
+100*18,94
+150*19,01
+100*19,06
+100*19,12
+200*19,19
+100*19,23
+300*19,24
+100*19,27
29/07
+100*18,88
31/07
+100*18,51</x18tc:text>
  </x18tc:threadedComment>
  <x18tc:threadedComment ref="Z92" dT="2025-12-03T20:14:03.00" personId="{bf9f0f12-0199-4ece-a40e-ba3625a53442}" id="{0c9547de-9fac-4500-8a56-9152be01b07d}" done="0">
    <x18tc:text xml:space="preserve">03/12/25
VENDA VALE3 GAIN
-500*68,93
04/12
VENDA VALE3 GAIN
-500*71,41
17/12
VENDA VALE DIVIDENDOS
-100*70,56
-300*70,55
-200*70,54
18/12
venda vale dividendos
-500*70,35
19/12
venda VALE GAIN
-500*70,85
22/12
venda vale3 GAIN
-700*73,31
26/12
VENDA VALE3 GAIN
-100*73,06
-100*73,09
-100*73,10
-100*73,12
-100*73,19</x18tc:text>
  </x18tc:threadedComment>
  <x18tc:threadedComment ref="L60" dT="2025-08-20T23:40:09.00" personId="{bf9f0f12-0199-4ece-a40e-ba3625a53442}" id="{338b8081-3a51-4c4b-b091-775e1c974205}" done="0">
    <x18tc:text xml:space="preserve">20/08/2025
PGTO SOFIA NIVER
US$400,00
=
R$2170,19</x18tc:text>
  </x18tc:threadedComment>
  <x18tc:threadedComment ref="M14" dT="2026-02-09T22:31:29.00" personId="{bf9f0f12-0199-4ece-a40e-ba3625a53442}" id="{1420935d-7fac-473c-bb14-fcd0c475a05b}" done="0">
    <x18tc:text xml:space="preserve">ATUALIZAÇÃO
02/2026
09/02/2026
grama OURO = R$744,00
EU$1,00 = R$ 6,44
US$1,00 = R$ 5,40
=====
(GOLD+CASH)
HOME + BANKs
&gt;pulseira MACIÇA OURO+ Dadinho
(32,96g+1,33g =34,29g)=
34,29g * R$744,00 a grama =
R$25511,76
&gt;PULSEIRA EGÍPCIA
(51,18g) *744 =
R$38077,92
&gt;CHAVEIRO VARGAS
(10,93g) * 744 =
R$8131,92
&gt;CORRENTE CORDA
GOLD
+17,26g*744,00= 
R$12841,44
=&gt;&gt;TOTAL GOLD
R$25511,76+R$38077,92+8131,92+R$12841,44 =
Total OURO=&gt;&gt;R$84.563,04
=============
CASH HOME
&gt;US$2274 x R$5,40= 
R$12279,60
&gt;EU$4115,00 x R$6,44=
R$26500,60
TOTAL CASA=&gt;&gt;R$38.780,20
++++++++++
BPI BANK
TOTAL BPI
EU$37065,00
= EU$37065,00 X 6,44
R$238698,60
TOTAL BPI=&gt;&gt;R$238.698,60
=============
TOTAL CASH
R$38.780,20+R$238.698,60=
=R$277.478,80
TOTAL DE MOEDAS=&gt;&gt;
R$277.478,80
==========
TOTAL GERAL
(GOLD + MOEDAS)
HOME + BANKs
R$R$84.563,04+R$277.478,80=
==&gt;&gt; R$ 362.041,84</x18tc:text>
  </x18tc:threadedComment>
  <x18tc:threadedComment ref="U3" dT="2026-01-09T22:36:17.00" personId="{bf9f0f12-0199-4ece-a40e-ba3625a53442}" id="{88a62b7d-c26d-4c8c-8c17-c318a26911f1}" done="0">
    <x18tc:text xml:space="preserve">06/01/26
COMPRAS TESLA
+300*73,01
+ 300*72,21
+ 200*72,01
08/01/26
COMPRAS TESLA
+300*71,76
20/01/*26
COMPRA TESLA
+763*71
+99*71,11
+ 100*70,74
+ 100*71,02
+ 99*70,16
+ 99*70,36
+ 30*71,09
+ 36*71,21
+ 30*70,91
+ 10*71,29
+ 10*71,23
+ 100*70,16
+ 50*70,53</x18tc:text>
  </x18tc:threadedComment>
  <x18tc:threadedComment ref="R83" dT="2025-11-05T19:26:42.00" personId="{bf9f0f12-0199-4ece-a40e-ba3625a53442}" id="{dc283e7c-064b-4b91-9ac6-ac51340ab5bc}" done="0">
    <x18tc:text xml:space="preserve">04/11/25
COMPRA AURA33 BTG NASSER
+50*57,41 
+ 50*57,11 
+ 50*58,90 
+ 50*58,93
05/11
COMPRA AURA33
+50*58,21
+ 50*58,58 
+ 50*58,77
+ 50*58,84 
+ 50*58,71</x18tc:text>
  </x18tc:threadedComment>
  <x18tc:threadedComment ref="F4" dT="2026-01-09T22:31:22.00" personId="{bf9f0f12-0199-4ece-a40e-ba3625a53442}" id="{3a141c57-9ffa-4bc5-be8d-2e69e47113b7}" done="0">
    <x18tc:text xml:space="preserve">06/01/26
VENDA LFTS11
-100*145,75
- 100*145,75
- 100*145,75
- 100*145,74
- 100*145,75</x18tc:text>
  </x18tc:threadedComment>
  <x18tc:threadedComment ref="S84" dT="2025-11-19T23:44:26.00" personId="{bf9f0f12-0199-4ece-a40e-ba3625a53442}" id="{c569d863-0198-403e-b959-fa4c2ee6b363}" done="0">
    <x18tc:text xml:space="preserve">17/11/25
VENDA LFTS11 BTG NASSER
- 70*143,15
- 70*143,15
- 70*143,15 
- 70*143,15
- 70*143,15</x18tc:text>
  </x18tc:threadedComment>
  <x18tc:threadedComment ref="N3" dT="2026-02-20T00:33:23.00" personId="{bf9f0f12-0199-4ece-a40e-ba3625a53442}" id="{8195eb40-b9b5-4942-ab9a-fb3eda3dfc91}" done="1">
    <x18tc:text xml:space="preserve">19/02/26
COMPRA INTEL 
+750*38,80</x18tc:text>
  </x18tc:threadedComment>
  <x18tc:threadedComment ref="U11" dT="2026-02-20T00:30:26.00" personId="{bf9f0f12-0199-4ece-a40e-ba3625a53442}" id="{74706f7b-68de-4b88-b743-1ab2196c3c1f}" done="0">
    <x18tc:text xml:space="preserve">19/02
COMPRA TESLA
+50*66,90
+50*66,88</x18tc:text>
  </x18tc:threadedComment>
  <x18tc:threadedComment ref="F35" dT="2025-05-02T22:03:48.00" personId="{bf9f0f12-0199-4ece-a40e-ba3625a53442}" id="{e6f8a079-c693-47f1-b081-d6c855b2e702}" done="0">
    <x18tc:text xml:space="preserve">02/05
COMPRA LFTS11
+7*132,66
+30*132,67
+40*132,63
23/05
COMPRA LFTS11
+175*133,65
+70*133,67
+70*133,68
+35*133,69
+35*133,70</x18tc:text>
  </x18tc:threadedComment>
  <x18tc:threadedComment ref="AA59" dT="2025-08-20T20:37:49.00" personId="{bf9f0f12-0199-4ece-a40e-ba3625a53442}" id="{070f63e4-0bf5-4668-bca1-5374cb26125a}" done="0">
    <x18tc:text xml:space="preserve">20/08/2025
COMPRA S2GM34
SIGMA LITHIUM
+400*11,01
+200*11,02
+200*11,03
+1000*11,07</x18tc:text>
  </x18tc:threadedComment>
  <x18tc:threadedComment ref="L43" dT="2025-06-13T13:31:29.00" personId="{bf9f0f12-0199-4ece-a40e-ba3625a53442}" id="{48951b7e-527a-4bb9-99d1-478452690aa8}" done="0">
    <x18tc:text xml:space="preserve">13/06
compra DOLAR
+2500</x18tc:text>
  </x18tc:threadedComment>
  <x18tc:threadedComment ref="AA84" dT="2025-11-19T23:42:48.00" personId="{bf9f0f12-0199-4ece-a40e-ba3625a53442}" id="{c8dde88a-3a3d-4bee-bdcf-8f5f463ca3a2}" done="0">
    <x18tc:text xml:space="preserve">17/11/25
VENDA SIGMA BTG NASSER
GAIN
-5000*15,35
19/11
VENDA SIGMA BTG NASSER
- 670*18,48
- 330*18,50
-1000*18,10
-1000*16,26
-2000*16,23
21/11
-1000*16,34
- 1000*16,12</x18tc:text>
  </x18tc:threadedComment>
  <x18tc:threadedComment ref="Z60" dT="2025-08-20T20:33:42.00" personId="{bf9f0f12-0199-4ece-a40e-ba3625a53442}" id="{09faec96-0032-4131-a3b3-fcee35fe261d}" done="0">
    <x18tc:text xml:space="preserve">20/08/25
venda vale3
PGTO WEGE3
-100*53,03
-100*53,05
22/08/25
VENDA VALE3 
PGTO SIGMA
-200*54,80
-200*54,50</x18tc:text>
  </x18tc:threadedComment>
  <x18tc:threadedComment ref="AD83" dT="2025-11-24T20:44:58.00" personId="{bf9f0f12-0199-4ece-a40e-ba3625a53442}" id="{6f0f8760-c88d-476d-b712-dde429c97230}" done="0">
    <x18tc:text xml:space="preserve">21/11/2025
COMPRAS MELI34
ALEXA BTG
+50*87,20
+ 50*86,77 
+ 50*86,73
+ 50*87,13
+ 50*87,01
+ 50*86,45
+ 50*86,25
+ 50*86,35 
+ 50*86,15</x18tc:text>
  </x18tc:threadedComment>
  <x18tc:threadedComment ref="F51" dT="2025-07-22T16:51:09.00" personId="{bf9f0f12-0199-4ece-a40e-ba3625a53442}" id="{fd214b14-3316-4c4d-b6dd-5e882e5e13a1}" done="0">
    <x18tc:text xml:space="preserve">22/07/25
COMPRA LFTS11
BTG ALEXA
+300*136,75
+300*136,74
+100*136,73
+200*136,72</x18tc:text>
  </x18tc:threadedComment>
  <x18tc:threadedComment ref="L92" dT="2025-12-01T19:31:37.00" personId="{bf9f0f12-0199-4ece-a40e-ba3625a53442}" id="{a9b6a283-6477-4102-86ad-d16d79e65997}" done="0">
    <x18tc:text xml:space="preserve">01/12/25
TRASNSFERENCIA DE EURO 
WISE PARA BPI
EU$3800,00 = R$23393,68
02/12/25
TRASNSFERENCIA DE EURO 
WISE PARA BPI
EU$2000,00 = R$12308,53
06/12/25
TRASNSFERENCIA DE EURO
WISE PARA BPI
EU$3000,00 = R$18823,14
10/12/2025
TRASNSFERENCIA DE EURO
WISE PARA BPI
EU$3000,00 = R$18962,43
11/12/25
PGTO VIAGEM EGITO 25%
-5,3*(+773+973+973) =
R$14410
22/12/25
PGTO VIAGEM EGITO 
EGYPTAIR
-2195*5,41
R$11874,
24/12/25
TRASNSFERENCIA DE EURO 
WISE PARA BPI
EU$2150,00 = R$13833,97
26/12/25
TRASNSFERENCIA DE EURO
WISE PARA BPI
EU$2070,00 = R$13366,37</x18tc:text>
  </x18tc:threadedComment>
  <x18tc:threadedComment ref="V75" dT="2025-10-03T22:03:31.00" personId="{bf9f0f12-0199-4ece-a40e-ba3625a53442}" id="{e9f21b24-fb77-4113-bdc4-fb7bc1f9dd33}" done="0">
    <x18tc:text xml:space="preserve">03/10/2025
COMPRA MERCADO LIBRE
MELI34
+50*96,67
+50*96,81
+100*96,91
+50*97,01
+100*97,02
+100*97,05
+50*97,08
+50*97,46
06/10/25
COMPRA MELI34
+50*95,03
+50*95,57
08/10
+50*96,74
15/10/25
COMPRA MELI34
+50*94,11
+50*94,31
+50*94,71
+50*95,02
+50*95,10
+50*95,31
+50*95,41
16/10/25
COMPRA MELI34
+50*93,47
+50*93,11</x18tc:text>
  </x18tc:threadedComment>
  <x18tc:threadedComment ref="L4" dT="2026-01-02T18:01:50.00" personId="{bf9f0f12-0199-4ece-a40e-ba3625a53442}" id="{add09592-855a-46fd-8df9-3ba3f9ac138f}" done="0">
    <x18tc:text xml:space="preserve">02/01/26
COMPRA INGRESSO
PARQUE CATARATAS
E
MACUCO SAFARI
810.000,00 PESOS = 
R$3158,00
07/01/26
PRA TRANSFERERNCIA DE EURO
BPI
EU$3774,00 = R$24568
13/01/26
PRA TRANSFERERNCIA DE EURO
BPI
EU$2400,00 = R$15566,
19/01/26
PRA TRANSFERERNCIA DE EURO
BPI
EU$2300,00 = R$14970</x18tc:text>
  </x18tc:threadedComment>
  <x18tc:threadedComment ref="F83" dT="2025-11-07T17:34:35.00" personId="{bf9f0f12-0199-4ece-a40e-ba3625a53442}" id="{bf5b22cd-749f-43dc-99a0-71787a28c60d}" done="0">
    <x18tc:text xml:space="preserve">05/11/25
COMPRA LFTS11 
ALEXA BTG
+40*142,52 
+ 40*142,52 
+ 40*142,52
06/11
COMPRA LFTS11
+50*142,60 
+ 50*142,61
21/11
+80*143,37 
+ 50*143,35</x18tc:text>
  </x18tc:threadedComment>
  <x18tc:threadedComment ref="AH84" dT="2025-11-07T17:35:54.00" personId="{bf9f0f12-0199-4ece-a40e-ba3625a53442}" id="{a7c81093-efdc-4dde-8776-2271b239021e}" done="0">
    <x18tc:text xml:space="preserve">05/11/2025
VENDA GAIN INTEL 
ALEXA BTG
-400*34,41 
- 400*34,41 
- 400*34,41 
- 400*34,42 
- 400*34,39
13/11
VENDA INTEL BTG ALEXA
-100*31,98
18/11/25
VENDA
-455*30,72</x18tc:text>
  </x18tc:threadedComment>
  <x18tc:threadedComment ref="U60" dT="2025-08-19T14:03:20.00" personId="{bf9f0f12-0199-4ece-a40e-ba3625a53442}" id="{3cac78ee-331a-4e46-b769-8e21336ec02e}" done="0">
    <x18tc:text xml:space="preserve">19/08
venda tsla34
gain
-200*57,46
-100*57,49
-100*57,47
22/08/25
VENDA TSLA34
-75*57,19
-75*56,94
-100*57,26</x18tc:text>
  </x18tc:threadedComment>
  <x18tc:threadedComment ref="M91" dT="2025-12-01T19:30:14.00" personId="{bf9f0f12-0199-4ece-a40e-ba3625a53442}" id="{0435265b-0796-41aa-b8dc-8a2d168dde2e}" done="0">
    <x18tc:text xml:space="preserve">01/12/25
COMPRA DE EURO
ENVIO PARA BPI BANCO
EU$1= R$6,156
EU$3800,00 = R$23393,68
02/12/25
COMPRA DE EURO
ENVIO PARA BPI BANCO
EU$1= R$6,219
EU$2000,00 = R$12308,53
06/12/25
TRASNSFERENCIA DE EURO
WISE PARA BPI
EU$3000,00 = R$18823,14
10/12/2025
TRASNSFERENCIA DE EURO
WISE PARA BPI
EU$3000,00 = R$18962,43
24/12/25
TRASNSFERENCIA DE EURO
WISE PARA BPI
EU$2150,00 = R$13833,97
26/12/25
TRASNSFERENCIA DE EURO
WISE PARA BPI
EU$2070,00 = R$13366,37</x18tc:text>
  </x18tc:threadedComment>
  <x18tc:threadedComment ref="N60" dT="2025-08-15T19:44:26.00" personId="{bf9f0f12-0199-4ece-a40e-ba3625a53442}" id="{ef1df43c-9a2a-4e24-9781-45b3123cf982}" done="0">
    <x18tc:text xml:space="preserve">15/08/25
VENDA INTEL 
USA VAI COMPRAR FATIA
-1000*22,81
-1000*22,79
-500*22,67
-500*22,68
19/08/25
VENDA INTEL 
GAIN
-200*23,89
-200*23,71
-200*23,67
-200*23,61
-200*23,57</x18tc:text>
  </x18tc:threadedComment>
  <x18tc:threadedComment ref="F3" dT="2026-01-02T13:59:21.00" personId="{bf9f0f12-0199-4ece-a40e-ba3625a53442}" id="{890f5b20-f786-4661-8894-c32030d9657e}" done="0">
    <x18tc:text xml:space="preserve">02/01/2026
compra LFTS11
+50*145,35
+37*145,27
05/01
compra lfts11
+13*145,60</x18tc:text>
  </x18tc:threadedComment>
  <x18tc:threadedComment ref="U92" dT="2025-12-17T15:21:27.00" personId="{bf9f0f12-0199-4ece-a40e-ba3625a53442}" id="{fae5718f-c345-4609-ba07-c31921c7e7fb}" done="0">
    <x18tc:text xml:space="preserve">16/12/25
VENDA TESLA GAIN
-500*83,46</x18tc:text>
  </x18tc:threadedComment>
  <x18tc:threadedComment ref="AE83" dT="2025-11-07T17:43:50.00" personId="{bf9f0f12-0199-4ece-a40e-ba3625a53442}" id="{2f4e5771-2604-4d76-94a6-5a39de4f3ca1}" done="0">
    <x18tc:text xml:space="preserve">06/11
COMPRAS SIGMA
+200*9,01 
+ 200*9,05 
+ 200*9,01 
+ 200*9,01 
+ 200*8,98 
+ 200*8,99 
+ 200*8,99 
+ 200*8,98 
+ 200*8,98 
+ 200*8,99 
+ 200*9,01 
+ 200*8,99 
+ 200*9,01 
+ 200*8,99</x18tc:text>
  </x18tc:threadedComment>
  <x18tc:threadedComment ref="O91" dT="2025-12-03T18:56:47.00" personId="{bf9f0f12-0199-4ece-a40e-ba3625a53442}" id="{2e733c17-2ec3-441a-b77b-eb68c0398cdc}" done="0">
    <x18tc:text xml:space="preserve">03/12/2025
COMPRA CRI OPEA BTG
IPCA+ 20240
+120K</x18tc:text>
  </x18tc:threadedComment>
  <x18tc:threadedComment ref="AA83" dT="2025-11-05T19:10:44.00" personId="{bf9f0f12-0199-4ece-a40e-ba3625a53442}" id="{02110721-3474-46d4-bfd1-a6d9a3edcfdd}" done="0">
    <x18tc:text xml:space="preserve">03/11/25
compra SIGMA LITHIUM
+500*9,05 
+ 500*9,07 
+ 500*9,07 
+ 500*9,08
+ 500*8,99 
+ 500*9,08 
+ 500*9,08 
+ 500*9,08 
+ 100*9,06 
+ 100*9,09
04/11/25
COMPRA SIGMA LITHIUM
500*8,66
05/11
COMPRA SIGMA 
+500*8,75 
+ 100*9,04 
+ 100*8,88
+ 100*8,88 
+ 100*8,88 
+ 100*8,88 
+ 100*8,88 
+ 100*8,93 
+ 100*8,93 
+ 100*8,91 
+ 100*8,93</x18tc:text>
  </x18tc:threadedComment>
  <x18tc:threadedComment ref="Y51" dT="2025-07-23T00:33:09.00" personId="{bf9f0f12-0199-4ece-a40e-ba3625a53442}" id="{a2e5e69f-dd09-4847-b90f-55bb4a2551ee}" done="0">
    <x18tc:text xml:space="preserve">22/07
COMPRA ASML34
+9*71,19
+100*71,06
+100*71,39
23/07
COMPRA ASML34
+100*72,52
25/07/25
+20*72,16
+40*72,11
+20*72,07
+20*71,91
+10*71,75
+20*71,71
+10*71,67
+10*71,59
+10*71,57
+20*71,51
+20*71,45
+30*71,42
+20*71,35</x18tc:text>
  </x18tc:threadedComment>
  <x18tc:threadedComment ref="AC75" dT="2025-10-02T18:07:40.00" personId="{bf9f0f12-0199-4ece-a40e-ba3625a53442}" id="{33836e9f-2733-4db3-bf76-e4206d7698a9}" done="0">
    <x18tc:text xml:space="preserve">02/10/2025
COMPRA COSAN
NASSER BTG
+200*6,02
+100*6,03
+100*6,04
+100*6,08
+100*6,03
+100*5,96</x18tc:text>
  </x18tc:threadedComment>
  <x18tc:threadedComment ref="Q62" dT="2025-08-05T02:32:10.00" personId="{bf9f0f12-0199-4ece-a40e-ba3625a53442}" id="{238840ff-173c-4c2e-b891-f0fe9d5f8059}" done="0">
    <x18tc:text xml:space="preserve">04/08/25
transferido TD
DA CLEAR PARA BTG</x18tc:text>
  </x18tc:threadedComment>
  <x18tc:threadedComment ref="M51" dT="2025-07-23T19:32:48.00" personId="{bf9f0f12-0199-4ece-a40e-ba3625a53442}" id="{a2a82cf1-1257-4668-94dc-2cafbfbbf648}" done="0">
    <x18tc:text xml:space="preserve">22/07/2025
RECEBIMENTO BCO BPI 
DE TRANSFERENCIA DO WISE
-EU$1000,00
23/07
-EU$4000,00
total lançado EM REAL 
+ R$33042,00</x18tc:text>
  </x18tc:threadedComment>
  <x18tc:threadedComment ref="S11" dT="2026-02-13T01:38:28.00" personId="{bf9f0f12-0199-4ece-a40e-ba3625a53442}" id="{52fdfc97-b4be-491c-bf8d-be693eeac5e1}" done="0">
    <x18tc:text xml:space="preserve">12_02_26
COMPRA LFTS11
NASSER
+70*147,89
13_02_26
COMPRA LFTS11
NASSER
+70*147,92</x18tc:text>
  </x18tc:threadedComment>
  <x18tc:threadedComment ref="L52" dT="2025-07-23T19:31:50.00" personId="{bf9f0f12-0199-4ece-a40e-ba3625a53442}" id="{0645c518-88cd-47a9-a06f-da369c675f16}" done="0">
    <x18tc:text xml:space="preserve">22/07/2025
RESGATE WISE PARA
TRANSFERENCIA BANCO BPI
-EU$1000,00
23/07
-EU$4000,00
EM REAL 
- R$33042,00</x18tc:text>
  </x18tc:threadedComment>
  <x18tc:threadedComment ref="V44" dT="2025-06-13T19:54:39.00" personId="{bf9f0f12-0199-4ece-a40e-ba3625a53442}" id="{8eedb5c1-05ff-4353-b2e2-8978c7fce3d3}" done="0">
    <x18tc:text xml:space="preserve">13/06
RESGATE PARA COBRIR CC ITAU
-5K
-10K</x18tc:text>
  </x18tc:threadedComment>
  <x18tc:threadedComment ref="O35" dT="2025-05-15T00:36:54.00" personId="{bf9f0f12-0199-4ece-a40e-ba3625a53442}" id="{11f1fcc1-76d5-44ad-b377-7164929e4dc4}" done="0">
    <x18tc:text xml:space="preserve">14/05/25
COMPRA SOJA3
+200*11,11
+100*11,12
+100*11,13
+200*11,16
+100*11,18
+100*11,19
+400*11,20
+200*11,21
+100*11,22
+100*11,26
+100*11,30
+100*11,31
+100*11,33</x18tc:text>
  </x18tc:threadedComment>
  <x18tc:threadedComment ref="V83" dT="2025-11-07T19:38:43.00" personId="{bf9f0f12-0199-4ece-a40e-ba3625a53442}" id="{f7e5936d-c064-4467-9e5b-710e319baf88}" done="0">
    <x18tc:text xml:space="preserve">07/11/25
COMPRA MELI34 
NASSER BTG
+50*93,82
+50*93,68
+50*93,34
+50*93,23
21/11
+200*85,99
+ 50*86,12
+ 50*88,20
+ 50*88,02</x18tc:text>
  </x18tc:threadedComment>
  <x18tc:threadedComment ref="U59" dT="2025-08-05T02:25:44.00" personId="{bf9f0f12-0199-4ece-a40e-ba3625a53442}" id="{f44edf3f-95d0-4a6b-b8aa-ddaaa696480c}" done="0">
    <x18tc:text xml:space="preserve">01/08/2025
COMPRA TSLA34
+34*52,85
+50*52,87
22/08/25
compra TSLA34
ENGANO
+75*57,28</x18tc:text>
  </x18tc:threadedComment>
  <x18tc:threadedComment ref="W51" dT="2025-07-31T22:16:21.00" personId="{bf9f0f12-0199-4ece-a40e-ba3625a53442}" id="{59e1927f-6859-478e-b77d-5a1f2387c9d1}" done="0">
    <x18tc:text xml:space="preserve">31/07/25
compra CMIN3
+1000*5,07
+2000*5,08
+1000*5,05</x18tc:text>
  </x18tc:threadedComment>
  <x18tc:threadedComment ref="AH75" dT="2025-10-06T20:25:10.00" personId="{bf9f0f12-0199-4ece-a40e-ba3625a53442}" id="{e5da6838-6e33-4620-8e90-9c8bd29624f3}" done="0">
    <x18tc:text xml:space="preserve">06/10/25
COMPRA INTEL
+100*32,52
+100*32,44
+100*32,35
08/10/25
COMPRA INTEL
+55*31,87</x18tc:text>
  </x18tc:threadedComment>
  <x18tc:threadedComment ref="AE35" dT="2025-05-24T02:52:24.00" personId="{bf9f0f12-0199-4ece-a40e-ba3625a53442}" id="{eb80d774-eead-4019-81a7-48bc5f2d0e3f}" done="0">
    <x18tc:text xml:space="preserve">23/05
COMPRA BBAS3
BTG NASSER
DIVIDENDOS
+400*24,42
+100*24,46
+200*24,51
+100*24,52
+200*24,54
28/05
COMPRA BBAS3
+200*24,17
+200*24,18
+200*24,19
+100*24,20
+100*24,21
+100*24,16
100*24,11</x18tc:text>
  </x18tc:threadedComment>
  <x18tc:threadedComment ref="R11" dT="2026-02-19T11:57:21.00" personId="{bf9f0f12-0199-4ece-a40e-ba3625a53442}" id="{5c4c57dc-e82f-45d7-9010-490a32838617}" done="0">
    <x18tc:text xml:space="preserve">18/02
COMPRA AURA33
100*120,14
+ 100*120,02
+ 100*119,81</x18tc:text>
  </x18tc:threadedComment>
  <x18tc:threadedComment ref="M3" dT="2026-01-10T03:19:41.00" personId="{bf9f0f12-0199-4ece-a40e-ba3625a53442}" id="{509a9af9-5ef8-44fd-b2f4-a936b91f7656}" done="0">
    <x18tc:text xml:space="preserve">07/01/26
PRA TRANSFERERNCIA DE EURO
EU$3774,00 = R$24568
13/01/26
PRA TRANSFERERNCIA DE EURO
BPI
EU$2400,00 = R$15566,
19/01/26
PRA TRANSFERERNCIA DE EURO
BPI
EU$2300,00 = R$14970,</x18tc:text>
  </x18tc:threadedComment>
  <x18tc:threadedComment ref="T76" dT="2025-10-16T01:41:00.00" personId="{bf9f0f12-0199-4ece-a40e-ba3625a53442}" id="{21bdb2ae-913a-487e-aa7c-a5dfd8721c31}" done="0">
    <x18tc:text xml:space="preserve">14/10/25
venda aple
-50*67,77
-50*68,03
-50*67,97
27/10/25
VENDA APPLE
G
- (200*72,00 
+ 50*71,98
+ 50*72,09 
+ 50*72,16 
+ 50*72,16)
28/10
VENDA APPLE
G
- 100*72,31</x18tc:text>
  </x18tc:threadedComment>
  <x18tc:threadedComment ref="I52" dT="2025-07-09T13:55:54.00" personId="{bf9f0f12-0199-4ece-a40e-ba3625a53442}" id="{b5d4fb3a-1813-4d7b-a754-7093ecf93971}" done="0">
    <x18tc:text xml:space="preserve">08/07/25
RESGATE FUNDO BB HI
-49K
PARA EFETIVAÇÃO DA OPERAÇÃO DE CREDITO DO BTG 200K</x18tc:text>
  </x18tc:threadedComment>
  <x18tc:threadedComment ref="AA4" dT="2026-02-02T18:40:26.00" personId="{bf9f0f12-0199-4ece-a40e-ba3625a53442}" id="{bc36dcba-d633-4e2b-910b-c45f9633fa17}" done="0">
    <x18tc:text xml:space="preserve">30/01
venda hapvida
-100*12,94
- 100*12,94
- 100*12,94
- 200*12,94
- 200*12,94 
- 200*12,94
- 200*12,94
- 300*12,94
- 600*12,94
- 1000*12,94 
- 1000*12,94
- 1500*12,94</x18tc:text>
  </x18tc:threadedComment>
  <x18tc:threadedComment ref="U68" dT="2025-09-21T05:21:22.00" personId="{bf9f0f12-0199-4ece-a40e-ba3625a53442}" id="{a7a7e04d-5fe5-42d5-8140-780ff9b75d5d}" done="0">
    <x18tc:text xml:space="preserve">12/09/25
VENDA GAIN TSLA34
-1000*65,88</x18tc:text>
  </x18tc:threadedComment>
  <x18tc:threadedComment ref="AE43" dT="2025-06-02T14:59:29.00" personId="{bf9f0f12-0199-4ece-a40e-ba3625a53442}" id="{e07c1450-4520-494e-8641-bac498fa983e}" done="0">
    <x18tc:text xml:space="preserve">02/05
COMPRA BBAS3 
DIVIDENDOS
+100*23,21
+100*23,23
+100*23,24
+100*23,26
+100*23,27
+100*23,30</x18tc:text>
  </x18tc:threadedComment>
  <x18tc:threadedComment ref="R12" dT="2026-02-05T18:13:40.00" personId="{bf9f0f12-0199-4ece-a40e-ba3625a53442}" id="{b9e406ef-12c2-4103-a470-f0fd86863c39}" done="0">
    <x18tc:text xml:space="preserve">05/02
VENDA AURA33
-50*108,62
- 50*109,31
- 50*108,06
- 25*109,09
- 60*110,02
- 60*110,10
- 60*110,29
- 60*110,74
- 60*110,47
- 60*111,01
10/02
VENDA AURA GAIN
-1*125,34
- 1*125,34
- 2*125,34
- 5*125,34
- 7*125,34
- 10*125,34
- 24*125,34 
- 50*125,41
- 50*125,47
- 50*125,53
- 50*127,67
- 65*127,78
- 50*127,82
- 50*127,98
11/02
VENDA AURA GAIN
-100*129,43
- 13*129,79
- 87*129,79 
- 100*129,92</x18tc:text>
  </x18tc:threadedComment>
  <x18tc:threadedComment ref="AF59" dT="2025-08-05T02:34:16.00" personId="{bf9f0f12-0199-4ece-a40e-ba3625a53442}" id="{9ae21836-536a-4f7f-9221-1e306b5c6ba1}" done="0">
    <x18tc:text xml:space="preserve">01/08/2025
COMPRA TESLA
+6*52,85</x18tc:text>
  </x18tc:threadedComment>
  <x18tc:threadedComment ref="V4" dT="2026-01-16T22:35:11.00" personId="{bf9f0f12-0199-4ece-a40e-ba3625a53442}" id="{e01c7912-63ca-4078-8721-8b4ab7fad78f}" done="0">
    <x18tc:text xml:space="preserve">15/01/26
VENDAS MELI34
-100*94,12
- 50*94,10
30/01
VENDA MELI
-15*93,93
- 85*93,93
- 1*94,28
- 15*94,28
- 84*94,28
- 100*94,43
- 100*94,51
- 8*94,65 
- 30*94,65
- 62*94,65</x18tc:text>
  </x18tc:threadedComment>
  <x18tc:threadedComment ref="Z4" dT="2026-01-09T22:41:13.00" personId="{bf9f0f12-0199-4ece-a40e-ba3625a53442}" id="{ba90d312-c358-4331-bc11-43246fab83ed}" done="0">
    <x18tc:text xml:space="preserve">06/01/26
VENDAS VALE3 GAIN
-100*75,88
- 100*75,86
- 100*75,85
- 100*75,83
- 100*75,92
- 100*75,81
- 100*75,96
- 100*75,94
- 100*75,90
08/01/26,
VENDAS VALE3
-100*75,35</x18tc:text>
  </x18tc:threadedComment>
  <x18tc:threadedComment ref="W76" dT="2025-10-16T17:06:33.00" personId="{bf9f0f12-0199-4ece-a40e-ba3625a53442}" id="{fbd6c8c9-9043-48b6-94f7-bb619aaa90a3}" done="0">
    <x18tc:text xml:space="preserve">14/10/25
VENDA CMIN3
-1000*5,65
-4000*5,66
-6000*5,67
28/10/25
-1000*5,95
- 1000*5,94
-1000*5,95</x18tc:text>
  </x18tc:threadedComment>
  <x18tc:threadedComment ref="X11" dT="2026-02-05T03:06:36.00" personId="{bf9f0f12-0199-4ece-a40e-ba3625a53442}" id="{8df7d601-022b-4b24-96d8-d9acd01ff9e7}" done="0">
    <x18tc:text xml:space="preserve">04_02_26
COMPRA AMD
+16*132,03
+ 16*132,13
+ 16*132,23
+ 16*132,33
+ 16*132,43 
+ 16*132,53
+ 16*132,65
+ 16*132,73
+ 16*132,83
+ 16*132,93</x18tc:text>
  </x18tc:threadedComment>
  <x18tc:threadedComment ref="AG51" dT="2025-07-18T22:14:38.00" personId="{bf9f0f12-0199-4ece-a40e-ba3625a53442}" id="{2d359866-99e1-4d5d-8c8a-eb884df041ec}" done="0">
    <x18tc:text xml:space="preserve">18/07/2025
BTG ALEXA
COMPRA AAPL34 
+15*58,10
+15*58,15
+15*58,20
+15*58,25
+15*58,28
+15*58,30</x18tc:text>
  </x18tc:threadedComment>
  <x18tc:threadedComment ref="M11" dT="2026-02-06T16:16:19.00" personId="{bf9f0f12-0199-4ece-a40e-ba3625a53442}" id="{417ab3cd-9442-4545-80d0-acb58137e201}" done="0">
    <x18tc:text xml:space="preserve">06/02/2026
PRA TRANSFERENCIA PARA BPI
EU$3400 = R$20734,59
EU$1,00 = R$6,09
#########
ATUALIZAÇÃO
#########
10/02/2026
PRA TRANSFERENCIA PARA BPI
EU$2900 = R$18674,97
EU$1,00 = R$6,18
11/02/26
11/02/26
PRA TRANSFERENCIA PARA BPI
EU$1550 = R$9941,48
EU$1,00 = R$6,15</x18tc:text>
  </x18tc:threadedComment>
  <x18tc:threadedComment ref="V3" dT="2026-01-16T22:31:51.00" personId="{bf9f0f12-0199-4ece-a40e-ba3625a53442}" id="{60b8017f-d11b-4deb-ad26-89503c5b269f}" done="0">
    <x18tc:text xml:space="preserve">13/01/26
compra MELI34
+100*93,15</x18tc:text>
  </x18tc:threadedComment>
  <x18tc:threadedComment ref="R4" dT="2026-01-09T22:39:25.00" personId="{bf9f0f12-0199-4ece-a40e-ba3625a53442}" id="{9eea9c3c-63ac-4735-98e9-7477f5b8951f}" done="0">
    <x18tc:text xml:space="preserve">06/01/26
VENDAS AURA33
-100*96,70
- 100*95,88
- 100*95,50
- 17*95,72
- 83*95,81 
- 100*96,70
08/01/26
VENDAS AURA33
-100*93,27 
- 100*93,28
15/01/26
VENDAS AURA33
-50*104,53
- 50*104,59
- 50*108,01
- 50*108,10
20/01
VENDA AURA33
-100*114,36
-100*114,49
21/01
VENDA AURA33
GAIN
-30*114,99
-30*115,22
-30*115,42
23/01/26
VENDA AURA
-30*124,81
- 30*124,88
30/01
VENDA AURA33
-50*115,44</x18tc:text>
  </x18tc:threadedComment>
  <x18tc:threadedComment ref="AA75" dT="2025-10-31T19:14:07.00" personId="{bf9f0f12-0199-4ece-a40e-ba3625a53442}" id="{265d9061-8c50-4ca9-a2f5-889f650480f0}" done="0">
    <x18tc:text xml:space="preserve">27/10/25
COMPRA SIGMA
G
+500*10,07</x18tc:text>
  </x18tc:threadedComment>
  <x18tc:threadedComment ref="AC76" dT="2025-10-16T17:09:44.00" personId="{bf9f0f12-0199-4ece-a40e-ba3625a53442}" id="{9eee0a44-b78c-4b54-8608-32b6efb2bd0d}" done="0">
    <x18tc:text xml:space="preserve">14/10/25
VENDA COSAN
-300*5,85
-100*5,86
-100*5,87
-100*5,88
15/10/25
-100*5,92</x18tc:text>
  </x18tc:threadedComment>
  <x18tc:threadedComment ref="M67" dT="2025-09-20T15:51:56.00" personId="{bf9f0f12-0199-4ece-a40e-ba3625a53442}" id="{7c4683fa-052d-41da-bbea-bb610aafba06}" done="0">
    <x18tc:text xml:space="preserve">20/09/25
+EU$2615,00
TROCO da viajem a Portugal
em casa no cofre
26/09/25
TRANSFERENCIA PARA BPI
PGTO IRN SOFIA PORTUGAL
-3095,70</x18tc:text>
  </x18tc:threadedComment>
  <x18tc:threadedComment ref="AC11" dT="2026-02-05T03:04:35.00" personId="{bf9f0f12-0199-4ece-a40e-ba3625a53442}" id="{22706528-53ae-4b1d-bf56-3040020464eb}" done="0">
    <x18tc:text xml:space="preserve">04/02/26
COMPRA AMD
+374*131,64
+22*131,31
+ 22*131,36
+ 22*131,41
+ 22*131,46
+ 22*131,51
+ 22*131,56
+ 22*131,61
+ 22*131,71
+ 22*131,81 
+ 22*131,91
+ 22*132,01
+ 22*131,32
+ 22*131,30
+ 22*132,11 
+ 22*131,34 
+ 22*131,33
+ 22*132,21</x18tc:text>
  </x18tc:threadedComment>
  <x18tc:threadedComment ref="AD51" dT="2025-07-18T22:12:37.00" personId="{bf9f0f12-0199-4ece-a40e-ba3625a53442}" id="{7d47e887-8cad-41f0-b790-f71be632c0da}" done="0">
    <x18tc:text xml:space="preserve">18/07/2025
BTG ALEXA
COMPRA BBAS3
+600*20,21
+800*20,22
+300*20,23
+600*20,24
+500*20,27
+500*20,32
21/07
+500*20.11
+400*20.04</x18tc:text>
  </x18tc:threadedComment>
  <x18tc:threadedComment ref="F11" dT="2026-02-10T23:18:03.00" personId="{bf9f0f12-0199-4ece-a40e-ba3625a53442}" id="{fcc13710-b79c-4966-a4b8-521184419472}" done="0">
    <x18tc:text xml:space="preserve">06/02/26
COMPRA LFTS11 ALEXA
+300*147,59
10/02/26
COMPRA AURA ALEXA
+40*147,75
+ 40*147,75
+ 1*147,74
+ 1*147,74
+ 6*147,74
+ 11*147,74
+ 11*147,74
+ 23*147,74
+ 27*147,74
+ 40*147,74 
+ 40*147,74
+ 13*147,73
+ 27*147,73
+ 40*147,71
+ 40*147,71 
+ 40*147,71</x18tc:text>
  </x18tc:threadedComment>
  <x18tc:threadedComment ref="L11" dT="2026-02-06T16:08:31.00" personId="{bf9f0f12-0199-4ece-a40e-ba3625a53442}" id="{39c45702-a641-4fde-a119-375aa4883c98}" done="0">
    <x18tc:text xml:space="preserve">06/02/2026
PARA COMPRA DE EURO
10000,00
10/02/2026
PARA COMPRA DE EURO
10000,00
11/02/2026
PARA COMPRA DE EURO 
10000,00
E LIBRA 
5000,00
12/02/2026
PARA COMPRA DE EURO, DOLAR E LIBRA ESTERLINA
10000,00
18/02
para compra de LIBRA
+5000,00
19/02
PARA COMPRA DE 
LIBRA E EURO
+12000</x18tc:text>
  </x18tc:threadedComment>
  <x18tc:threadedComment ref="N43" dT="2025-06-23T23:48:14.00" personId="{bf9f0f12-0199-4ece-a40e-ba3625a53442}" id="{c80f1ff2-2f85-4147-8d36-b4361654963e}" done="0">
    <x18tc:text xml:space="preserve">23/06
compra INTEL ITLC34
+250*19,31</x18tc:text>
  </x18tc:threadedComment>
  <x18tc:threadedComment ref="F44" dT="2025-06-26T17:41:55.00" personId="{bf9f0f12-0199-4ece-a40e-ba3625a53442}" id="{f4236f29-c300-482d-b229-cd8a5c8a9448}" done="0">
    <x18tc:text xml:space="preserve">26/06/25
VENDA LFTS11 GAIN
-300*135,39</x18tc:text>
  </x18tc:threadedComment>
  <x18tc:threadedComment ref="S4" dT="2026-01-09T22:38:02.00" personId="{bf9f0f12-0199-4ece-a40e-ba3625a53442}" id="{3b6985a5-2bba-4968-9f69-2f70f6ebaf2b}" done="0">
    <x18tc:text xml:space="preserve">06/01/26
VENDAS LFTS11
-200*145,75
07/01/26
VENDAS  LFTS11
-16*145,82
- 38*145,83</x18tc:text>
  </x18tc:threadedComment>
  <x18tc:threadedComment ref="L91" dT="2025-12-01T19:16:08.00" personId="{bf9f0f12-0199-4ece-a40e-ba3625a53442}" id="{a6f413cb-892e-4710-8c9a-fb5b2b909b99}" done="0">
    <x18tc:text xml:space="preserve">01/12/25
TRANSFERENCIA PARA WISE
COMPRA DE MOEDAS
+20000
01/12/25
TRANSFERENCIA PARA WISE
COMPRA DE MOEDAS
+10000
02/12/25
TRANSFERENCIA PARA WISE
COMPRA DE MOEDAS
+25000
26/12/25
TRANSFERENCIA PARA WISE
COMPRA DE MOEDAS
+2000</x18tc:text>
  </x18tc:threadedComment>
  <x18tc:threadedComment ref="AA3" dT="2026-01-16T22:37:54.00" personId="{bf9f0f12-0199-4ece-a40e-ba3625a53442}" id="{87ac462c-0c8a-4c90-9cee-0ffdd78033e1}" done="0">
    <x18tc:text xml:space="preserve">15/01/26
COMPRAS HAPVIDA
+500*13,43
+ 100*13,50 
+ 100*13,50
+ 100*13,50 
+ 100*13,51
+ 100*13,40
+ 100*13,42
19/01/26
COMPRA HAPVIDA
+100*13,34
+ 200*13,36 
+ 100*13,38
+ 100*13,37 
+ 100*13,39 
+ 100*13,39 
+ 100*13,35
+ 100*13,39
+ 100*13,38</x18tc:text>
  </x18tc:threadedComment>
  <x18tc:threadedComment ref="H4" dT="2026-01-22T13:38:41.00" personId="{bf9f0f12-0199-4ece-a40e-ba3625a53442}" id="{25f3b18b-2ad3-4e39-86e8-7a0a12e60830}" done="0">
    <x18tc:text xml:space="preserve">RESGATE
-950
-100
-200
-400
30/01/26
-200</x18tc:text>
  </x18tc:threadedComment>
  <x18tc:threadedComment ref="S92" dT="2025-12-30T01:26:48.00" personId="{bf9f0f12-0199-4ece-a40e-ba3625a53442}" id="{fd256d66-f6f4-4cea-8a46-3ca70dc80059}" done="0">
    <x18tc:text xml:space="preserve">29/12/25
VENDA LTFS11
-200*145,36</x18tc:text>
  </x18tc:threadedComment>
  <x18tc:threadedComment ref="AB59" dT="2025-08-15T19:36:05.00" personId="{bf9f0f12-0199-4ece-a40e-ba3625a53442}" id="{9d2f18f2-7fd2-4e55-bbf1-78011eed76c3}" done="0">
    <x18tc:text xml:space="preserve">15/08/25
COMPRA WEGE3 
BTG NASSER
+500*35,91
+100*35,86
+100*35,81
+100*35,73
19/08
COMPRA WEGE3
+100*35,63
+100*35,51</x18tc:text>
  </x18tc:threadedComment>
  <x18tc:threadedComment ref="AE51" dT="2025-07-18T21:58:52.00" personId="{bf9f0f12-0199-4ece-a40e-ba3625a53442}" id="{e220c210-84d9-4538-a244-26e23e65f4ea}" done="0">
    <x18tc:text xml:space="preserve">18/07/2025
COMPRA BBAS3
+1000*20,40</x18tc:text>
  </x18tc:threadedComment>
  <x18tc:threadedComment ref="AF91" dT="2025-12-31T02:42:30.00" personId="{bf9f0f12-0199-4ece-a40e-ba3625a53442}" id="{be760823-3a52-4a28-aaba-e6c97d3ebb41}" done="0">
    <x18tc:text xml:space="preserve">30/12
compra TESLA TSLA34
+20*78,86
+ 50*78,82
+ 50*78,77
+ 50*78,73 
+ 20*78,69
+ 50*78,66
+ 2*78,61
+ 3*78,61
+ 45*78,61
+ 16*78,59
+ 20*78,56
+ 3*78,53
+ 17*78,53
+ 20*78,47
+ 20*78,44
+ 1*78,38
+ 3*78,38
+ 20*78,29 
+ 50*78,14
+ 50*78,01
+ 50*77,89
+ 100*77,52</x18tc:text>
  </x18tc:threadedComment>
  <x18tc:threadedComment ref="L76" dT="2025-10-03T15:41:14.00" personId="{bf9f0f12-0199-4ece-a40e-ba3625a53442}" id="{ec6c6c3b-4ecb-44c2-b727-04c1f905b81f}" done="0">
    <x18tc:text xml:space="preserve">03/10/25
transferencia SIMPLES
EU$ WISE PRA EU$ BPI
EU$2400,00 = -14911,45</x18tc:text>
  </x18tc:threadedComment>
  <x18tc:threadedComment ref="O51" dT="2025-07-18T21:57:39.00" personId="{bf9f0f12-0199-4ece-a40e-ba3625a53442}" id="{7fd3a598-8e6c-4fd7-9c57-4055c1f7523f}" done="0">
    <x18tc:text xml:space="preserve">18/07/25
COMPRA SOJA3
+1000*10,51
+1000*10,53
+1000*10,57
+2000*10,55
+1000*10,61
+1000*10,63
+1000*10,62
+1000*10,69</x18tc:text>
  </x18tc:threadedComment>
  <x18tc:threadedComment ref="J44" dT="2025-07-09T13:38:09.00" personId="{bf9f0f12-0199-4ece-a40e-ba3625a53442}" id="{31400296-f346-4347-9aaa-4dcc61895c75}" done="0">
    <x18tc:text xml:space="preserve">06/25
venda NO PRAZO VENCIMENTO
CDB BTG 105% CDI
+51592,45</x18tc:text>
  </x18tc:threadedComment>
  <x18tc:threadedComment ref="AB4" dT="2026-01-28T18:26:42.00" personId="{bf9f0f12-0199-4ece-a40e-ba3625a53442}" id="{6da9e95b-80c2-4f2d-a5ab-8cfbe19d35e4}" done="0">
    <x18tc:text xml:space="preserve">23/01/26
VENDA WEGE3
-100*49,47
- 100*49,35
30/01
VENDA WEGE
-100*51,86
- 100*51,95
- 100*51,95
- 100*51,96
- 100*51,98
- 100*52,01
- 100*52,06</x18tc:text>
  </x18tc:threadedComment>
  <x18tc:threadedComment ref="Z76" dT="2025-10-16T17:16:47.00" personId="{bf9f0f12-0199-4ece-a40e-ba3625a53442}" id="{55340cdf-41f7-4645-a1bf-d24848fb0c13}" done="0">
    <x18tc:text xml:space="preserve">14/10/25
VENDA VALE
-200*59,86
-100*59,87
-500*59,89
-100*59,93
-100*60,08
15/10/25
-500*60,86
28/10
VENDA VALE3
G
-100*62,26
- 100*62,32
31/10/25
VENDA VALE
-1000*64,90</x18tc:text>
  </x18tc:threadedComment>
  <x18tc:threadedComment ref="R91" dT="2025-12-30T01:23:03.00" personId="{bf9f0f12-0199-4ece-a40e-ba3625a53442}" id="{f0ca2d4b-25db-4ae0-b173-d303db685221}" done="0">
    <x18tc:text xml:space="preserve">29/12/25
COMPRA AURA33
QUEDA OURO
+10*97,85
+ 40*97,85
+ 50*97,26
+ 50*97,12 
+ 50*97,01 
+ 15*95,81 
+ 50*95,75
+ 35*95,54
+ 1*95,40
+ 33*95,40
+ 16*95,39 
+ 1*92,75
+ 49*92,75
+ 1*92,72 
+ 1*92,72
+ 48*92,72
+ 50*90,92
+ 50*90,64
+ 50*90,59</x18tc:text>
  </x18tc:threadedComment>
  <x18tc:threadedComment ref="V52" dT="2025-07-18T22:06:38.00" personId="{bf9f0f12-0199-4ece-a40e-ba3625a53442}" id="{1e877ff5-8fae-474a-a70d-581187197adb}" done="0">
    <x18tc:text xml:space="preserve">ITAU CDB NASSER
ZERADA A POSIÇÃO
08/07/25
RESGATE PARA PG ITAU
-5117,77</x18tc:text>
  </x18tc:threadedComment>
  <x18tc:threadedComment ref="J51" dT="2025-07-09T13:40:51.00" personId="{bf9f0f12-0199-4ece-a40e-ba3625a53442}" id="{e3c13cc4-915a-4bf0-b884-163af492afcb}" done="0">
    <x18tc:text xml:space="preserve">08/07
COMPRA FUNDO
FUNDO BTG CDB PLUS FIRF CRPR
P/ GARANTIA CREDITO 200K
+218744,87</x18tc:text>
  </x18tc:threadedComment>
  <x18tc:threadedComment ref="N76" dT="2025-10-02T18:04:40.00" personId="{bf9f0f12-0199-4ece-a40e-ba3625a53442}" id="{01e93644-2530-4a9e-be9a-bafba9b434e3}" done="0">
    <x18tc:text xml:space="preserve">02/10/2025
VENDA INTEL GAIN
-250*32,55
03/10
-500*33,60
14/10/25
VENDA INTEL
-350*32,15
-350*32,22
-700*32,24
-350*32,30
-350*32,69
23/10
VENDA INTEL
G
-300*36,31
28/10
VENDA INTEL
G
-1000*37,93 
- 500*37,16</x18tc:text>
  </x18tc:threadedComment>
  <x18tc:threadedComment ref="M38" dT="2025-06-02T18:40:00.00" personId="{bf9f0f12-0199-4ece-a40e-ba3625a53442}" id="{bf3722cd-d217-4522-9194-477ab3ac64e7}" done="0">
    <x18tc:text xml:space="preserve">ATUALIZAÇÃO
05/2025
30/05/2025
grama OURO = R$500,00
EU$1,00 = R$ 6,65
US$1,00 = R$ 5,87
=====
(GOLD+CASH) 
HOME + BANKs
&gt;pulseira MACIÇA OURO+ Dadinho
(32,96g+1,33g =34,29g)= 
34,29g * R$500,00 a grama =
R$17480,00
COMPRA GOLD
&gt;PULSEIRA EGIPSIA
(51,18g) *500 =
R$25590,00
&gt;CHAVEIRO VARGAS
(10,93g) * 500 =
R$5465,00
=&gt;&gt;TOTAL GOLD
17480+25590+5465 = =&gt;&gt;R$48535,00
=============
CASH HOME
&gt;US$1672 = R$9814,64+
&gt;EU$2455 =R$16325,75 +
BPI BANK
(EU$5110, + EU$1100)= &gt;EU$6210=
R$41296,50
=&gt;TOTAL CASH
9814,64+16325,75+41296,50=
=&gt;&gt;R$67436,89
========
==&gt;&gt; TOTAL GERAL
(GOLD+CASH) HOME+BANKs
48535,00+67436,89=
==&gt;&gt; R$ 115971,89</x18tc:text>
  </x18tc:threadedComment>
  <x18tc:threadedComment ref="M75" dT="2025-10-03T15:41:50.00" personId="{bf9f0f12-0199-4ece-a40e-ba3625a53442}" id="{e7e69933-88b1-49ab-898b-e073090cd4df}" done="0">
    <x18tc:text xml:space="preserve">03/10/25
transferência SIMPLES
EU$ WISE PRA EU$ BPI
+EU$2400,00 = +14911,45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1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20" width="11.33"/>
    <col customWidth="1" min="21" max="26" width="14.44"/>
  </cols>
  <sheetData>
    <row r="1" ht="15.75" customHeight="1">
      <c r="A1" s="1"/>
      <c r="B1" s="1" t="s">
        <v>0</v>
      </c>
      <c r="C1" s="1"/>
      <c r="D1" s="2"/>
      <c r="E1" s="1"/>
      <c r="F1" s="1"/>
      <c r="G1" s="1"/>
      <c r="H1" s="2"/>
      <c r="I1" s="1"/>
      <c r="J1" s="1"/>
      <c r="K1" s="1"/>
      <c r="L1" s="2"/>
      <c r="M1" s="1"/>
      <c r="N1" s="1"/>
      <c r="O1" s="1"/>
      <c r="P1" s="2"/>
      <c r="Q1" s="1"/>
      <c r="R1" s="1"/>
      <c r="S1" s="1"/>
      <c r="T1" s="2"/>
    </row>
    <row r="2" ht="29.25" customHeight="1">
      <c r="A2" s="1"/>
      <c r="C2" s="1"/>
      <c r="D2" s="3" t="s">
        <v>1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ht="15.75" customHeight="1">
      <c r="A5" s="4"/>
      <c r="B5" s="1"/>
      <c r="C5" s="1"/>
      <c r="D5" s="1"/>
      <c r="E5" s="4"/>
      <c r="F5" s="1"/>
      <c r="G5" s="1"/>
      <c r="H5" s="1"/>
      <c r="I5" s="4"/>
      <c r="J5" s="1"/>
      <c r="K5" s="1"/>
      <c r="L5" s="1"/>
      <c r="M5" s="4"/>
      <c r="N5" s="1"/>
      <c r="O5" s="1"/>
      <c r="P5" s="1"/>
      <c r="Q5" s="4"/>
      <c r="R5" s="1"/>
      <c r="S5" s="1"/>
      <c r="T5" s="1"/>
    </row>
    <row r="6" ht="15.75" customHeight="1">
      <c r="A6" s="4"/>
      <c r="B6" s="1"/>
      <c r="C6" s="1"/>
      <c r="D6" s="1"/>
      <c r="E6" s="4"/>
      <c r="F6" s="1"/>
      <c r="G6" s="1"/>
      <c r="H6" s="1"/>
      <c r="I6" s="4"/>
      <c r="J6" s="1"/>
      <c r="K6" s="1"/>
      <c r="L6" s="1"/>
      <c r="M6" s="4"/>
      <c r="N6" s="1"/>
      <c r="O6" s="1"/>
      <c r="P6" s="1"/>
      <c r="Q6" s="4"/>
      <c r="R6" s="1"/>
      <c r="S6" s="1"/>
      <c r="T6" s="1"/>
    </row>
    <row r="7" ht="15.75" customHeight="1">
      <c r="A7" s="5" t="s">
        <v>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7"/>
      <c r="P7" s="7"/>
      <c r="Q7" s="7"/>
      <c r="R7" s="7"/>
      <c r="S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</row>
    <row r="10" ht="15.75" customHeight="1">
      <c r="A10" s="8" t="s">
        <v>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9"/>
      <c r="P10" s="9"/>
      <c r="Q10" s="9"/>
      <c r="R10" s="9"/>
      <c r="S10" s="9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</row>
    <row r="12" ht="15.75" customHeight="1">
      <c r="A12" s="10" t="s">
        <v>4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</row>
    <row r="14" ht="15.75" customHeight="1">
      <c r="A14" s="10" t="s">
        <v>5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</row>
    <row r="15" ht="15.75" customHeight="1">
      <c r="A15" s="11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</row>
    <row r="16" ht="15.75" customHeight="1">
      <c r="A16" s="10" t="s">
        <v>6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</row>
    <row r="17" ht="15.75" customHeight="1">
      <c r="A17" s="10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</row>
    <row r="18" ht="15.75" customHeight="1">
      <c r="A18" s="10" t="s">
        <v>7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</row>
    <row r="19" ht="15.75" customHeight="1">
      <c r="A19" s="10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</row>
    <row r="20" ht="22.5" customHeight="1">
      <c r="A20" s="12" t="s">
        <v>8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</row>
    <row r="21" ht="15.75" customHeight="1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</row>
    <row r="22" ht="15.75" customHeight="1">
      <c r="A22" s="10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7"/>
      <c r="P23" s="7"/>
      <c r="Q23" s="7"/>
      <c r="R23" s="7"/>
      <c r="S23" s="7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5"/>
      <c r="P24" s="15"/>
      <c r="Q24" s="15"/>
      <c r="R24" s="15"/>
      <c r="S24" s="15"/>
    </row>
    <row r="25" ht="15.75" customHeight="1">
      <c r="A25" s="16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15"/>
      <c r="O25" s="15"/>
      <c r="P25" s="15"/>
      <c r="Q25" s="15"/>
      <c r="R25" s="15"/>
      <c r="S25" s="15"/>
    </row>
    <row r="26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</row>
    <row r="27" ht="15.75" customHeight="1">
      <c r="A27" s="17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</row>
    <row r="28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</row>
    <row r="29" ht="15.75" customHeight="1">
      <c r="A29" s="17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7:N7"/>
    <mergeCell ref="A10:N10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2" max="2" width="13.78"/>
    <col customWidth="1" min="3" max="3" width="12.11"/>
    <col customWidth="1" min="4" max="4" width="13.56"/>
    <col customWidth="1" min="5" max="5" width="16.78"/>
  </cols>
  <sheetData>
    <row r="2">
      <c r="G2" s="18"/>
    </row>
    <row r="3">
      <c r="G3" s="18"/>
    </row>
    <row r="4">
      <c r="F4" s="19"/>
      <c r="G4" s="20"/>
    </row>
    <row r="5">
      <c r="F5" s="19"/>
      <c r="G5" s="2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24.22"/>
  </cols>
  <sheetData>
    <row r="1">
      <c r="A1" s="21"/>
      <c r="B1" s="21"/>
      <c r="C1" s="22"/>
      <c r="D1" s="23"/>
      <c r="E1" s="23"/>
      <c r="F1" s="23"/>
      <c r="G1" s="22"/>
      <c r="H1" s="23"/>
      <c r="I1" s="23"/>
    </row>
    <row r="2">
      <c r="A2" s="23" t="s">
        <v>9</v>
      </c>
      <c r="B2" s="21"/>
      <c r="C2" s="22"/>
      <c r="D2" s="23"/>
      <c r="E2" s="23"/>
      <c r="F2" s="23"/>
      <c r="G2" s="22"/>
      <c r="H2" s="23"/>
      <c r="I2" s="23"/>
    </row>
    <row r="3">
      <c r="A3" s="23" t="s">
        <v>10</v>
      </c>
      <c r="B3" s="23" t="s">
        <v>11</v>
      </c>
      <c r="C3" s="22" t="s">
        <v>12</v>
      </c>
      <c r="D3" s="23" t="s">
        <v>13</v>
      </c>
      <c r="E3" s="23" t="s">
        <v>14</v>
      </c>
      <c r="F3" s="23" t="s">
        <v>15</v>
      </c>
      <c r="G3" s="22" t="s">
        <v>16</v>
      </c>
      <c r="H3" s="23" t="s">
        <v>17</v>
      </c>
      <c r="I3" s="23" t="s">
        <v>18</v>
      </c>
      <c r="J3" s="21">
        <v>44440.0</v>
      </c>
      <c r="K3" s="23" t="s">
        <v>19</v>
      </c>
    </row>
    <row r="4">
      <c r="C4" s="22"/>
      <c r="G4" s="22"/>
    </row>
    <row r="5">
      <c r="A5" s="23" t="s">
        <v>20</v>
      </c>
      <c r="B5" s="23">
        <v>-3.32</v>
      </c>
      <c r="C5" s="22">
        <v>-0.0437</v>
      </c>
      <c r="D5" s="24">
        <v>0.06</v>
      </c>
      <c r="E5" s="24">
        <v>0.0194</v>
      </c>
      <c r="F5" s="24">
        <v>0.061583</v>
      </c>
      <c r="G5" s="22">
        <v>0.0046</v>
      </c>
      <c r="H5" s="24">
        <v>-0.039438</v>
      </c>
      <c r="I5" s="24">
        <v>-0.0247</v>
      </c>
      <c r="J5" s="23">
        <v>-6.57</v>
      </c>
    </row>
    <row r="6">
      <c r="B6" s="24"/>
      <c r="C6" s="22"/>
      <c r="D6" s="24"/>
      <c r="E6" s="24"/>
      <c r="F6" s="24"/>
      <c r="G6" s="22"/>
      <c r="H6" s="24"/>
      <c r="I6" s="24"/>
    </row>
    <row r="7">
      <c r="A7" s="23" t="s">
        <v>21</v>
      </c>
      <c r="B7" s="24">
        <v>0.0</v>
      </c>
      <c r="C7" s="22">
        <v>0.0</v>
      </c>
      <c r="D7" s="24">
        <f>'Planilha de Rentabilidade'!AO67</f>
        <v>-1</v>
      </c>
      <c r="E7" s="24" t="str">
        <f>'Planilha de Rentabilidade'!AP67</f>
        <v/>
      </c>
      <c r="F7" s="24" t="str">
        <f>+'Planilha de Rentabilidade'!AQ67</f>
        <v/>
      </c>
      <c r="G7" s="22">
        <v>0.0</v>
      </c>
      <c r="H7" s="24"/>
      <c r="I7" s="24"/>
      <c r="J7" s="24" t="str">
        <f>'Planilha de Rentabilidade'!AU67</f>
        <v/>
      </c>
      <c r="K7" s="24" t="str">
        <f>'Planilha de Rentabilidade'!AV67</f>
        <v/>
      </c>
    </row>
    <row r="8">
      <c r="C8" s="22"/>
      <c r="G8" s="22"/>
    </row>
    <row r="9">
      <c r="C9" s="22"/>
      <c r="G9" s="22"/>
    </row>
    <row r="10">
      <c r="C10" s="22"/>
      <c r="G10" s="22"/>
    </row>
    <row r="11">
      <c r="A11" s="25" t="s">
        <v>22</v>
      </c>
      <c r="B11" s="26"/>
      <c r="C11" s="27"/>
      <c r="G11" s="22" t="s">
        <v>23</v>
      </c>
    </row>
    <row r="12">
      <c r="A12" s="28"/>
      <c r="B12" s="29" t="s">
        <v>24</v>
      </c>
      <c r="C12" s="30" t="s">
        <v>25</v>
      </c>
      <c r="E12" s="23" t="s">
        <v>26</v>
      </c>
      <c r="G12" s="22"/>
    </row>
    <row r="13">
      <c r="A13" s="31" t="s">
        <v>27</v>
      </c>
      <c r="B13" s="32">
        <v>0.1256</v>
      </c>
      <c r="C13" s="33">
        <v>0.0</v>
      </c>
      <c r="E13" s="34">
        <v>0.0116</v>
      </c>
      <c r="G13" s="24">
        <f>'Planilha de Rentabilidade'!AI7</f>
        <v>0.008248927706</v>
      </c>
    </row>
    <row r="14">
      <c r="A14" s="31" t="s">
        <v>28</v>
      </c>
      <c r="B14" s="32">
        <v>0.0395</v>
      </c>
      <c r="C14" s="33">
        <v>0.0</v>
      </c>
      <c r="E14" s="34">
        <v>0.0066</v>
      </c>
      <c r="G14" s="34">
        <f>'Planilha de Rentabilidade'!AI15</f>
        <v>-0.00890583827</v>
      </c>
    </row>
    <row r="15">
      <c r="A15" s="31" t="s">
        <v>29</v>
      </c>
      <c r="B15" s="32">
        <v>0.0</v>
      </c>
      <c r="C15" s="33">
        <v>0.0</v>
      </c>
      <c r="E15" s="34">
        <v>0.0</v>
      </c>
      <c r="G15" s="34">
        <v>0.0</v>
      </c>
    </row>
    <row r="16">
      <c r="A16" s="31" t="s">
        <v>30</v>
      </c>
      <c r="B16" s="32">
        <v>0.0</v>
      </c>
      <c r="C16" s="33">
        <v>0.0</v>
      </c>
      <c r="E16" s="34">
        <v>0.0</v>
      </c>
      <c r="G16" s="34">
        <v>0.0</v>
      </c>
    </row>
    <row r="17">
      <c r="A17" s="31" t="s">
        <v>31</v>
      </c>
      <c r="B17" s="32">
        <v>0.0</v>
      </c>
      <c r="C17" s="33">
        <v>0.0</v>
      </c>
      <c r="E17" s="34">
        <v>0.0</v>
      </c>
      <c r="G17" s="34">
        <v>0.0</v>
      </c>
    </row>
    <row r="18">
      <c r="A18" s="31" t="s">
        <v>32</v>
      </c>
      <c r="B18" s="32">
        <v>0.0</v>
      </c>
      <c r="C18" s="33">
        <v>0.0</v>
      </c>
      <c r="E18" s="34">
        <v>0.0</v>
      </c>
      <c r="G18" s="34">
        <v>0.0</v>
      </c>
    </row>
    <row r="19">
      <c r="A19" s="31" t="s">
        <v>33</v>
      </c>
      <c r="B19" s="32">
        <v>0.0</v>
      </c>
      <c r="C19" s="33">
        <v>0.0</v>
      </c>
      <c r="E19" s="34">
        <v>0.0</v>
      </c>
      <c r="G19" s="34">
        <v>0.0</v>
      </c>
    </row>
    <row r="20">
      <c r="A20" s="31" t="s">
        <v>34</v>
      </c>
      <c r="B20" s="32">
        <v>0.0</v>
      </c>
      <c r="C20" s="33">
        <v>0.0</v>
      </c>
      <c r="E20" s="34">
        <v>0.0</v>
      </c>
      <c r="F20" s="24"/>
      <c r="G20" s="34">
        <v>0.0</v>
      </c>
    </row>
    <row r="21">
      <c r="A21" s="31" t="s">
        <v>35</v>
      </c>
      <c r="B21" s="32">
        <v>0.0</v>
      </c>
      <c r="C21" s="33">
        <v>0.0</v>
      </c>
      <c r="E21" s="34">
        <v>0.0</v>
      </c>
      <c r="G21" s="34">
        <v>0.0</v>
      </c>
    </row>
    <row r="22">
      <c r="A22" s="31" t="s">
        <v>36</v>
      </c>
      <c r="B22" s="32">
        <v>0.0</v>
      </c>
      <c r="C22" s="33">
        <v>0.0</v>
      </c>
      <c r="E22" s="34">
        <v>0.0</v>
      </c>
      <c r="G22" s="34">
        <v>0.0</v>
      </c>
    </row>
    <row r="23">
      <c r="A23" s="31" t="s">
        <v>37</v>
      </c>
      <c r="B23" s="32">
        <v>0.0</v>
      </c>
      <c r="C23" s="33"/>
      <c r="E23" s="34">
        <v>0.0</v>
      </c>
      <c r="G23" s="34">
        <v>0.0</v>
      </c>
    </row>
    <row r="24">
      <c r="A24" s="35" t="s">
        <v>38</v>
      </c>
      <c r="B24" s="32">
        <v>0.0</v>
      </c>
      <c r="C24" s="36"/>
      <c r="E24" s="34">
        <v>0.0</v>
      </c>
      <c r="G24" s="34">
        <v>0.0</v>
      </c>
    </row>
    <row r="25">
      <c r="C25" s="22"/>
      <c r="G25" s="22"/>
    </row>
    <row r="26">
      <c r="C26" s="22"/>
      <c r="G26" s="22"/>
    </row>
    <row r="27">
      <c r="C27" s="22"/>
      <c r="G27" s="22"/>
    </row>
    <row r="28">
      <c r="C28" s="22"/>
      <c r="G28" s="22"/>
    </row>
    <row r="29">
      <c r="C29" s="22"/>
      <c r="G29" s="22"/>
    </row>
    <row r="30">
      <c r="C30" s="22"/>
      <c r="G30" s="22"/>
    </row>
    <row r="31">
      <c r="C31" s="22"/>
      <c r="G31" s="22"/>
    </row>
    <row r="32">
      <c r="C32" s="22"/>
      <c r="G32" s="22"/>
    </row>
    <row r="33">
      <c r="C33" s="22"/>
      <c r="G33" s="22"/>
    </row>
    <row r="34">
      <c r="C34" s="22"/>
      <c r="G34" s="22"/>
    </row>
    <row r="35">
      <c r="C35" s="22"/>
      <c r="G35" s="22"/>
    </row>
    <row r="36">
      <c r="C36" s="22"/>
      <c r="G36" s="22"/>
    </row>
    <row r="37">
      <c r="C37" s="22"/>
      <c r="G37" s="22"/>
    </row>
    <row r="38">
      <c r="C38" s="22"/>
      <c r="G38" s="22"/>
    </row>
    <row r="39">
      <c r="C39" s="22"/>
      <c r="G39" s="22"/>
    </row>
    <row r="40">
      <c r="C40" s="22"/>
      <c r="G40" s="22"/>
    </row>
    <row r="41">
      <c r="C41" s="22"/>
      <c r="G41" s="22"/>
    </row>
    <row r="42">
      <c r="C42" s="22"/>
      <c r="G42" s="22"/>
    </row>
    <row r="43">
      <c r="C43" s="22"/>
      <c r="G43" s="22"/>
    </row>
    <row r="44">
      <c r="C44" s="22"/>
      <c r="G44" s="22"/>
    </row>
    <row r="45">
      <c r="C45" s="22"/>
      <c r="G45" s="22"/>
    </row>
    <row r="46">
      <c r="C46" s="22"/>
      <c r="G46" s="22"/>
    </row>
    <row r="47">
      <c r="C47" s="22"/>
      <c r="G47" s="22"/>
    </row>
    <row r="48">
      <c r="C48" s="22"/>
      <c r="G48" s="22"/>
    </row>
    <row r="49">
      <c r="C49" s="22"/>
      <c r="G49" s="22"/>
    </row>
    <row r="50">
      <c r="C50" s="22"/>
      <c r="G50" s="22"/>
    </row>
    <row r="51">
      <c r="C51" s="22"/>
      <c r="G51" s="22"/>
    </row>
    <row r="52">
      <c r="C52" s="22"/>
      <c r="G52" s="22"/>
    </row>
    <row r="53">
      <c r="C53" s="22"/>
      <c r="G53" s="22"/>
    </row>
    <row r="54">
      <c r="C54" s="22"/>
      <c r="G54" s="22"/>
    </row>
    <row r="55">
      <c r="C55" s="22"/>
      <c r="G55" s="22"/>
    </row>
    <row r="56">
      <c r="C56" s="22"/>
      <c r="G56" s="22"/>
    </row>
    <row r="57">
      <c r="C57" s="22"/>
      <c r="G57" s="22"/>
    </row>
    <row r="58">
      <c r="C58" s="22"/>
      <c r="G58" s="22"/>
    </row>
    <row r="59">
      <c r="C59" s="22"/>
      <c r="G59" s="22"/>
    </row>
    <row r="60">
      <c r="C60" s="22"/>
      <c r="G60" s="22"/>
    </row>
    <row r="61">
      <c r="C61" s="22"/>
      <c r="G61" s="22"/>
    </row>
    <row r="62">
      <c r="C62" s="22"/>
      <c r="G62" s="22"/>
    </row>
    <row r="63">
      <c r="C63" s="22"/>
      <c r="G63" s="22"/>
    </row>
    <row r="64">
      <c r="C64" s="22"/>
      <c r="G64" s="22"/>
    </row>
    <row r="65">
      <c r="C65" s="22"/>
      <c r="G65" s="22"/>
    </row>
    <row r="66">
      <c r="C66" s="22"/>
      <c r="G66" s="22"/>
    </row>
    <row r="67">
      <c r="C67" s="22"/>
      <c r="G67" s="22"/>
    </row>
    <row r="68">
      <c r="C68" s="22"/>
      <c r="G68" s="22"/>
    </row>
    <row r="69">
      <c r="C69" s="22"/>
      <c r="G69" s="22"/>
    </row>
    <row r="70">
      <c r="C70" s="22"/>
      <c r="G70" s="22"/>
    </row>
    <row r="71">
      <c r="C71" s="22"/>
      <c r="G71" s="22"/>
    </row>
    <row r="72">
      <c r="C72" s="22"/>
      <c r="G72" s="22"/>
    </row>
    <row r="73">
      <c r="C73" s="22"/>
      <c r="G73" s="22"/>
    </row>
    <row r="74">
      <c r="C74" s="22"/>
      <c r="G74" s="22"/>
    </row>
    <row r="75">
      <c r="C75" s="22"/>
      <c r="G75" s="22"/>
    </row>
    <row r="76">
      <c r="C76" s="22"/>
      <c r="G76" s="22"/>
    </row>
    <row r="77">
      <c r="C77" s="22"/>
      <c r="G77" s="22"/>
    </row>
    <row r="78">
      <c r="C78" s="22"/>
      <c r="G78" s="22"/>
    </row>
    <row r="79">
      <c r="C79" s="22"/>
      <c r="G79" s="22"/>
    </row>
    <row r="80">
      <c r="C80" s="22"/>
      <c r="G80" s="22"/>
    </row>
    <row r="81">
      <c r="C81" s="22"/>
      <c r="G81" s="22"/>
    </row>
    <row r="82">
      <c r="C82" s="22"/>
      <c r="G82" s="22"/>
    </row>
    <row r="83">
      <c r="C83" s="22"/>
      <c r="G83" s="22"/>
    </row>
    <row r="84">
      <c r="C84" s="22"/>
      <c r="G84" s="22"/>
    </row>
    <row r="85">
      <c r="C85" s="22"/>
      <c r="G85" s="22"/>
    </row>
    <row r="86">
      <c r="C86" s="22"/>
      <c r="G86" s="22"/>
    </row>
    <row r="87">
      <c r="C87" s="22"/>
      <c r="G87" s="22"/>
    </row>
    <row r="88">
      <c r="C88" s="22"/>
      <c r="G88" s="22"/>
    </row>
    <row r="89">
      <c r="C89" s="22"/>
      <c r="G89" s="22"/>
    </row>
    <row r="90">
      <c r="C90" s="22"/>
      <c r="G90" s="22"/>
    </row>
    <row r="91">
      <c r="C91" s="22"/>
      <c r="G91" s="22"/>
    </row>
    <row r="92">
      <c r="C92" s="22"/>
      <c r="G92" s="22"/>
    </row>
    <row r="93">
      <c r="C93" s="22"/>
      <c r="G93" s="22"/>
    </row>
    <row r="94">
      <c r="C94" s="22"/>
      <c r="G94" s="22"/>
    </row>
    <row r="95">
      <c r="C95" s="22"/>
      <c r="G95" s="22"/>
    </row>
    <row r="96">
      <c r="C96" s="22"/>
      <c r="G96" s="22"/>
    </row>
    <row r="97">
      <c r="C97" s="22"/>
      <c r="G97" s="22"/>
    </row>
    <row r="98">
      <c r="C98" s="22"/>
      <c r="G98" s="22"/>
    </row>
    <row r="99">
      <c r="C99" s="22"/>
      <c r="G99" s="22"/>
    </row>
    <row r="100">
      <c r="C100" s="22"/>
      <c r="G100" s="22"/>
    </row>
    <row r="101">
      <c r="C101" s="22"/>
      <c r="G101" s="22"/>
    </row>
    <row r="102">
      <c r="C102" s="22"/>
      <c r="G102" s="22"/>
    </row>
    <row r="103">
      <c r="C103" s="22"/>
      <c r="G103" s="22"/>
    </row>
    <row r="104">
      <c r="C104" s="22"/>
      <c r="G104" s="22"/>
    </row>
    <row r="105">
      <c r="C105" s="22"/>
      <c r="G105" s="22"/>
    </row>
    <row r="106">
      <c r="C106" s="22"/>
      <c r="G106" s="22"/>
    </row>
    <row r="107">
      <c r="C107" s="22"/>
      <c r="G107" s="22"/>
    </row>
    <row r="108">
      <c r="C108" s="22"/>
      <c r="G108" s="22"/>
    </row>
    <row r="109">
      <c r="C109" s="22"/>
      <c r="G109" s="22"/>
    </row>
    <row r="110">
      <c r="C110" s="22"/>
      <c r="G110" s="22"/>
    </row>
    <row r="111">
      <c r="C111" s="22"/>
      <c r="G111" s="22"/>
    </row>
    <row r="112">
      <c r="C112" s="22"/>
      <c r="G112" s="22"/>
    </row>
    <row r="113">
      <c r="C113" s="22"/>
      <c r="G113" s="22"/>
    </row>
    <row r="114">
      <c r="C114" s="22"/>
      <c r="G114" s="22"/>
    </row>
    <row r="115">
      <c r="C115" s="22"/>
      <c r="G115" s="22"/>
    </row>
    <row r="116">
      <c r="C116" s="22"/>
      <c r="G116" s="22"/>
    </row>
    <row r="117">
      <c r="C117" s="22"/>
      <c r="G117" s="22"/>
    </row>
    <row r="118">
      <c r="C118" s="22"/>
      <c r="G118" s="22"/>
    </row>
    <row r="119">
      <c r="C119" s="22"/>
      <c r="G119" s="22"/>
    </row>
    <row r="120">
      <c r="C120" s="22"/>
      <c r="G120" s="22"/>
    </row>
    <row r="121">
      <c r="C121" s="22"/>
      <c r="G121" s="22"/>
    </row>
    <row r="122">
      <c r="C122" s="22"/>
      <c r="G122" s="22"/>
    </row>
    <row r="123">
      <c r="C123" s="22"/>
      <c r="G123" s="22"/>
    </row>
    <row r="124">
      <c r="C124" s="22"/>
      <c r="G124" s="22"/>
    </row>
    <row r="125">
      <c r="C125" s="22"/>
      <c r="G125" s="22"/>
    </row>
    <row r="126">
      <c r="C126" s="22"/>
      <c r="G126" s="22"/>
    </row>
    <row r="127">
      <c r="C127" s="22"/>
      <c r="G127" s="22"/>
    </row>
    <row r="128">
      <c r="C128" s="22"/>
      <c r="G128" s="22"/>
    </row>
    <row r="129">
      <c r="C129" s="22"/>
      <c r="G129" s="22"/>
    </row>
    <row r="130">
      <c r="C130" s="22"/>
      <c r="G130" s="22"/>
    </row>
    <row r="131">
      <c r="C131" s="22"/>
      <c r="G131" s="22"/>
    </row>
    <row r="132">
      <c r="C132" s="22"/>
      <c r="G132" s="22"/>
    </row>
    <row r="133">
      <c r="C133" s="22"/>
      <c r="G133" s="22"/>
    </row>
    <row r="134">
      <c r="C134" s="22"/>
      <c r="G134" s="22"/>
    </row>
    <row r="135">
      <c r="C135" s="22"/>
      <c r="G135" s="22"/>
    </row>
    <row r="136">
      <c r="C136" s="22"/>
      <c r="G136" s="22"/>
    </row>
    <row r="137">
      <c r="C137" s="22"/>
      <c r="G137" s="22"/>
    </row>
    <row r="138">
      <c r="C138" s="22"/>
      <c r="G138" s="22"/>
    </row>
    <row r="139">
      <c r="C139" s="22"/>
      <c r="G139" s="22"/>
    </row>
    <row r="140">
      <c r="C140" s="22"/>
      <c r="G140" s="22"/>
    </row>
    <row r="141">
      <c r="C141" s="22"/>
      <c r="G141" s="22"/>
    </row>
    <row r="142">
      <c r="C142" s="22"/>
      <c r="G142" s="22"/>
    </row>
    <row r="143">
      <c r="C143" s="22"/>
      <c r="G143" s="22"/>
    </row>
    <row r="144">
      <c r="C144" s="22"/>
      <c r="G144" s="22"/>
    </row>
    <row r="145">
      <c r="C145" s="22"/>
      <c r="G145" s="22"/>
    </row>
    <row r="146">
      <c r="C146" s="22"/>
      <c r="G146" s="22"/>
    </row>
    <row r="147">
      <c r="C147" s="22"/>
      <c r="G147" s="22"/>
    </row>
    <row r="148">
      <c r="C148" s="22"/>
      <c r="G148" s="22"/>
    </row>
    <row r="149">
      <c r="C149" s="22"/>
      <c r="G149" s="22"/>
    </row>
    <row r="150">
      <c r="C150" s="22"/>
      <c r="G150" s="22"/>
    </row>
    <row r="151">
      <c r="C151" s="22"/>
      <c r="G151" s="22"/>
    </row>
    <row r="152">
      <c r="C152" s="22"/>
      <c r="G152" s="22"/>
    </row>
    <row r="153">
      <c r="C153" s="22"/>
      <c r="G153" s="22"/>
    </row>
    <row r="154">
      <c r="C154" s="22"/>
      <c r="G154" s="22"/>
    </row>
    <row r="155">
      <c r="C155" s="22"/>
      <c r="G155" s="22"/>
    </row>
    <row r="156">
      <c r="C156" s="22"/>
      <c r="G156" s="22"/>
    </row>
    <row r="157">
      <c r="C157" s="22"/>
      <c r="G157" s="22"/>
    </row>
    <row r="158">
      <c r="C158" s="22"/>
      <c r="G158" s="22"/>
    </row>
    <row r="159">
      <c r="C159" s="22"/>
      <c r="G159" s="22"/>
    </row>
    <row r="160">
      <c r="C160" s="22"/>
      <c r="G160" s="22"/>
    </row>
    <row r="161">
      <c r="C161" s="22"/>
      <c r="G161" s="22"/>
    </row>
    <row r="162">
      <c r="C162" s="22"/>
      <c r="G162" s="22"/>
    </row>
    <row r="163">
      <c r="C163" s="22"/>
      <c r="G163" s="22"/>
    </row>
    <row r="164">
      <c r="C164" s="22"/>
      <c r="G164" s="22"/>
    </row>
    <row r="165">
      <c r="C165" s="22"/>
      <c r="G165" s="22"/>
    </row>
    <row r="166">
      <c r="C166" s="22"/>
      <c r="G166" s="22"/>
    </row>
    <row r="167">
      <c r="C167" s="22"/>
      <c r="G167" s="22"/>
    </row>
    <row r="168">
      <c r="C168" s="22"/>
      <c r="G168" s="22"/>
    </row>
    <row r="169">
      <c r="C169" s="22"/>
      <c r="G169" s="22"/>
    </row>
    <row r="170">
      <c r="C170" s="22"/>
      <c r="G170" s="22"/>
    </row>
    <row r="171">
      <c r="C171" s="22"/>
      <c r="G171" s="22"/>
    </row>
    <row r="172">
      <c r="C172" s="22"/>
      <c r="G172" s="22"/>
    </row>
    <row r="173">
      <c r="C173" s="22"/>
      <c r="G173" s="22"/>
    </row>
    <row r="174">
      <c r="C174" s="22"/>
      <c r="G174" s="22"/>
    </row>
    <row r="175">
      <c r="C175" s="22"/>
      <c r="G175" s="22"/>
    </row>
    <row r="176">
      <c r="C176" s="22"/>
      <c r="G176" s="22"/>
    </row>
    <row r="177">
      <c r="C177" s="22"/>
      <c r="G177" s="22"/>
    </row>
    <row r="178">
      <c r="C178" s="22"/>
      <c r="G178" s="22"/>
    </row>
    <row r="179">
      <c r="C179" s="22"/>
      <c r="G179" s="22"/>
    </row>
    <row r="180">
      <c r="C180" s="22"/>
      <c r="G180" s="22"/>
    </row>
    <row r="181">
      <c r="C181" s="22"/>
      <c r="G181" s="22"/>
    </row>
    <row r="182">
      <c r="C182" s="22"/>
      <c r="G182" s="22"/>
    </row>
    <row r="183">
      <c r="C183" s="22"/>
      <c r="G183" s="22"/>
    </row>
    <row r="184">
      <c r="C184" s="22"/>
      <c r="G184" s="22"/>
    </row>
    <row r="185">
      <c r="C185" s="22"/>
      <c r="G185" s="22"/>
    </row>
    <row r="186">
      <c r="C186" s="22"/>
      <c r="G186" s="22"/>
    </row>
    <row r="187">
      <c r="C187" s="22"/>
      <c r="G187" s="22"/>
    </row>
    <row r="188">
      <c r="C188" s="22"/>
      <c r="G188" s="22"/>
    </row>
    <row r="189">
      <c r="C189" s="22"/>
      <c r="G189" s="22"/>
    </row>
    <row r="190">
      <c r="C190" s="22"/>
      <c r="G190" s="22"/>
    </row>
    <row r="191">
      <c r="C191" s="22"/>
      <c r="G191" s="22"/>
    </row>
    <row r="192">
      <c r="C192" s="22"/>
      <c r="G192" s="22"/>
    </row>
    <row r="193">
      <c r="C193" s="22"/>
      <c r="G193" s="22"/>
    </row>
    <row r="194">
      <c r="C194" s="22"/>
      <c r="G194" s="22"/>
    </row>
    <row r="195">
      <c r="C195" s="22"/>
      <c r="G195" s="22"/>
    </row>
    <row r="196">
      <c r="C196" s="22"/>
      <c r="G196" s="22"/>
    </row>
    <row r="197">
      <c r="C197" s="22"/>
      <c r="G197" s="22"/>
    </row>
    <row r="198">
      <c r="C198" s="22"/>
      <c r="G198" s="22"/>
    </row>
    <row r="199">
      <c r="C199" s="22"/>
      <c r="G199" s="22"/>
    </row>
    <row r="200">
      <c r="C200" s="22"/>
      <c r="G200" s="22"/>
    </row>
    <row r="201">
      <c r="C201" s="22"/>
      <c r="G201" s="22"/>
    </row>
    <row r="202">
      <c r="C202" s="22"/>
      <c r="G202" s="22"/>
    </row>
    <row r="203">
      <c r="C203" s="22"/>
      <c r="G203" s="22"/>
    </row>
    <row r="204">
      <c r="C204" s="22"/>
      <c r="G204" s="22"/>
    </row>
    <row r="205">
      <c r="C205" s="22"/>
      <c r="G205" s="22"/>
    </row>
    <row r="206">
      <c r="C206" s="22"/>
      <c r="G206" s="22"/>
    </row>
    <row r="207">
      <c r="C207" s="22"/>
      <c r="G207" s="22"/>
    </row>
    <row r="208">
      <c r="C208" s="22"/>
      <c r="G208" s="22"/>
    </row>
    <row r="209">
      <c r="C209" s="22"/>
      <c r="G209" s="22"/>
    </row>
    <row r="210">
      <c r="C210" s="22"/>
      <c r="G210" s="22"/>
    </row>
    <row r="211">
      <c r="C211" s="22"/>
      <c r="G211" s="22"/>
    </row>
    <row r="212">
      <c r="C212" s="22"/>
      <c r="G212" s="22"/>
    </row>
    <row r="213">
      <c r="C213" s="22"/>
      <c r="G213" s="22"/>
    </row>
    <row r="214">
      <c r="C214" s="22"/>
      <c r="G214" s="22"/>
    </row>
    <row r="215">
      <c r="C215" s="22"/>
      <c r="G215" s="22"/>
    </row>
    <row r="216">
      <c r="C216" s="22"/>
      <c r="G216" s="22"/>
    </row>
    <row r="217">
      <c r="C217" s="22"/>
      <c r="G217" s="22"/>
    </row>
    <row r="218">
      <c r="C218" s="22"/>
      <c r="G218" s="22"/>
    </row>
    <row r="219">
      <c r="C219" s="22"/>
      <c r="G219" s="22"/>
    </row>
    <row r="220">
      <c r="C220" s="22"/>
      <c r="G220" s="22"/>
    </row>
    <row r="221">
      <c r="C221" s="22"/>
      <c r="G221" s="22"/>
    </row>
    <row r="222">
      <c r="C222" s="22"/>
      <c r="G222" s="22"/>
    </row>
    <row r="223">
      <c r="C223" s="22"/>
      <c r="G223" s="22"/>
    </row>
    <row r="224">
      <c r="C224" s="22"/>
      <c r="G224" s="22"/>
    </row>
    <row r="225">
      <c r="C225" s="22"/>
      <c r="G225" s="22"/>
    </row>
    <row r="226">
      <c r="C226" s="22"/>
      <c r="G226" s="22"/>
    </row>
    <row r="227">
      <c r="C227" s="22"/>
      <c r="G227" s="22"/>
    </row>
    <row r="228">
      <c r="C228" s="22"/>
      <c r="G228" s="22"/>
    </row>
    <row r="229">
      <c r="C229" s="22"/>
      <c r="G229" s="22"/>
    </row>
    <row r="230">
      <c r="C230" s="22"/>
      <c r="G230" s="22"/>
    </row>
    <row r="231">
      <c r="C231" s="22"/>
      <c r="G231" s="22"/>
    </row>
    <row r="232">
      <c r="C232" s="22"/>
      <c r="G232" s="22"/>
    </row>
    <row r="233">
      <c r="C233" s="22"/>
      <c r="G233" s="22"/>
    </row>
    <row r="234">
      <c r="C234" s="22"/>
      <c r="G234" s="22"/>
    </row>
    <row r="235">
      <c r="C235" s="22"/>
      <c r="G235" s="22"/>
    </row>
    <row r="236">
      <c r="C236" s="22"/>
      <c r="G236" s="22"/>
    </row>
    <row r="237">
      <c r="C237" s="22"/>
      <c r="G237" s="22"/>
    </row>
    <row r="238">
      <c r="C238" s="22"/>
      <c r="G238" s="22"/>
    </row>
    <row r="239">
      <c r="C239" s="22"/>
      <c r="G239" s="22"/>
    </row>
    <row r="240">
      <c r="C240" s="22"/>
      <c r="G240" s="22"/>
    </row>
    <row r="241">
      <c r="C241" s="22"/>
      <c r="G241" s="22"/>
    </row>
    <row r="242">
      <c r="C242" s="22"/>
      <c r="G242" s="22"/>
    </row>
    <row r="243">
      <c r="C243" s="22"/>
      <c r="G243" s="22"/>
    </row>
    <row r="244">
      <c r="C244" s="22"/>
      <c r="G244" s="22"/>
    </row>
    <row r="245">
      <c r="C245" s="22"/>
      <c r="G245" s="22"/>
    </row>
    <row r="246">
      <c r="C246" s="22"/>
      <c r="G246" s="22"/>
    </row>
    <row r="247">
      <c r="C247" s="22"/>
      <c r="G247" s="22"/>
    </row>
    <row r="248">
      <c r="C248" s="22"/>
      <c r="G248" s="22"/>
    </row>
    <row r="249">
      <c r="C249" s="22"/>
      <c r="G249" s="22"/>
    </row>
    <row r="250">
      <c r="C250" s="22"/>
      <c r="G250" s="22"/>
    </row>
    <row r="251">
      <c r="C251" s="22"/>
      <c r="G251" s="22"/>
    </row>
    <row r="252">
      <c r="C252" s="22"/>
      <c r="G252" s="22"/>
    </row>
    <row r="253">
      <c r="C253" s="22"/>
      <c r="G253" s="22"/>
    </row>
    <row r="254">
      <c r="C254" s="22"/>
      <c r="G254" s="22"/>
    </row>
    <row r="255">
      <c r="C255" s="22"/>
      <c r="G255" s="22"/>
    </row>
    <row r="256">
      <c r="C256" s="22"/>
      <c r="G256" s="22"/>
    </row>
    <row r="257">
      <c r="C257" s="22"/>
      <c r="G257" s="22"/>
    </row>
    <row r="258">
      <c r="C258" s="22"/>
      <c r="G258" s="22"/>
    </row>
    <row r="259">
      <c r="C259" s="22"/>
      <c r="G259" s="22"/>
    </row>
    <row r="260">
      <c r="C260" s="22"/>
      <c r="G260" s="22"/>
    </row>
    <row r="261">
      <c r="C261" s="22"/>
      <c r="G261" s="22"/>
    </row>
    <row r="262">
      <c r="C262" s="22"/>
      <c r="G262" s="22"/>
    </row>
    <row r="263">
      <c r="C263" s="22"/>
      <c r="G263" s="22"/>
    </row>
    <row r="264">
      <c r="C264" s="22"/>
      <c r="G264" s="22"/>
    </row>
    <row r="265">
      <c r="C265" s="22"/>
      <c r="G265" s="22"/>
    </row>
    <row r="266">
      <c r="C266" s="22"/>
      <c r="G266" s="22"/>
    </row>
    <row r="267">
      <c r="C267" s="22"/>
      <c r="G267" s="22"/>
    </row>
    <row r="268">
      <c r="C268" s="22"/>
      <c r="G268" s="22"/>
    </row>
    <row r="269">
      <c r="C269" s="22"/>
      <c r="G269" s="22"/>
    </row>
    <row r="270">
      <c r="C270" s="22"/>
      <c r="G270" s="22"/>
    </row>
    <row r="271">
      <c r="C271" s="22"/>
      <c r="G271" s="22"/>
    </row>
    <row r="272">
      <c r="C272" s="22"/>
      <c r="G272" s="22"/>
    </row>
    <row r="273">
      <c r="C273" s="22"/>
      <c r="G273" s="22"/>
    </row>
    <row r="274">
      <c r="C274" s="22"/>
      <c r="G274" s="22"/>
    </row>
    <row r="275">
      <c r="C275" s="22"/>
      <c r="G275" s="22"/>
    </row>
    <row r="276">
      <c r="C276" s="22"/>
      <c r="G276" s="22"/>
    </row>
    <row r="277">
      <c r="C277" s="22"/>
      <c r="G277" s="22"/>
    </row>
    <row r="278">
      <c r="C278" s="22"/>
      <c r="G278" s="22"/>
    </row>
    <row r="279">
      <c r="C279" s="22"/>
      <c r="G279" s="22"/>
    </row>
    <row r="280">
      <c r="C280" s="22"/>
      <c r="G280" s="22"/>
    </row>
    <row r="281">
      <c r="C281" s="22"/>
      <c r="G281" s="22"/>
    </row>
    <row r="282">
      <c r="C282" s="22"/>
      <c r="G282" s="22"/>
    </row>
    <row r="283">
      <c r="C283" s="22"/>
      <c r="G283" s="22"/>
    </row>
    <row r="284">
      <c r="C284" s="22"/>
      <c r="G284" s="22"/>
    </row>
    <row r="285">
      <c r="C285" s="22"/>
      <c r="G285" s="22"/>
    </row>
    <row r="286">
      <c r="C286" s="22"/>
      <c r="G286" s="22"/>
    </row>
    <row r="287">
      <c r="C287" s="22"/>
      <c r="G287" s="22"/>
    </row>
    <row r="288">
      <c r="C288" s="22"/>
      <c r="G288" s="22"/>
    </row>
    <row r="289">
      <c r="C289" s="22"/>
      <c r="G289" s="22"/>
    </row>
    <row r="290">
      <c r="C290" s="22"/>
      <c r="G290" s="22"/>
    </row>
    <row r="291">
      <c r="C291" s="22"/>
      <c r="G291" s="22"/>
    </row>
    <row r="292">
      <c r="C292" s="22"/>
      <c r="G292" s="22"/>
    </row>
    <row r="293">
      <c r="C293" s="22"/>
      <c r="G293" s="22"/>
    </row>
    <row r="294">
      <c r="C294" s="22"/>
      <c r="G294" s="22"/>
    </row>
    <row r="295">
      <c r="C295" s="22"/>
      <c r="G295" s="22"/>
    </row>
    <row r="296">
      <c r="C296" s="22"/>
      <c r="G296" s="22"/>
    </row>
    <row r="297">
      <c r="C297" s="22"/>
      <c r="G297" s="22"/>
    </row>
    <row r="298">
      <c r="C298" s="22"/>
      <c r="G298" s="22"/>
    </row>
    <row r="299">
      <c r="C299" s="22"/>
      <c r="G299" s="22"/>
    </row>
    <row r="300">
      <c r="C300" s="22"/>
      <c r="G300" s="22"/>
    </row>
    <row r="301">
      <c r="C301" s="22"/>
      <c r="G301" s="22"/>
    </row>
    <row r="302">
      <c r="C302" s="22"/>
      <c r="G302" s="22"/>
    </row>
    <row r="303">
      <c r="C303" s="22"/>
      <c r="G303" s="22"/>
    </row>
    <row r="304">
      <c r="C304" s="22"/>
      <c r="G304" s="22"/>
    </row>
    <row r="305">
      <c r="C305" s="22"/>
      <c r="G305" s="22"/>
    </row>
    <row r="306">
      <c r="C306" s="22"/>
      <c r="G306" s="22"/>
    </row>
    <row r="307">
      <c r="C307" s="22"/>
      <c r="G307" s="22"/>
    </row>
    <row r="308">
      <c r="C308" s="22"/>
      <c r="G308" s="22"/>
    </row>
    <row r="309">
      <c r="C309" s="22"/>
      <c r="G309" s="22"/>
    </row>
    <row r="310">
      <c r="C310" s="22"/>
      <c r="G310" s="22"/>
    </row>
    <row r="311">
      <c r="C311" s="22"/>
      <c r="G311" s="22"/>
    </row>
    <row r="312">
      <c r="C312" s="22"/>
      <c r="G312" s="22"/>
    </row>
    <row r="313">
      <c r="C313" s="22"/>
      <c r="G313" s="22"/>
    </row>
    <row r="314">
      <c r="C314" s="22"/>
      <c r="G314" s="22"/>
    </row>
    <row r="315">
      <c r="C315" s="22"/>
      <c r="G315" s="22"/>
    </row>
    <row r="316">
      <c r="C316" s="22"/>
      <c r="G316" s="22"/>
    </row>
    <row r="317">
      <c r="C317" s="22"/>
      <c r="G317" s="22"/>
    </row>
    <row r="318">
      <c r="C318" s="22"/>
      <c r="G318" s="22"/>
    </row>
    <row r="319">
      <c r="C319" s="22"/>
      <c r="G319" s="22"/>
    </row>
    <row r="320">
      <c r="C320" s="22"/>
      <c r="G320" s="22"/>
    </row>
    <row r="321">
      <c r="C321" s="22"/>
      <c r="G321" s="22"/>
    </row>
    <row r="322">
      <c r="C322" s="22"/>
      <c r="G322" s="22"/>
    </row>
    <row r="323">
      <c r="C323" s="22"/>
      <c r="G323" s="22"/>
    </row>
    <row r="324">
      <c r="C324" s="22"/>
      <c r="G324" s="22"/>
    </row>
    <row r="325">
      <c r="C325" s="22"/>
      <c r="G325" s="22"/>
    </row>
    <row r="326">
      <c r="C326" s="22"/>
      <c r="G326" s="22"/>
    </row>
    <row r="327">
      <c r="C327" s="22"/>
      <c r="G327" s="22"/>
    </row>
    <row r="328">
      <c r="C328" s="22"/>
      <c r="G328" s="22"/>
    </row>
    <row r="329">
      <c r="C329" s="22"/>
      <c r="G329" s="22"/>
    </row>
    <row r="330">
      <c r="C330" s="22"/>
      <c r="G330" s="22"/>
    </row>
    <row r="331">
      <c r="C331" s="22"/>
      <c r="G331" s="22"/>
    </row>
    <row r="332">
      <c r="C332" s="22"/>
      <c r="G332" s="22"/>
    </row>
    <row r="333">
      <c r="C333" s="22"/>
      <c r="G333" s="22"/>
    </row>
    <row r="334">
      <c r="C334" s="22"/>
      <c r="G334" s="22"/>
    </row>
    <row r="335">
      <c r="C335" s="22"/>
      <c r="G335" s="22"/>
    </row>
    <row r="336">
      <c r="C336" s="22"/>
      <c r="G336" s="22"/>
    </row>
    <row r="337">
      <c r="C337" s="22"/>
      <c r="G337" s="22"/>
    </row>
    <row r="338">
      <c r="C338" s="22"/>
      <c r="G338" s="22"/>
    </row>
    <row r="339">
      <c r="C339" s="22"/>
      <c r="G339" s="22"/>
    </row>
    <row r="340">
      <c r="C340" s="22"/>
      <c r="G340" s="22"/>
    </row>
    <row r="341">
      <c r="C341" s="22"/>
      <c r="G341" s="22"/>
    </row>
    <row r="342">
      <c r="C342" s="22"/>
      <c r="G342" s="22"/>
    </row>
    <row r="343">
      <c r="C343" s="22"/>
      <c r="G343" s="22"/>
    </row>
    <row r="344">
      <c r="C344" s="22"/>
      <c r="G344" s="22"/>
    </row>
    <row r="345">
      <c r="C345" s="22"/>
      <c r="G345" s="22"/>
    </row>
    <row r="346">
      <c r="C346" s="22"/>
      <c r="G346" s="22"/>
    </row>
    <row r="347">
      <c r="C347" s="22"/>
      <c r="G347" s="22"/>
    </row>
    <row r="348">
      <c r="C348" s="22"/>
      <c r="G348" s="22"/>
    </row>
    <row r="349">
      <c r="C349" s="22"/>
      <c r="G349" s="22"/>
    </row>
    <row r="350">
      <c r="C350" s="22"/>
      <c r="G350" s="22"/>
    </row>
    <row r="351">
      <c r="C351" s="22"/>
      <c r="G351" s="22"/>
    </row>
    <row r="352">
      <c r="C352" s="22"/>
      <c r="G352" s="22"/>
    </row>
    <row r="353">
      <c r="C353" s="22"/>
      <c r="G353" s="22"/>
    </row>
    <row r="354">
      <c r="C354" s="22"/>
      <c r="G354" s="22"/>
    </row>
    <row r="355">
      <c r="C355" s="22"/>
      <c r="G355" s="22"/>
    </row>
    <row r="356">
      <c r="C356" s="22"/>
      <c r="G356" s="22"/>
    </row>
    <row r="357">
      <c r="C357" s="22"/>
      <c r="G357" s="22"/>
    </row>
    <row r="358">
      <c r="C358" s="22"/>
      <c r="G358" s="22"/>
    </row>
    <row r="359">
      <c r="C359" s="22"/>
      <c r="G359" s="22"/>
    </row>
    <row r="360">
      <c r="C360" s="22"/>
      <c r="G360" s="22"/>
    </row>
    <row r="361">
      <c r="C361" s="22"/>
      <c r="G361" s="22"/>
    </row>
    <row r="362">
      <c r="C362" s="22"/>
      <c r="G362" s="22"/>
    </row>
    <row r="363">
      <c r="C363" s="22"/>
      <c r="G363" s="22"/>
    </row>
    <row r="364">
      <c r="C364" s="22"/>
      <c r="G364" s="22"/>
    </row>
    <row r="365">
      <c r="C365" s="22"/>
      <c r="G365" s="22"/>
    </row>
    <row r="366">
      <c r="C366" s="22"/>
      <c r="G366" s="22"/>
    </row>
    <row r="367">
      <c r="C367" s="22"/>
      <c r="G367" s="22"/>
    </row>
    <row r="368">
      <c r="C368" s="22"/>
      <c r="G368" s="22"/>
    </row>
    <row r="369">
      <c r="C369" s="22"/>
      <c r="G369" s="22"/>
    </row>
    <row r="370">
      <c r="C370" s="22"/>
      <c r="G370" s="22"/>
    </row>
    <row r="371">
      <c r="C371" s="22"/>
      <c r="G371" s="22"/>
    </row>
    <row r="372">
      <c r="C372" s="22"/>
      <c r="G372" s="22"/>
    </row>
    <row r="373">
      <c r="C373" s="22"/>
      <c r="G373" s="22"/>
    </row>
    <row r="374">
      <c r="C374" s="22"/>
      <c r="G374" s="22"/>
    </row>
    <row r="375">
      <c r="C375" s="22"/>
      <c r="G375" s="22"/>
    </row>
    <row r="376">
      <c r="C376" s="22"/>
      <c r="G376" s="22"/>
    </row>
    <row r="377">
      <c r="C377" s="22"/>
      <c r="G377" s="22"/>
    </row>
    <row r="378">
      <c r="C378" s="22"/>
      <c r="G378" s="22"/>
    </row>
    <row r="379">
      <c r="C379" s="22"/>
      <c r="G379" s="22"/>
    </row>
    <row r="380">
      <c r="C380" s="22"/>
      <c r="G380" s="22"/>
    </row>
    <row r="381">
      <c r="C381" s="22"/>
      <c r="G381" s="22"/>
    </row>
    <row r="382">
      <c r="C382" s="22"/>
      <c r="G382" s="22"/>
    </row>
    <row r="383">
      <c r="C383" s="22"/>
      <c r="G383" s="22"/>
    </row>
    <row r="384">
      <c r="C384" s="22"/>
      <c r="G384" s="22"/>
    </row>
    <row r="385">
      <c r="C385" s="22"/>
      <c r="G385" s="22"/>
    </row>
    <row r="386">
      <c r="C386" s="22"/>
      <c r="G386" s="22"/>
    </row>
    <row r="387">
      <c r="C387" s="22"/>
      <c r="G387" s="22"/>
    </row>
    <row r="388">
      <c r="C388" s="22"/>
      <c r="G388" s="22"/>
    </row>
    <row r="389">
      <c r="C389" s="22"/>
      <c r="G389" s="22"/>
    </row>
    <row r="390">
      <c r="C390" s="22"/>
      <c r="G390" s="22"/>
    </row>
    <row r="391">
      <c r="C391" s="22"/>
      <c r="G391" s="22"/>
    </row>
    <row r="392">
      <c r="C392" s="22"/>
      <c r="G392" s="22"/>
    </row>
    <row r="393">
      <c r="C393" s="22"/>
      <c r="G393" s="22"/>
    </row>
    <row r="394">
      <c r="C394" s="22"/>
      <c r="G394" s="22"/>
    </row>
    <row r="395">
      <c r="C395" s="22"/>
      <c r="G395" s="22"/>
    </row>
    <row r="396">
      <c r="C396" s="22"/>
      <c r="G396" s="22"/>
    </row>
    <row r="397">
      <c r="C397" s="22"/>
      <c r="G397" s="22"/>
    </row>
    <row r="398">
      <c r="C398" s="22"/>
      <c r="G398" s="22"/>
    </row>
    <row r="399">
      <c r="C399" s="22"/>
      <c r="G399" s="22"/>
    </row>
    <row r="400">
      <c r="C400" s="22"/>
      <c r="G400" s="22"/>
    </row>
    <row r="401">
      <c r="C401" s="22"/>
      <c r="G401" s="22"/>
    </row>
    <row r="402">
      <c r="C402" s="22"/>
      <c r="G402" s="22"/>
    </row>
    <row r="403">
      <c r="C403" s="22"/>
      <c r="G403" s="22"/>
    </row>
    <row r="404">
      <c r="C404" s="22"/>
      <c r="G404" s="22"/>
    </row>
    <row r="405">
      <c r="C405" s="22"/>
      <c r="G405" s="22"/>
    </row>
    <row r="406">
      <c r="C406" s="22"/>
      <c r="G406" s="22"/>
    </row>
    <row r="407">
      <c r="C407" s="22"/>
      <c r="G407" s="22"/>
    </row>
    <row r="408">
      <c r="C408" s="22"/>
      <c r="G408" s="22"/>
    </row>
    <row r="409">
      <c r="C409" s="22"/>
      <c r="G409" s="22"/>
    </row>
    <row r="410">
      <c r="C410" s="22"/>
      <c r="G410" s="22"/>
    </row>
    <row r="411">
      <c r="C411" s="22"/>
      <c r="G411" s="22"/>
    </row>
    <row r="412">
      <c r="C412" s="22"/>
      <c r="G412" s="22"/>
    </row>
    <row r="413">
      <c r="C413" s="22"/>
      <c r="G413" s="22"/>
    </row>
    <row r="414">
      <c r="C414" s="22"/>
      <c r="G414" s="22"/>
    </row>
    <row r="415">
      <c r="C415" s="22"/>
      <c r="G415" s="22"/>
    </row>
    <row r="416">
      <c r="C416" s="22"/>
      <c r="G416" s="22"/>
    </row>
    <row r="417">
      <c r="C417" s="22"/>
      <c r="G417" s="22"/>
    </row>
    <row r="418">
      <c r="C418" s="22"/>
      <c r="G418" s="22"/>
    </row>
    <row r="419">
      <c r="C419" s="22"/>
      <c r="G419" s="22"/>
    </row>
    <row r="420">
      <c r="C420" s="22"/>
      <c r="G420" s="22"/>
    </row>
    <row r="421">
      <c r="C421" s="22"/>
      <c r="G421" s="22"/>
    </row>
    <row r="422">
      <c r="C422" s="22"/>
      <c r="G422" s="22"/>
    </row>
    <row r="423">
      <c r="C423" s="22"/>
      <c r="G423" s="22"/>
    </row>
    <row r="424">
      <c r="C424" s="22"/>
      <c r="G424" s="22"/>
    </row>
    <row r="425">
      <c r="C425" s="22"/>
      <c r="G425" s="22"/>
    </row>
    <row r="426">
      <c r="C426" s="22"/>
      <c r="G426" s="22"/>
    </row>
    <row r="427">
      <c r="C427" s="22"/>
      <c r="G427" s="22"/>
    </row>
    <row r="428">
      <c r="C428" s="22"/>
      <c r="G428" s="22"/>
    </row>
    <row r="429">
      <c r="C429" s="22"/>
      <c r="G429" s="22"/>
    </row>
    <row r="430">
      <c r="C430" s="22"/>
      <c r="G430" s="22"/>
    </row>
    <row r="431">
      <c r="C431" s="22"/>
      <c r="G431" s="22"/>
    </row>
    <row r="432">
      <c r="C432" s="22"/>
      <c r="G432" s="22"/>
    </row>
    <row r="433">
      <c r="C433" s="22"/>
      <c r="G433" s="22"/>
    </row>
    <row r="434">
      <c r="C434" s="22"/>
      <c r="G434" s="22"/>
    </row>
    <row r="435">
      <c r="C435" s="22"/>
      <c r="G435" s="22"/>
    </row>
    <row r="436">
      <c r="C436" s="22"/>
      <c r="G436" s="22"/>
    </row>
    <row r="437">
      <c r="C437" s="22"/>
      <c r="G437" s="22"/>
    </row>
    <row r="438">
      <c r="C438" s="22"/>
      <c r="G438" s="22"/>
    </row>
    <row r="439">
      <c r="C439" s="22"/>
      <c r="G439" s="22"/>
    </row>
    <row r="440">
      <c r="C440" s="22"/>
      <c r="G440" s="22"/>
    </row>
    <row r="441">
      <c r="C441" s="22"/>
      <c r="G441" s="22"/>
    </row>
    <row r="442">
      <c r="C442" s="22"/>
      <c r="G442" s="22"/>
    </row>
    <row r="443">
      <c r="C443" s="22"/>
      <c r="G443" s="22"/>
    </row>
    <row r="444">
      <c r="C444" s="22"/>
      <c r="G444" s="22"/>
    </row>
    <row r="445">
      <c r="C445" s="22"/>
      <c r="G445" s="22"/>
    </row>
    <row r="446">
      <c r="C446" s="22"/>
      <c r="G446" s="22"/>
    </row>
    <row r="447">
      <c r="C447" s="22"/>
      <c r="G447" s="22"/>
    </row>
    <row r="448">
      <c r="C448" s="22"/>
      <c r="G448" s="22"/>
    </row>
    <row r="449">
      <c r="C449" s="22"/>
      <c r="G449" s="22"/>
    </row>
    <row r="450">
      <c r="C450" s="22"/>
      <c r="G450" s="22"/>
    </row>
    <row r="451">
      <c r="C451" s="22"/>
      <c r="G451" s="22"/>
    </row>
    <row r="452">
      <c r="C452" s="22"/>
      <c r="G452" s="22"/>
    </row>
    <row r="453">
      <c r="C453" s="22"/>
      <c r="G453" s="22"/>
    </row>
    <row r="454">
      <c r="C454" s="22"/>
      <c r="G454" s="22"/>
    </row>
    <row r="455">
      <c r="C455" s="22"/>
      <c r="G455" s="22"/>
    </row>
    <row r="456">
      <c r="C456" s="22"/>
      <c r="G456" s="22"/>
    </row>
    <row r="457">
      <c r="C457" s="22"/>
      <c r="G457" s="22"/>
    </row>
    <row r="458">
      <c r="C458" s="22"/>
      <c r="G458" s="22"/>
    </row>
    <row r="459">
      <c r="C459" s="22"/>
      <c r="G459" s="22"/>
    </row>
    <row r="460">
      <c r="C460" s="22"/>
      <c r="G460" s="22"/>
    </row>
    <row r="461">
      <c r="C461" s="22"/>
      <c r="G461" s="22"/>
    </row>
    <row r="462">
      <c r="C462" s="22"/>
      <c r="G462" s="22"/>
    </row>
    <row r="463">
      <c r="C463" s="22"/>
      <c r="G463" s="22"/>
    </row>
    <row r="464">
      <c r="C464" s="22"/>
      <c r="G464" s="22"/>
    </row>
    <row r="465">
      <c r="C465" s="22"/>
      <c r="G465" s="22"/>
    </row>
    <row r="466">
      <c r="C466" s="22"/>
      <c r="G466" s="22"/>
    </row>
    <row r="467">
      <c r="C467" s="22"/>
      <c r="G467" s="22"/>
    </row>
    <row r="468">
      <c r="C468" s="22"/>
      <c r="G468" s="22"/>
    </row>
    <row r="469">
      <c r="C469" s="22"/>
      <c r="G469" s="22"/>
    </row>
    <row r="470">
      <c r="C470" s="22"/>
      <c r="G470" s="22"/>
    </row>
    <row r="471">
      <c r="C471" s="22"/>
      <c r="G471" s="22"/>
    </row>
    <row r="472">
      <c r="C472" s="22"/>
      <c r="G472" s="22"/>
    </row>
    <row r="473">
      <c r="C473" s="22"/>
      <c r="G473" s="22"/>
    </row>
    <row r="474">
      <c r="C474" s="22"/>
      <c r="G474" s="22"/>
    </row>
    <row r="475">
      <c r="C475" s="22"/>
      <c r="G475" s="22"/>
    </row>
    <row r="476">
      <c r="C476" s="22"/>
      <c r="G476" s="22"/>
    </row>
    <row r="477">
      <c r="C477" s="22"/>
      <c r="G477" s="22"/>
    </row>
    <row r="478">
      <c r="C478" s="22"/>
      <c r="G478" s="22"/>
    </row>
    <row r="479">
      <c r="C479" s="22"/>
      <c r="G479" s="22"/>
    </row>
    <row r="480">
      <c r="C480" s="22"/>
      <c r="G480" s="22"/>
    </row>
    <row r="481">
      <c r="C481" s="22"/>
      <c r="G481" s="22"/>
    </row>
    <row r="482">
      <c r="C482" s="22"/>
      <c r="G482" s="22"/>
    </row>
    <row r="483">
      <c r="C483" s="22"/>
      <c r="G483" s="22"/>
    </row>
    <row r="484">
      <c r="C484" s="22"/>
      <c r="G484" s="22"/>
    </row>
    <row r="485">
      <c r="C485" s="22"/>
      <c r="G485" s="22"/>
    </row>
    <row r="486">
      <c r="C486" s="22"/>
      <c r="G486" s="22"/>
    </row>
    <row r="487">
      <c r="C487" s="22"/>
      <c r="G487" s="22"/>
    </row>
    <row r="488">
      <c r="C488" s="22"/>
      <c r="G488" s="22"/>
    </row>
    <row r="489">
      <c r="C489" s="22"/>
      <c r="G489" s="22"/>
    </row>
    <row r="490">
      <c r="C490" s="22"/>
      <c r="G490" s="22"/>
    </row>
    <row r="491">
      <c r="C491" s="22"/>
      <c r="G491" s="22"/>
    </row>
    <row r="492">
      <c r="C492" s="22"/>
      <c r="G492" s="22"/>
    </row>
    <row r="493">
      <c r="C493" s="22"/>
      <c r="G493" s="22"/>
    </row>
    <row r="494">
      <c r="C494" s="22"/>
      <c r="G494" s="22"/>
    </row>
    <row r="495">
      <c r="C495" s="22"/>
      <c r="G495" s="22"/>
    </row>
    <row r="496">
      <c r="C496" s="22"/>
      <c r="G496" s="22"/>
    </row>
    <row r="497">
      <c r="C497" s="22"/>
      <c r="G497" s="22"/>
    </row>
    <row r="498">
      <c r="C498" s="22"/>
      <c r="G498" s="22"/>
    </row>
    <row r="499">
      <c r="C499" s="22"/>
      <c r="G499" s="22"/>
    </row>
    <row r="500">
      <c r="C500" s="22"/>
      <c r="G500" s="22"/>
    </row>
    <row r="501">
      <c r="C501" s="22"/>
      <c r="G501" s="22"/>
    </row>
    <row r="502">
      <c r="C502" s="22"/>
      <c r="G502" s="22"/>
    </row>
    <row r="503">
      <c r="C503" s="22"/>
      <c r="G503" s="22"/>
    </row>
    <row r="504">
      <c r="C504" s="22"/>
      <c r="G504" s="22"/>
    </row>
    <row r="505">
      <c r="C505" s="22"/>
      <c r="G505" s="22"/>
    </row>
    <row r="506">
      <c r="C506" s="22"/>
      <c r="G506" s="22"/>
    </row>
    <row r="507">
      <c r="C507" s="22"/>
      <c r="G507" s="22"/>
    </row>
    <row r="508">
      <c r="C508" s="22"/>
      <c r="G508" s="22"/>
    </row>
    <row r="509">
      <c r="C509" s="22"/>
      <c r="G509" s="22"/>
    </row>
    <row r="510">
      <c r="C510" s="22"/>
      <c r="G510" s="22"/>
    </row>
    <row r="511">
      <c r="C511" s="22"/>
      <c r="G511" s="22"/>
    </row>
    <row r="512">
      <c r="C512" s="22"/>
      <c r="G512" s="22"/>
    </row>
    <row r="513">
      <c r="C513" s="22"/>
      <c r="G513" s="22"/>
    </row>
    <row r="514">
      <c r="C514" s="22"/>
      <c r="G514" s="22"/>
    </row>
    <row r="515">
      <c r="C515" s="22"/>
      <c r="G515" s="22"/>
    </row>
    <row r="516">
      <c r="C516" s="22"/>
      <c r="G516" s="22"/>
    </row>
    <row r="517">
      <c r="C517" s="22"/>
      <c r="G517" s="22"/>
    </row>
    <row r="518">
      <c r="C518" s="22"/>
      <c r="G518" s="22"/>
    </row>
    <row r="519">
      <c r="C519" s="22"/>
      <c r="G519" s="22"/>
    </row>
    <row r="520">
      <c r="C520" s="22"/>
      <c r="G520" s="22"/>
    </row>
    <row r="521">
      <c r="C521" s="22"/>
      <c r="G521" s="22"/>
    </row>
    <row r="522">
      <c r="C522" s="22"/>
      <c r="G522" s="22"/>
    </row>
    <row r="523">
      <c r="C523" s="22"/>
      <c r="G523" s="22"/>
    </row>
    <row r="524">
      <c r="C524" s="22"/>
      <c r="G524" s="22"/>
    </row>
    <row r="525">
      <c r="C525" s="22"/>
      <c r="G525" s="22"/>
    </row>
    <row r="526">
      <c r="C526" s="22"/>
      <c r="G526" s="22"/>
    </row>
    <row r="527">
      <c r="C527" s="22"/>
      <c r="G527" s="22"/>
    </row>
    <row r="528">
      <c r="C528" s="22"/>
      <c r="G528" s="22"/>
    </row>
    <row r="529">
      <c r="C529" s="22"/>
      <c r="G529" s="22"/>
    </row>
    <row r="530">
      <c r="C530" s="22"/>
      <c r="G530" s="22"/>
    </row>
    <row r="531">
      <c r="C531" s="22"/>
      <c r="G531" s="22"/>
    </row>
    <row r="532">
      <c r="C532" s="22"/>
      <c r="G532" s="22"/>
    </row>
    <row r="533">
      <c r="C533" s="22"/>
      <c r="G533" s="22"/>
    </row>
    <row r="534">
      <c r="C534" s="22"/>
      <c r="G534" s="22"/>
    </row>
    <row r="535">
      <c r="C535" s="22"/>
      <c r="G535" s="22"/>
    </row>
    <row r="536">
      <c r="C536" s="22"/>
      <c r="G536" s="22"/>
    </row>
    <row r="537">
      <c r="C537" s="22"/>
      <c r="G537" s="22"/>
    </row>
    <row r="538">
      <c r="C538" s="22"/>
      <c r="G538" s="22"/>
    </row>
    <row r="539">
      <c r="C539" s="22"/>
      <c r="G539" s="22"/>
    </row>
    <row r="540">
      <c r="C540" s="22"/>
      <c r="G540" s="22"/>
    </row>
    <row r="541">
      <c r="C541" s="22"/>
      <c r="G541" s="22"/>
    </row>
    <row r="542">
      <c r="C542" s="22"/>
      <c r="G542" s="22"/>
    </row>
    <row r="543">
      <c r="C543" s="22"/>
      <c r="G543" s="22"/>
    </row>
    <row r="544">
      <c r="C544" s="22"/>
      <c r="G544" s="22"/>
    </row>
    <row r="545">
      <c r="C545" s="22"/>
      <c r="G545" s="22"/>
    </row>
    <row r="546">
      <c r="C546" s="22"/>
      <c r="G546" s="22"/>
    </row>
    <row r="547">
      <c r="C547" s="22"/>
      <c r="G547" s="22"/>
    </row>
    <row r="548">
      <c r="C548" s="22"/>
      <c r="G548" s="22"/>
    </row>
    <row r="549">
      <c r="C549" s="22"/>
      <c r="G549" s="22"/>
    </row>
    <row r="550">
      <c r="C550" s="22"/>
      <c r="G550" s="22"/>
    </row>
    <row r="551">
      <c r="C551" s="22"/>
      <c r="G551" s="22"/>
    </row>
    <row r="552">
      <c r="C552" s="22"/>
      <c r="G552" s="22"/>
    </row>
    <row r="553">
      <c r="C553" s="22"/>
      <c r="G553" s="22"/>
    </row>
    <row r="554">
      <c r="C554" s="22"/>
      <c r="G554" s="22"/>
    </row>
    <row r="555">
      <c r="C555" s="22"/>
      <c r="G555" s="22"/>
    </row>
    <row r="556">
      <c r="C556" s="22"/>
      <c r="G556" s="22"/>
    </row>
    <row r="557">
      <c r="C557" s="22"/>
      <c r="G557" s="22"/>
    </row>
    <row r="558">
      <c r="C558" s="22"/>
      <c r="G558" s="22"/>
    </row>
    <row r="559">
      <c r="C559" s="22"/>
      <c r="G559" s="22"/>
    </row>
    <row r="560">
      <c r="C560" s="22"/>
      <c r="G560" s="22"/>
    </row>
    <row r="561">
      <c r="C561" s="22"/>
      <c r="G561" s="22"/>
    </row>
    <row r="562">
      <c r="C562" s="22"/>
      <c r="G562" s="22"/>
    </row>
    <row r="563">
      <c r="C563" s="22"/>
      <c r="G563" s="22"/>
    </row>
    <row r="564">
      <c r="C564" s="22"/>
      <c r="G564" s="22"/>
    </row>
    <row r="565">
      <c r="C565" s="22"/>
      <c r="G565" s="22"/>
    </row>
    <row r="566">
      <c r="C566" s="22"/>
      <c r="G566" s="22"/>
    </row>
    <row r="567">
      <c r="C567" s="22"/>
      <c r="G567" s="22"/>
    </row>
    <row r="568">
      <c r="C568" s="22"/>
      <c r="G568" s="22"/>
    </row>
    <row r="569">
      <c r="C569" s="22"/>
      <c r="G569" s="22"/>
    </row>
    <row r="570">
      <c r="C570" s="22"/>
      <c r="G570" s="22"/>
    </row>
    <row r="571">
      <c r="C571" s="22"/>
      <c r="G571" s="22"/>
    </row>
    <row r="572">
      <c r="C572" s="22"/>
      <c r="G572" s="22"/>
    </row>
    <row r="573">
      <c r="C573" s="22"/>
      <c r="G573" s="22"/>
    </row>
    <row r="574">
      <c r="C574" s="22"/>
      <c r="G574" s="22"/>
    </row>
    <row r="575">
      <c r="C575" s="22"/>
      <c r="G575" s="22"/>
    </row>
    <row r="576">
      <c r="C576" s="22"/>
      <c r="G576" s="22"/>
    </row>
    <row r="577">
      <c r="C577" s="22"/>
      <c r="G577" s="22"/>
    </row>
    <row r="578">
      <c r="C578" s="22"/>
      <c r="G578" s="22"/>
    </row>
    <row r="579">
      <c r="C579" s="22"/>
      <c r="G579" s="22"/>
    </row>
    <row r="580">
      <c r="C580" s="22"/>
      <c r="G580" s="22"/>
    </row>
    <row r="581">
      <c r="C581" s="22"/>
      <c r="G581" s="22"/>
    </row>
    <row r="582">
      <c r="C582" s="22"/>
      <c r="G582" s="22"/>
    </row>
    <row r="583">
      <c r="C583" s="22"/>
      <c r="G583" s="22"/>
    </row>
    <row r="584">
      <c r="C584" s="22"/>
      <c r="G584" s="22"/>
    </row>
    <row r="585">
      <c r="C585" s="22"/>
      <c r="G585" s="22"/>
    </row>
    <row r="586">
      <c r="C586" s="22"/>
      <c r="G586" s="22"/>
    </row>
    <row r="587">
      <c r="C587" s="22"/>
      <c r="G587" s="22"/>
    </row>
    <row r="588">
      <c r="C588" s="22"/>
      <c r="G588" s="22"/>
    </row>
    <row r="589">
      <c r="C589" s="22"/>
      <c r="G589" s="22"/>
    </row>
    <row r="590">
      <c r="C590" s="22"/>
      <c r="G590" s="22"/>
    </row>
    <row r="591">
      <c r="C591" s="22"/>
      <c r="G591" s="22"/>
    </row>
    <row r="592">
      <c r="C592" s="22"/>
      <c r="G592" s="22"/>
    </row>
    <row r="593">
      <c r="C593" s="22"/>
      <c r="G593" s="22"/>
    </row>
    <row r="594">
      <c r="C594" s="22"/>
      <c r="G594" s="22"/>
    </row>
    <row r="595">
      <c r="C595" s="22"/>
      <c r="G595" s="22"/>
    </row>
    <row r="596">
      <c r="C596" s="22"/>
      <c r="G596" s="22"/>
    </row>
    <row r="597">
      <c r="C597" s="22"/>
      <c r="G597" s="22"/>
    </row>
    <row r="598">
      <c r="C598" s="22"/>
      <c r="G598" s="22"/>
    </row>
    <row r="599">
      <c r="C599" s="22"/>
      <c r="G599" s="22"/>
    </row>
    <row r="600">
      <c r="C600" s="22"/>
      <c r="G600" s="22"/>
    </row>
    <row r="601">
      <c r="C601" s="22"/>
      <c r="G601" s="22"/>
    </row>
    <row r="602">
      <c r="C602" s="22"/>
      <c r="G602" s="22"/>
    </row>
    <row r="603">
      <c r="C603" s="22"/>
      <c r="G603" s="22"/>
    </row>
    <row r="604">
      <c r="C604" s="22"/>
      <c r="G604" s="22"/>
    </row>
    <row r="605">
      <c r="C605" s="22"/>
      <c r="G605" s="22"/>
    </row>
    <row r="606">
      <c r="C606" s="22"/>
      <c r="G606" s="22"/>
    </row>
    <row r="607">
      <c r="C607" s="22"/>
      <c r="G607" s="22"/>
    </row>
    <row r="608">
      <c r="C608" s="22"/>
      <c r="G608" s="22"/>
    </row>
    <row r="609">
      <c r="C609" s="22"/>
      <c r="G609" s="22"/>
    </row>
    <row r="610">
      <c r="C610" s="22"/>
      <c r="G610" s="22"/>
    </row>
    <row r="611">
      <c r="C611" s="22"/>
      <c r="G611" s="22"/>
    </row>
    <row r="612">
      <c r="C612" s="22"/>
      <c r="G612" s="22"/>
    </row>
    <row r="613">
      <c r="C613" s="22"/>
      <c r="G613" s="22"/>
    </row>
    <row r="614">
      <c r="C614" s="22"/>
      <c r="G614" s="22"/>
    </row>
    <row r="615">
      <c r="C615" s="22"/>
      <c r="G615" s="22"/>
    </row>
    <row r="616">
      <c r="C616" s="22"/>
      <c r="G616" s="22"/>
    </row>
    <row r="617">
      <c r="C617" s="22"/>
      <c r="G617" s="22"/>
    </row>
    <row r="618">
      <c r="C618" s="22"/>
      <c r="G618" s="22"/>
    </row>
    <row r="619">
      <c r="C619" s="22"/>
      <c r="G619" s="22"/>
    </row>
    <row r="620">
      <c r="C620" s="22"/>
      <c r="G620" s="22"/>
    </row>
    <row r="621">
      <c r="C621" s="22"/>
      <c r="G621" s="22"/>
    </row>
    <row r="622">
      <c r="C622" s="22"/>
      <c r="G622" s="22"/>
    </row>
    <row r="623">
      <c r="C623" s="22"/>
      <c r="G623" s="22"/>
    </row>
    <row r="624">
      <c r="C624" s="22"/>
      <c r="G624" s="22"/>
    </row>
    <row r="625">
      <c r="C625" s="22"/>
      <c r="G625" s="22"/>
    </row>
    <row r="626">
      <c r="C626" s="22"/>
      <c r="G626" s="22"/>
    </row>
    <row r="627">
      <c r="C627" s="22"/>
      <c r="G627" s="22"/>
    </row>
    <row r="628">
      <c r="C628" s="22"/>
      <c r="G628" s="22"/>
    </row>
    <row r="629">
      <c r="C629" s="22"/>
      <c r="G629" s="22"/>
    </row>
    <row r="630">
      <c r="C630" s="22"/>
      <c r="G630" s="22"/>
    </row>
    <row r="631">
      <c r="C631" s="22"/>
      <c r="G631" s="22"/>
    </row>
    <row r="632">
      <c r="C632" s="22"/>
      <c r="G632" s="22"/>
    </row>
    <row r="633">
      <c r="C633" s="22"/>
      <c r="G633" s="22"/>
    </row>
    <row r="634">
      <c r="C634" s="22"/>
      <c r="G634" s="22"/>
    </row>
    <row r="635">
      <c r="C635" s="22"/>
      <c r="G635" s="22"/>
    </row>
    <row r="636">
      <c r="C636" s="22"/>
      <c r="G636" s="22"/>
    </row>
    <row r="637">
      <c r="C637" s="22"/>
      <c r="G637" s="22"/>
    </row>
    <row r="638">
      <c r="C638" s="22"/>
      <c r="G638" s="22"/>
    </row>
    <row r="639">
      <c r="C639" s="22"/>
      <c r="G639" s="22"/>
    </row>
    <row r="640">
      <c r="C640" s="22"/>
      <c r="G640" s="22"/>
    </row>
    <row r="641">
      <c r="C641" s="22"/>
      <c r="G641" s="22"/>
    </row>
    <row r="642">
      <c r="C642" s="22"/>
      <c r="G642" s="22"/>
    </row>
    <row r="643">
      <c r="C643" s="22"/>
      <c r="G643" s="22"/>
    </row>
    <row r="644">
      <c r="C644" s="22"/>
      <c r="G644" s="22"/>
    </row>
    <row r="645">
      <c r="C645" s="22"/>
      <c r="G645" s="22"/>
    </row>
    <row r="646">
      <c r="C646" s="22"/>
      <c r="G646" s="22"/>
    </row>
    <row r="647">
      <c r="C647" s="22"/>
      <c r="G647" s="22"/>
    </row>
    <row r="648">
      <c r="C648" s="22"/>
      <c r="G648" s="22"/>
    </row>
    <row r="649">
      <c r="C649" s="22"/>
      <c r="G649" s="22"/>
    </row>
    <row r="650">
      <c r="C650" s="22"/>
      <c r="G650" s="22"/>
    </row>
    <row r="651">
      <c r="C651" s="22"/>
      <c r="G651" s="22"/>
    </row>
    <row r="652">
      <c r="C652" s="22"/>
      <c r="G652" s="22"/>
    </row>
    <row r="653">
      <c r="C653" s="22"/>
      <c r="G653" s="22"/>
    </row>
    <row r="654">
      <c r="C654" s="22"/>
      <c r="G654" s="22"/>
    </row>
    <row r="655">
      <c r="C655" s="22"/>
      <c r="G655" s="22"/>
    </row>
    <row r="656">
      <c r="C656" s="22"/>
      <c r="G656" s="22"/>
    </row>
    <row r="657">
      <c r="C657" s="22"/>
      <c r="G657" s="22"/>
    </row>
    <row r="658">
      <c r="C658" s="22"/>
      <c r="G658" s="22"/>
    </row>
    <row r="659">
      <c r="C659" s="22"/>
      <c r="G659" s="22"/>
    </row>
    <row r="660">
      <c r="C660" s="22"/>
      <c r="G660" s="22"/>
    </row>
    <row r="661">
      <c r="C661" s="22"/>
      <c r="G661" s="22"/>
    </row>
    <row r="662">
      <c r="C662" s="22"/>
      <c r="G662" s="22"/>
    </row>
    <row r="663">
      <c r="C663" s="22"/>
      <c r="G663" s="22"/>
    </row>
    <row r="664">
      <c r="C664" s="22"/>
      <c r="G664" s="22"/>
    </row>
    <row r="665">
      <c r="C665" s="22"/>
      <c r="G665" s="22"/>
    </row>
    <row r="666">
      <c r="C666" s="22"/>
      <c r="G666" s="22"/>
    </row>
    <row r="667">
      <c r="C667" s="22"/>
      <c r="G667" s="22"/>
    </row>
    <row r="668">
      <c r="C668" s="22"/>
      <c r="G668" s="22"/>
    </row>
    <row r="669">
      <c r="C669" s="22"/>
      <c r="G669" s="22"/>
    </row>
    <row r="670">
      <c r="C670" s="22"/>
      <c r="G670" s="22"/>
    </row>
    <row r="671">
      <c r="C671" s="22"/>
      <c r="G671" s="22"/>
    </row>
    <row r="672">
      <c r="C672" s="22"/>
      <c r="G672" s="22"/>
    </row>
    <row r="673">
      <c r="C673" s="22"/>
      <c r="G673" s="22"/>
    </row>
    <row r="674">
      <c r="C674" s="22"/>
      <c r="G674" s="22"/>
    </row>
    <row r="675">
      <c r="C675" s="22"/>
      <c r="G675" s="22"/>
    </row>
    <row r="676">
      <c r="C676" s="22"/>
      <c r="G676" s="22"/>
    </row>
    <row r="677">
      <c r="C677" s="22"/>
      <c r="G677" s="22"/>
    </row>
    <row r="678">
      <c r="C678" s="22"/>
      <c r="G678" s="22"/>
    </row>
    <row r="679">
      <c r="C679" s="22"/>
      <c r="G679" s="22"/>
    </row>
    <row r="680">
      <c r="C680" s="22"/>
      <c r="G680" s="22"/>
    </row>
    <row r="681">
      <c r="C681" s="22"/>
      <c r="G681" s="22"/>
    </row>
    <row r="682">
      <c r="C682" s="22"/>
      <c r="G682" s="22"/>
    </row>
    <row r="683">
      <c r="C683" s="22"/>
      <c r="G683" s="22"/>
    </row>
    <row r="684">
      <c r="C684" s="22"/>
      <c r="G684" s="22"/>
    </row>
    <row r="685">
      <c r="C685" s="22"/>
      <c r="G685" s="22"/>
    </row>
    <row r="686">
      <c r="C686" s="22"/>
      <c r="G686" s="22"/>
    </row>
    <row r="687">
      <c r="C687" s="22"/>
      <c r="G687" s="22"/>
    </row>
    <row r="688">
      <c r="C688" s="22"/>
      <c r="G688" s="22"/>
    </row>
    <row r="689">
      <c r="C689" s="22"/>
      <c r="G689" s="22"/>
    </row>
    <row r="690">
      <c r="C690" s="22"/>
      <c r="G690" s="22"/>
    </row>
    <row r="691">
      <c r="C691" s="22"/>
      <c r="G691" s="22"/>
    </row>
    <row r="692">
      <c r="C692" s="22"/>
      <c r="G692" s="22"/>
    </row>
    <row r="693">
      <c r="C693" s="22"/>
      <c r="G693" s="22"/>
    </row>
    <row r="694">
      <c r="C694" s="22"/>
      <c r="G694" s="22"/>
    </row>
    <row r="695">
      <c r="C695" s="22"/>
      <c r="G695" s="22"/>
    </row>
    <row r="696">
      <c r="C696" s="22"/>
      <c r="G696" s="22"/>
    </row>
    <row r="697">
      <c r="C697" s="22"/>
      <c r="G697" s="22"/>
    </row>
    <row r="698">
      <c r="C698" s="22"/>
      <c r="G698" s="22"/>
    </row>
    <row r="699">
      <c r="C699" s="22"/>
      <c r="G699" s="22"/>
    </row>
    <row r="700">
      <c r="C700" s="22"/>
      <c r="G700" s="22"/>
    </row>
    <row r="701">
      <c r="C701" s="22"/>
      <c r="G701" s="22"/>
    </row>
    <row r="702">
      <c r="C702" s="22"/>
      <c r="G702" s="22"/>
    </row>
    <row r="703">
      <c r="C703" s="22"/>
      <c r="G703" s="22"/>
    </row>
    <row r="704">
      <c r="C704" s="22"/>
      <c r="G704" s="22"/>
    </row>
    <row r="705">
      <c r="C705" s="22"/>
      <c r="G705" s="22"/>
    </row>
    <row r="706">
      <c r="C706" s="22"/>
      <c r="G706" s="22"/>
    </row>
    <row r="707">
      <c r="C707" s="22"/>
      <c r="G707" s="22"/>
    </row>
    <row r="708">
      <c r="C708" s="22"/>
      <c r="G708" s="22"/>
    </row>
    <row r="709">
      <c r="C709" s="22"/>
      <c r="G709" s="22"/>
    </row>
    <row r="710">
      <c r="C710" s="22"/>
      <c r="G710" s="22"/>
    </row>
    <row r="711">
      <c r="C711" s="22"/>
      <c r="G711" s="22"/>
    </row>
    <row r="712">
      <c r="C712" s="22"/>
      <c r="G712" s="22"/>
    </row>
    <row r="713">
      <c r="C713" s="22"/>
      <c r="G713" s="22"/>
    </row>
    <row r="714">
      <c r="C714" s="22"/>
      <c r="G714" s="22"/>
    </row>
    <row r="715">
      <c r="C715" s="22"/>
      <c r="G715" s="22"/>
    </row>
    <row r="716">
      <c r="C716" s="22"/>
      <c r="G716" s="22"/>
    </row>
    <row r="717">
      <c r="C717" s="22"/>
      <c r="G717" s="22"/>
    </row>
    <row r="718">
      <c r="C718" s="22"/>
      <c r="G718" s="22"/>
    </row>
    <row r="719">
      <c r="C719" s="22"/>
      <c r="G719" s="22"/>
    </row>
    <row r="720">
      <c r="C720" s="22"/>
      <c r="G720" s="22"/>
    </row>
    <row r="721">
      <c r="C721" s="22"/>
      <c r="G721" s="22"/>
    </row>
    <row r="722">
      <c r="C722" s="22"/>
      <c r="G722" s="22"/>
    </row>
    <row r="723">
      <c r="C723" s="22"/>
      <c r="G723" s="22"/>
    </row>
    <row r="724">
      <c r="C724" s="22"/>
      <c r="G724" s="22"/>
    </row>
    <row r="725">
      <c r="C725" s="22"/>
      <c r="G725" s="22"/>
    </row>
    <row r="726">
      <c r="C726" s="22"/>
      <c r="G726" s="22"/>
    </row>
    <row r="727">
      <c r="C727" s="22"/>
      <c r="G727" s="22"/>
    </row>
    <row r="728">
      <c r="C728" s="22"/>
      <c r="G728" s="22"/>
    </row>
    <row r="729">
      <c r="C729" s="22"/>
      <c r="G729" s="22"/>
    </row>
    <row r="730">
      <c r="C730" s="22"/>
      <c r="G730" s="22"/>
    </row>
    <row r="731">
      <c r="C731" s="22"/>
      <c r="G731" s="22"/>
    </row>
    <row r="732">
      <c r="C732" s="22"/>
      <c r="G732" s="22"/>
    </row>
    <row r="733">
      <c r="C733" s="22"/>
      <c r="G733" s="22"/>
    </row>
    <row r="734">
      <c r="C734" s="22"/>
      <c r="G734" s="22"/>
    </row>
    <row r="735">
      <c r="C735" s="22"/>
      <c r="G735" s="22"/>
    </row>
    <row r="736">
      <c r="C736" s="22"/>
      <c r="G736" s="22"/>
    </row>
    <row r="737">
      <c r="C737" s="22"/>
      <c r="G737" s="22"/>
    </row>
    <row r="738">
      <c r="C738" s="22"/>
      <c r="G738" s="22"/>
    </row>
    <row r="739">
      <c r="C739" s="22"/>
      <c r="G739" s="22"/>
    </row>
    <row r="740">
      <c r="C740" s="22"/>
      <c r="G740" s="22"/>
    </row>
    <row r="741">
      <c r="C741" s="22"/>
      <c r="G741" s="22"/>
    </row>
    <row r="742">
      <c r="C742" s="22"/>
      <c r="G742" s="22"/>
    </row>
    <row r="743">
      <c r="C743" s="22"/>
      <c r="G743" s="22"/>
    </row>
    <row r="744">
      <c r="C744" s="22"/>
      <c r="G744" s="22"/>
    </row>
    <row r="745">
      <c r="C745" s="22"/>
      <c r="G745" s="22"/>
    </row>
    <row r="746">
      <c r="C746" s="22"/>
      <c r="G746" s="22"/>
    </row>
    <row r="747">
      <c r="C747" s="22"/>
      <c r="G747" s="22"/>
    </row>
    <row r="748">
      <c r="C748" s="22"/>
      <c r="G748" s="22"/>
    </row>
    <row r="749">
      <c r="C749" s="22"/>
      <c r="G749" s="22"/>
    </row>
    <row r="750">
      <c r="C750" s="22"/>
      <c r="G750" s="22"/>
    </row>
    <row r="751">
      <c r="C751" s="22"/>
      <c r="G751" s="22"/>
    </row>
    <row r="752">
      <c r="C752" s="22"/>
      <c r="G752" s="22"/>
    </row>
    <row r="753">
      <c r="C753" s="22"/>
      <c r="G753" s="22"/>
    </row>
    <row r="754">
      <c r="C754" s="22"/>
      <c r="G754" s="22"/>
    </row>
    <row r="755">
      <c r="C755" s="22"/>
      <c r="G755" s="22"/>
    </row>
    <row r="756">
      <c r="C756" s="22"/>
      <c r="G756" s="22"/>
    </row>
    <row r="757">
      <c r="C757" s="22"/>
      <c r="G757" s="22"/>
    </row>
    <row r="758">
      <c r="C758" s="22"/>
      <c r="G758" s="22"/>
    </row>
    <row r="759">
      <c r="C759" s="22"/>
      <c r="G759" s="22"/>
    </row>
    <row r="760">
      <c r="C760" s="22"/>
      <c r="G760" s="22"/>
    </row>
    <row r="761">
      <c r="C761" s="22"/>
      <c r="G761" s="22"/>
    </row>
    <row r="762">
      <c r="C762" s="22"/>
      <c r="G762" s="22"/>
    </row>
    <row r="763">
      <c r="C763" s="22"/>
      <c r="G763" s="22"/>
    </row>
    <row r="764">
      <c r="C764" s="22"/>
      <c r="G764" s="22"/>
    </row>
    <row r="765">
      <c r="C765" s="22"/>
      <c r="G765" s="22"/>
    </row>
    <row r="766">
      <c r="C766" s="22"/>
      <c r="G766" s="22"/>
    </row>
    <row r="767">
      <c r="C767" s="22"/>
      <c r="G767" s="22"/>
    </row>
    <row r="768">
      <c r="C768" s="22"/>
      <c r="G768" s="22"/>
    </row>
    <row r="769">
      <c r="C769" s="22"/>
      <c r="G769" s="22"/>
    </row>
    <row r="770">
      <c r="C770" s="22"/>
      <c r="G770" s="22"/>
    </row>
    <row r="771">
      <c r="C771" s="22"/>
      <c r="G771" s="22"/>
    </row>
    <row r="772">
      <c r="C772" s="22"/>
      <c r="G772" s="22"/>
    </row>
    <row r="773">
      <c r="C773" s="22"/>
      <c r="G773" s="22"/>
    </row>
    <row r="774">
      <c r="C774" s="22"/>
      <c r="G774" s="22"/>
    </row>
    <row r="775">
      <c r="C775" s="22"/>
      <c r="G775" s="22"/>
    </row>
    <row r="776">
      <c r="C776" s="22"/>
      <c r="G776" s="22"/>
    </row>
    <row r="777">
      <c r="C777" s="22"/>
      <c r="G777" s="22"/>
    </row>
    <row r="778">
      <c r="C778" s="22"/>
      <c r="G778" s="22"/>
    </row>
    <row r="779">
      <c r="C779" s="22"/>
      <c r="G779" s="22"/>
    </row>
    <row r="780">
      <c r="C780" s="22"/>
      <c r="G780" s="22"/>
    </row>
    <row r="781">
      <c r="C781" s="22"/>
      <c r="G781" s="22"/>
    </row>
    <row r="782">
      <c r="C782" s="22"/>
      <c r="G782" s="22"/>
    </row>
    <row r="783">
      <c r="C783" s="22"/>
      <c r="G783" s="22"/>
    </row>
    <row r="784">
      <c r="C784" s="22"/>
      <c r="G784" s="22"/>
    </row>
    <row r="785">
      <c r="C785" s="22"/>
      <c r="G785" s="22"/>
    </row>
    <row r="786">
      <c r="C786" s="22"/>
      <c r="G786" s="22"/>
    </row>
    <row r="787">
      <c r="C787" s="22"/>
      <c r="G787" s="22"/>
    </row>
    <row r="788">
      <c r="C788" s="22"/>
      <c r="G788" s="22"/>
    </row>
    <row r="789">
      <c r="C789" s="22"/>
      <c r="G789" s="22"/>
    </row>
    <row r="790">
      <c r="C790" s="22"/>
      <c r="G790" s="22"/>
    </row>
    <row r="791">
      <c r="C791" s="22"/>
      <c r="G791" s="22"/>
    </row>
    <row r="792">
      <c r="C792" s="22"/>
      <c r="G792" s="22"/>
    </row>
    <row r="793">
      <c r="C793" s="22"/>
      <c r="G793" s="22"/>
    </row>
    <row r="794">
      <c r="C794" s="22"/>
      <c r="G794" s="22"/>
    </row>
    <row r="795">
      <c r="C795" s="22"/>
      <c r="G795" s="22"/>
    </row>
    <row r="796">
      <c r="C796" s="22"/>
      <c r="G796" s="22"/>
    </row>
    <row r="797">
      <c r="C797" s="22"/>
      <c r="G797" s="22"/>
    </row>
    <row r="798">
      <c r="C798" s="22"/>
      <c r="G798" s="22"/>
    </row>
    <row r="799">
      <c r="C799" s="22"/>
      <c r="G799" s="22"/>
    </row>
    <row r="800">
      <c r="C800" s="22"/>
      <c r="G800" s="22"/>
    </row>
    <row r="801">
      <c r="C801" s="22"/>
      <c r="G801" s="22"/>
    </row>
    <row r="802">
      <c r="C802" s="22"/>
      <c r="G802" s="22"/>
    </row>
    <row r="803">
      <c r="C803" s="22"/>
      <c r="G803" s="22"/>
    </row>
    <row r="804">
      <c r="C804" s="22"/>
      <c r="G804" s="22"/>
    </row>
    <row r="805">
      <c r="C805" s="22"/>
      <c r="G805" s="22"/>
    </row>
    <row r="806">
      <c r="C806" s="22"/>
      <c r="G806" s="22"/>
    </row>
    <row r="807">
      <c r="C807" s="22"/>
      <c r="G807" s="22"/>
    </row>
    <row r="808">
      <c r="C808" s="22"/>
      <c r="G808" s="22"/>
    </row>
    <row r="809">
      <c r="C809" s="22"/>
      <c r="G809" s="22"/>
    </row>
    <row r="810">
      <c r="C810" s="22"/>
      <c r="G810" s="22"/>
    </row>
    <row r="811">
      <c r="C811" s="22"/>
      <c r="G811" s="22"/>
    </row>
    <row r="812">
      <c r="C812" s="22"/>
      <c r="G812" s="22"/>
    </row>
    <row r="813">
      <c r="C813" s="22"/>
      <c r="G813" s="22"/>
    </row>
    <row r="814">
      <c r="C814" s="22"/>
      <c r="G814" s="22"/>
    </row>
    <row r="815">
      <c r="C815" s="22"/>
      <c r="G815" s="22"/>
    </row>
    <row r="816">
      <c r="C816" s="22"/>
      <c r="G816" s="22"/>
    </row>
    <row r="817">
      <c r="C817" s="22"/>
      <c r="G817" s="22"/>
    </row>
    <row r="818">
      <c r="C818" s="22"/>
      <c r="G818" s="22"/>
    </row>
    <row r="819">
      <c r="C819" s="22"/>
      <c r="G819" s="22"/>
    </row>
    <row r="820">
      <c r="C820" s="22"/>
      <c r="G820" s="22"/>
    </row>
    <row r="821">
      <c r="C821" s="22"/>
      <c r="G821" s="22"/>
    </row>
    <row r="822">
      <c r="C822" s="22"/>
      <c r="G822" s="22"/>
    </row>
    <row r="823">
      <c r="C823" s="22"/>
      <c r="G823" s="22"/>
    </row>
    <row r="824">
      <c r="C824" s="22"/>
      <c r="G824" s="22"/>
    </row>
    <row r="825">
      <c r="C825" s="22"/>
      <c r="G825" s="22"/>
    </row>
    <row r="826">
      <c r="C826" s="22"/>
      <c r="G826" s="22"/>
    </row>
    <row r="827">
      <c r="C827" s="22"/>
      <c r="G827" s="22"/>
    </row>
    <row r="828">
      <c r="C828" s="22"/>
      <c r="G828" s="22"/>
    </row>
    <row r="829">
      <c r="C829" s="22"/>
      <c r="G829" s="22"/>
    </row>
    <row r="830">
      <c r="C830" s="22"/>
      <c r="G830" s="22"/>
    </row>
    <row r="831">
      <c r="C831" s="22"/>
      <c r="G831" s="22"/>
    </row>
    <row r="832">
      <c r="C832" s="22"/>
      <c r="G832" s="22"/>
    </row>
    <row r="833">
      <c r="C833" s="22"/>
      <c r="G833" s="22"/>
    </row>
    <row r="834">
      <c r="C834" s="22"/>
      <c r="G834" s="22"/>
    </row>
    <row r="835">
      <c r="C835" s="22"/>
      <c r="G835" s="22"/>
    </row>
    <row r="836">
      <c r="C836" s="22"/>
      <c r="G836" s="22"/>
    </row>
    <row r="837">
      <c r="C837" s="22"/>
      <c r="G837" s="22"/>
    </row>
    <row r="838">
      <c r="C838" s="22"/>
      <c r="G838" s="22"/>
    </row>
    <row r="839">
      <c r="C839" s="22"/>
      <c r="G839" s="22"/>
    </row>
    <row r="840">
      <c r="C840" s="22"/>
      <c r="G840" s="22"/>
    </row>
    <row r="841">
      <c r="C841" s="22"/>
      <c r="G841" s="22"/>
    </row>
    <row r="842">
      <c r="C842" s="22"/>
      <c r="G842" s="22"/>
    </row>
    <row r="843">
      <c r="C843" s="22"/>
      <c r="G843" s="22"/>
    </row>
    <row r="844">
      <c r="C844" s="22"/>
      <c r="G844" s="22"/>
    </row>
    <row r="845">
      <c r="C845" s="22"/>
      <c r="G845" s="22"/>
    </row>
    <row r="846">
      <c r="C846" s="22"/>
      <c r="G846" s="22"/>
    </row>
    <row r="847">
      <c r="C847" s="22"/>
      <c r="G847" s="22"/>
    </row>
    <row r="848">
      <c r="C848" s="22"/>
      <c r="G848" s="22"/>
    </row>
    <row r="849">
      <c r="C849" s="22"/>
      <c r="G849" s="22"/>
    </row>
    <row r="850">
      <c r="C850" s="22"/>
      <c r="G850" s="22"/>
    </row>
    <row r="851">
      <c r="C851" s="22"/>
      <c r="G851" s="22"/>
    </row>
    <row r="852">
      <c r="C852" s="22"/>
      <c r="G852" s="22"/>
    </row>
    <row r="853">
      <c r="C853" s="22"/>
      <c r="G853" s="22"/>
    </row>
    <row r="854">
      <c r="C854" s="22"/>
      <c r="G854" s="22"/>
    </row>
    <row r="855">
      <c r="C855" s="22"/>
      <c r="G855" s="22"/>
    </row>
    <row r="856">
      <c r="C856" s="22"/>
      <c r="G856" s="22"/>
    </row>
    <row r="857">
      <c r="C857" s="22"/>
      <c r="G857" s="22"/>
    </row>
    <row r="858">
      <c r="C858" s="22"/>
      <c r="G858" s="22"/>
    </row>
    <row r="859">
      <c r="C859" s="22"/>
      <c r="G859" s="22"/>
    </row>
    <row r="860">
      <c r="C860" s="22"/>
      <c r="G860" s="22"/>
    </row>
    <row r="861">
      <c r="C861" s="22"/>
      <c r="G861" s="22"/>
    </row>
    <row r="862">
      <c r="C862" s="22"/>
      <c r="G862" s="22"/>
    </row>
    <row r="863">
      <c r="C863" s="22"/>
      <c r="G863" s="22"/>
    </row>
    <row r="864">
      <c r="C864" s="22"/>
      <c r="G864" s="22"/>
    </row>
    <row r="865">
      <c r="C865" s="22"/>
      <c r="G865" s="22"/>
    </row>
    <row r="866">
      <c r="C866" s="22"/>
      <c r="G866" s="22"/>
    </row>
    <row r="867">
      <c r="C867" s="22"/>
      <c r="G867" s="22"/>
    </row>
    <row r="868">
      <c r="C868" s="22"/>
      <c r="G868" s="22"/>
    </row>
    <row r="869">
      <c r="C869" s="22"/>
      <c r="G869" s="22"/>
    </row>
    <row r="870">
      <c r="C870" s="22"/>
      <c r="G870" s="22"/>
    </row>
    <row r="871">
      <c r="C871" s="22"/>
      <c r="G871" s="22"/>
    </row>
    <row r="872">
      <c r="C872" s="22"/>
      <c r="G872" s="22"/>
    </row>
    <row r="873">
      <c r="C873" s="22"/>
      <c r="G873" s="22"/>
    </row>
    <row r="874">
      <c r="C874" s="22"/>
      <c r="G874" s="22"/>
    </row>
    <row r="875">
      <c r="C875" s="22"/>
      <c r="G875" s="22"/>
    </row>
    <row r="876">
      <c r="C876" s="22"/>
      <c r="G876" s="22"/>
    </row>
    <row r="877">
      <c r="C877" s="22"/>
      <c r="G877" s="22"/>
    </row>
    <row r="878">
      <c r="C878" s="22"/>
      <c r="G878" s="22"/>
    </row>
    <row r="879">
      <c r="C879" s="22"/>
      <c r="G879" s="22"/>
    </row>
    <row r="880">
      <c r="C880" s="22"/>
      <c r="G880" s="22"/>
    </row>
    <row r="881">
      <c r="C881" s="22"/>
      <c r="G881" s="22"/>
    </row>
    <row r="882">
      <c r="C882" s="22"/>
      <c r="G882" s="22"/>
    </row>
    <row r="883">
      <c r="C883" s="22"/>
      <c r="G883" s="22"/>
    </row>
    <row r="884">
      <c r="C884" s="22"/>
      <c r="G884" s="22"/>
    </row>
    <row r="885">
      <c r="C885" s="22"/>
      <c r="G885" s="22"/>
    </row>
    <row r="886">
      <c r="C886" s="22"/>
      <c r="G886" s="22"/>
    </row>
    <row r="887">
      <c r="C887" s="22"/>
      <c r="G887" s="22"/>
    </row>
    <row r="888">
      <c r="C888" s="22"/>
      <c r="G888" s="22"/>
    </row>
    <row r="889">
      <c r="C889" s="22"/>
      <c r="G889" s="22"/>
    </row>
    <row r="890">
      <c r="C890" s="22"/>
      <c r="G890" s="22"/>
    </row>
    <row r="891">
      <c r="C891" s="22"/>
      <c r="G891" s="22"/>
    </row>
    <row r="892">
      <c r="C892" s="22"/>
      <c r="G892" s="22"/>
    </row>
    <row r="893">
      <c r="C893" s="22"/>
      <c r="G893" s="22"/>
    </row>
    <row r="894">
      <c r="C894" s="22"/>
      <c r="G894" s="22"/>
    </row>
    <row r="895">
      <c r="C895" s="22"/>
      <c r="G895" s="22"/>
    </row>
    <row r="896">
      <c r="C896" s="22"/>
      <c r="G896" s="22"/>
    </row>
    <row r="897">
      <c r="C897" s="22"/>
      <c r="G897" s="22"/>
    </row>
    <row r="898">
      <c r="C898" s="22"/>
      <c r="G898" s="22"/>
    </row>
    <row r="899">
      <c r="C899" s="22"/>
      <c r="G899" s="22"/>
    </row>
    <row r="900">
      <c r="C900" s="22"/>
      <c r="G900" s="22"/>
    </row>
    <row r="901">
      <c r="C901" s="22"/>
      <c r="G901" s="22"/>
    </row>
    <row r="902">
      <c r="C902" s="22"/>
      <c r="G902" s="22"/>
    </row>
    <row r="903">
      <c r="C903" s="22"/>
      <c r="G903" s="22"/>
    </row>
    <row r="904">
      <c r="C904" s="22"/>
      <c r="G904" s="22"/>
    </row>
    <row r="905">
      <c r="C905" s="22"/>
      <c r="G905" s="22"/>
    </row>
    <row r="906">
      <c r="C906" s="22"/>
      <c r="G906" s="22"/>
    </row>
    <row r="907">
      <c r="C907" s="22"/>
      <c r="G907" s="22"/>
    </row>
    <row r="908">
      <c r="C908" s="22"/>
      <c r="G908" s="22"/>
    </row>
    <row r="909">
      <c r="C909" s="22"/>
      <c r="G909" s="22"/>
    </row>
    <row r="910">
      <c r="C910" s="22"/>
      <c r="G910" s="22"/>
    </row>
    <row r="911">
      <c r="C911" s="22"/>
      <c r="G911" s="22"/>
    </row>
    <row r="912">
      <c r="C912" s="22"/>
      <c r="G912" s="22"/>
    </row>
    <row r="913">
      <c r="C913" s="22"/>
      <c r="G913" s="22"/>
    </row>
    <row r="914">
      <c r="C914" s="22"/>
      <c r="G914" s="22"/>
    </row>
    <row r="915">
      <c r="C915" s="22"/>
      <c r="G915" s="22"/>
    </row>
    <row r="916">
      <c r="C916" s="22"/>
      <c r="G916" s="22"/>
    </row>
    <row r="917">
      <c r="C917" s="22"/>
      <c r="G917" s="22"/>
    </row>
    <row r="918">
      <c r="C918" s="22"/>
      <c r="G918" s="22"/>
    </row>
    <row r="919">
      <c r="C919" s="22"/>
      <c r="G919" s="22"/>
    </row>
    <row r="920">
      <c r="C920" s="22"/>
      <c r="G920" s="22"/>
    </row>
    <row r="921">
      <c r="C921" s="22"/>
      <c r="G921" s="22"/>
    </row>
    <row r="922">
      <c r="C922" s="22"/>
      <c r="G922" s="22"/>
    </row>
    <row r="923">
      <c r="C923" s="22"/>
      <c r="G923" s="22"/>
    </row>
    <row r="924">
      <c r="C924" s="22"/>
      <c r="G924" s="22"/>
    </row>
    <row r="925">
      <c r="C925" s="22"/>
      <c r="G925" s="22"/>
    </row>
    <row r="926">
      <c r="C926" s="22"/>
      <c r="G926" s="22"/>
    </row>
    <row r="927">
      <c r="C927" s="22"/>
      <c r="G927" s="22"/>
    </row>
    <row r="928">
      <c r="C928" s="22"/>
      <c r="G928" s="22"/>
    </row>
    <row r="929">
      <c r="C929" s="22"/>
      <c r="G929" s="22"/>
    </row>
    <row r="930">
      <c r="C930" s="22"/>
      <c r="G930" s="22"/>
    </row>
    <row r="931">
      <c r="C931" s="22"/>
      <c r="G931" s="22"/>
    </row>
    <row r="932">
      <c r="C932" s="22"/>
      <c r="G932" s="22"/>
    </row>
    <row r="933">
      <c r="C933" s="22"/>
      <c r="G933" s="22"/>
    </row>
    <row r="934">
      <c r="C934" s="22"/>
      <c r="G934" s="22"/>
    </row>
    <row r="935">
      <c r="C935" s="22"/>
      <c r="G935" s="22"/>
    </row>
    <row r="936">
      <c r="C936" s="22"/>
      <c r="G936" s="22"/>
    </row>
    <row r="937">
      <c r="C937" s="22"/>
      <c r="G937" s="22"/>
    </row>
    <row r="938">
      <c r="C938" s="22"/>
      <c r="G938" s="22"/>
    </row>
    <row r="939">
      <c r="C939" s="22"/>
      <c r="G939" s="22"/>
    </row>
    <row r="940">
      <c r="C940" s="22"/>
      <c r="G940" s="22"/>
    </row>
    <row r="941">
      <c r="C941" s="22"/>
      <c r="G941" s="22"/>
    </row>
    <row r="942">
      <c r="C942" s="22"/>
      <c r="G942" s="22"/>
    </row>
    <row r="943">
      <c r="C943" s="22"/>
      <c r="G943" s="22"/>
    </row>
    <row r="944">
      <c r="C944" s="22"/>
      <c r="G944" s="22"/>
    </row>
    <row r="945">
      <c r="C945" s="22"/>
      <c r="G945" s="22"/>
    </row>
    <row r="946">
      <c r="C946" s="22"/>
      <c r="G946" s="22"/>
    </row>
    <row r="947">
      <c r="C947" s="22"/>
      <c r="G947" s="22"/>
    </row>
    <row r="948">
      <c r="C948" s="22"/>
      <c r="G948" s="22"/>
    </row>
    <row r="949">
      <c r="C949" s="22"/>
      <c r="G949" s="22"/>
    </row>
    <row r="950">
      <c r="C950" s="22"/>
      <c r="G950" s="22"/>
    </row>
    <row r="951">
      <c r="C951" s="22"/>
      <c r="G951" s="22"/>
    </row>
    <row r="952">
      <c r="C952" s="22"/>
      <c r="G952" s="22"/>
    </row>
    <row r="953">
      <c r="C953" s="22"/>
      <c r="G953" s="22"/>
    </row>
    <row r="954">
      <c r="C954" s="22"/>
      <c r="G954" s="22"/>
    </row>
    <row r="955">
      <c r="C955" s="22"/>
      <c r="G955" s="22"/>
    </row>
    <row r="956">
      <c r="C956" s="22"/>
      <c r="G956" s="22"/>
    </row>
    <row r="957">
      <c r="C957" s="22"/>
      <c r="G957" s="22"/>
    </row>
    <row r="958">
      <c r="C958" s="22"/>
      <c r="G958" s="22"/>
    </row>
    <row r="959">
      <c r="C959" s="22"/>
      <c r="G959" s="22"/>
    </row>
    <row r="960">
      <c r="C960" s="22"/>
      <c r="G960" s="22"/>
    </row>
    <row r="961">
      <c r="C961" s="22"/>
      <c r="G961" s="22"/>
    </row>
    <row r="962">
      <c r="C962" s="22"/>
      <c r="G962" s="22"/>
    </row>
    <row r="963">
      <c r="C963" s="22"/>
      <c r="G963" s="22"/>
    </row>
    <row r="964">
      <c r="C964" s="22"/>
      <c r="G964" s="22"/>
    </row>
    <row r="965">
      <c r="C965" s="22"/>
      <c r="G965" s="22"/>
    </row>
    <row r="966">
      <c r="C966" s="22"/>
      <c r="G966" s="22"/>
    </row>
    <row r="967">
      <c r="C967" s="22"/>
      <c r="G967" s="22"/>
    </row>
    <row r="968">
      <c r="C968" s="22"/>
      <c r="G968" s="22"/>
    </row>
    <row r="969">
      <c r="C969" s="22"/>
      <c r="G969" s="22"/>
    </row>
    <row r="970">
      <c r="C970" s="22"/>
      <c r="G970" s="22"/>
    </row>
    <row r="971">
      <c r="C971" s="22"/>
      <c r="G971" s="22"/>
    </row>
    <row r="972">
      <c r="C972" s="22"/>
      <c r="G972" s="22"/>
    </row>
    <row r="973">
      <c r="C973" s="22"/>
      <c r="G973" s="22"/>
    </row>
    <row r="974">
      <c r="C974" s="22"/>
      <c r="G974" s="22"/>
    </row>
    <row r="975">
      <c r="C975" s="22"/>
      <c r="G975" s="22"/>
    </row>
    <row r="976">
      <c r="C976" s="22"/>
      <c r="G976" s="22"/>
    </row>
    <row r="977">
      <c r="C977" s="22"/>
      <c r="G977" s="22"/>
    </row>
    <row r="978">
      <c r="C978" s="22"/>
      <c r="G978" s="22"/>
    </row>
    <row r="979">
      <c r="C979" s="22"/>
      <c r="G979" s="22"/>
    </row>
    <row r="980">
      <c r="C980" s="22"/>
      <c r="G980" s="22"/>
    </row>
    <row r="981">
      <c r="C981" s="22"/>
      <c r="G981" s="22"/>
    </row>
    <row r="982">
      <c r="C982" s="22"/>
      <c r="G982" s="22"/>
    </row>
    <row r="983">
      <c r="C983" s="22"/>
      <c r="G983" s="22"/>
    </row>
    <row r="984">
      <c r="C984" s="22"/>
      <c r="G984" s="22"/>
    </row>
    <row r="985">
      <c r="C985" s="22"/>
      <c r="G985" s="22"/>
    </row>
    <row r="986">
      <c r="C986" s="22"/>
      <c r="G986" s="22"/>
    </row>
    <row r="987">
      <c r="C987" s="22"/>
      <c r="G987" s="22"/>
    </row>
    <row r="988">
      <c r="C988" s="22"/>
      <c r="G988" s="22"/>
    </row>
    <row r="989">
      <c r="C989" s="22"/>
      <c r="G989" s="22"/>
    </row>
    <row r="990">
      <c r="C990" s="22"/>
      <c r="G990" s="22"/>
    </row>
    <row r="991">
      <c r="C991" s="22"/>
      <c r="G991" s="22"/>
    </row>
    <row r="992">
      <c r="C992" s="22"/>
      <c r="G992" s="22"/>
    </row>
    <row r="993">
      <c r="C993" s="22"/>
      <c r="G993" s="2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1.89"/>
    <col customWidth="1" min="2" max="2" width="13.0"/>
    <col customWidth="1" min="4" max="4" width="12.89"/>
    <col customWidth="1" min="13" max="13" width="13.22"/>
  </cols>
  <sheetData>
    <row r="2">
      <c r="B2" s="37" t="s">
        <v>39</v>
      </c>
      <c r="C2" s="38"/>
      <c r="D2" s="38"/>
      <c r="E2" s="39"/>
      <c r="L2" s="40"/>
      <c r="M2" s="40" t="s">
        <v>40</v>
      </c>
      <c r="N2" s="40"/>
    </row>
    <row r="3">
      <c r="B3" s="41"/>
      <c r="C3" s="15"/>
      <c r="D3" s="15"/>
      <c r="E3" s="42">
        <f>+SUM(E4:E14)</f>
        <v>1</v>
      </c>
      <c r="F3" s="15"/>
      <c r="G3" s="15"/>
      <c r="H3" s="15"/>
      <c r="L3" s="43"/>
      <c r="M3" s="43"/>
      <c r="N3" s="43"/>
    </row>
    <row r="4">
      <c r="B4" s="44" t="s">
        <v>41</v>
      </c>
      <c r="C4" s="15"/>
      <c r="D4" s="45">
        <f>+'Planilha de Rentabilidade'!E6</f>
        <v>-333138</v>
      </c>
      <c r="E4" s="42">
        <f t="shared" ref="E4:E14" si="1">D4/$E$15</f>
        <v>-0.1055914401</v>
      </c>
      <c r="F4" s="15"/>
      <c r="G4" s="15"/>
      <c r="H4" s="15"/>
      <c r="L4" s="43" t="s">
        <v>42</v>
      </c>
      <c r="M4" s="46">
        <f>SUM(D5:D7)</f>
        <v>416980.73</v>
      </c>
      <c r="N4" s="47">
        <f t="shared" ref="N4:N14" si="2">M4/$M$15</f>
        <v>0.1321662367</v>
      </c>
    </row>
    <row r="5">
      <c r="B5" s="44" t="s">
        <v>43</v>
      </c>
      <c r="C5" s="15"/>
      <c r="D5" s="45">
        <f>+'Planilha de Rentabilidade'!Q6</f>
        <v>63463</v>
      </c>
      <c r="E5" s="42">
        <f t="shared" si="1"/>
        <v>0.02011523622</v>
      </c>
      <c r="F5" s="15"/>
      <c r="G5" s="15"/>
      <c r="H5" s="15"/>
      <c r="L5" s="43"/>
      <c r="M5" s="43">
        <v>0.0</v>
      </c>
      <c r="N5" s="47">
        <f t="shared" si="2"/>
        <v>0</v>
      </c>
    </row>
    <row r="6">
      <c r="B6" s="44" t="s">
        <v>44</v>
      </c>
      <c r="C6" s="15"/>
      <c r="D6" s="45">
        <f>+'Planilha de Rentabilidade'!P6</f>
        <v>231658.11</v>
      </c>
      <c r="E6" s="42">
        <f t="shared" si="1"/>
        <v>0.07342636819</v>
      </c>
      <c r="F6" s="15"/>
      <c r="G6" s="15"/>
      <c r="H6" s="15"/>
      <c r="L6" s="43"/>
      <c r="M6" s="43">
        <v>0.0</v>
      </c>
      <c r="N6" s="47">
        <f t="shared" si="2"/>
        <v>0</v>
      </c>
    </row>
    <row r="7">
      <c r="B7" s="44" t="s">
        <v>45</v>
      </c>
      <c r="C7" s="15"/>
      <c r="D7" s="45">
        <f>'Planilha de Rentabilidade'!O6</f>
        <v>121859.62</v>
      </c>
      <c r="E7" s="42">
        <f t="shared" si="1"/>
        <v>0.03862463233</v>
      </c>
      <c r="F7" s="15"/>
      <c r="G7" s="15"/>
      <c r="H7" s="15"/>
      <c r="L7" s="43" t="s">
        <v>46</v>
      </c>
      <c r="M7" s="46">
        <f>+D11</f>
        <v>0</v>
      </c>
      <c r="N7" s="47">
        <f t="shared" si="2"/>
        <v>0</v>
      </c>
    </row>
    <row r="8">
      <c r="B8" s="44" t="s">
        <v>47</v>
      </c>
      <c r="C8" s="15"/>
      <c r="D8" s="45">
        <f>'Planilha de Rentabilidade'!C6+'Planilha de Rentabilidade'!D6+'Planilha de Rentabilidade'!S6+'Planilha de Rentabilidade'!F6</f>
        <v>186765.12</v>
      </c>
      <c r="E8" s="42">
        <f t="shared" si="1"/>
        <v>0.05919708343</v>
      </c>
      <c r="F8" s="15"/>
      <c r="G8" s="15"/>
      <c r="H8" s="15"/>
      <c r="L8" s="43" t="s">
        <v>48</v>
      </c>
      <c r="M8" s="46">
        <f>D8+D12+D13</f>
        <v>973746.18</v>
      </c>
      <c r="N8" s="47">
        <f t="shared" si="2"/>
        <v>0.3086386466</v>
      </c>
    </row>
    <row r="9">
      <c r="B9" s="44" t="s">
        <v>49</v>
      </c>
      <c r="C9" s="15"/>
      <c r="D9" s="45">
        <f>'Planilha de Rentabilidade'!L6</f>
        <v>89125.92</v>
      </c>
      <c r="E9" s="42">
        <f t="shared" si="1"/>
        <v>0.02824935685</v>
      </c>
      <c r="F9" s="15"/>
      <c r="G9" s="15"/>
      <c r="H9" s="15"/>
      <c r="L9" s="48" t="s">
        <v>50</v>
      </c>
      <c r="M9" s="46">
        <f>+D10</f>
        <v>339349</v>
      </c>
      <c r="N9" s="47">
        <f t="shared" si="2"/>
        <v>0.107560079</v>
      </c>
    </row>
    <row r="10">
      <c r="B10" s="44" t="s">
        <v>51</v>
      </c>
      <c r="C10" s="15"/>
      <c r="D10" s="45">
        <f>'Planilha de Rentabilidade'!M6</f>
        <v>339349</v>
      </c>
      <c r="E10" s="42">
        <f t="shared" si="1"/>
        <v>0.107560079</v>
      </c>
      <c r="F10" s="15"/>
      <c r="G10" s="15"/>
      <c r="H10" s="15"/>
      <c r="L10" s="43" t="s">
        <v>49</v>
      </c>
      <c r="M10" s="46">
        <f>D9</f>
        <v>89125.92</v>
      </c>
      <c r="N10" s="47">
        <f t="shared" si="2"/>
        <v>0.02824935685</v>
      </c>
    </row>
    <row r="11">
      <c r="B11" s="44" t="s">
        <v>46</v>
      </c>
      <c r="C11" s="15"/>
      <c r="D11" s="45">
        <f>0</f>
        <v>0</v>
      </c>
      <c r="E11" s="42">
        <f t="shared" si="1"/>
        <v>0</v>
      </c>
      <c r="F11" s="15"/>
      <c r="G11" s="15"/>
      <c r="H11" s="15"/>
      <c r="L11" s="43"/>
      <c r="M11" s="43"/>
      <c r="N11" s="47">
        <f t="shared" si="2"/>
        <v>0</v>
      </c>
    </row>
    <row r="12">
      <c r="B12" s="44" t="s">
        <v>52</v>
      </c>
      <c r="C12" s="15"/>
      <c r="D12" s="45">
        <f>'Planilha de Rentabilidade'!G6+'Planilha de Rentabilidade'!I6+'Planilha de Rentabilidade'!J6</f>
        <v>541210.38</v>
      </c>
      <c r="E12" s="42">
        <f t="shared" si="1"/>
        <v>0.1715420739</v>
      </c>
      <c r="F12" s="15"/>
      <c r="G12" s="15"/>
      <c r="H12" s="15"/>
      <c r="L12" s="43" t="s">
        <v>41</v>
      </c>
      <c r="M12" s="46">
        <f>+D4</f>
        <v>-333138</v>
      </c>
      <c r="N12" s="47">
        <f t="shared" si="2"/>
        <v>-0.1055914401</v>
      </c>
    </row>
    <row r="13">
      <c r="B13" s="44" t="s">
        <v>53</v>
      </c>
      <c r="C13" s="15"/>
      <c r="D13" s="45">
        <f>'Planilha de Rentabilidade'!H6+'Planilha de Rentabilidade'!K6</f>
        <v>245770.68</v>
      </c>
      <c r="E13" s="42">
        <f t="shared" si="1"/>
        <v>0.07789948921</v>
      </c>
      <c r="F13" s="15"/>
      <c r="G13" s="15"/>
      <c r="H13" s="15"/>
      <c r="L13" s="43"/>
      <c r="M13" s="43"/>
      <c r="N13" s="47">
        <f t="shared" si="2"/>
        <v>0</v>
      </c>
    </row>
    <row r="14">
      <c r="B14" s="44" t="s">
        <v>54</v>
      </c>
      <c r="C14" s="15"/>
      <c r="D14" s="45">
        <f>B33</f>
        <v>1668907.82</v>
      </c>
      <c r="E14" s="42">
        <f t="shared" si="1"/>
        <v>0.5289771209</v>
      </c>
      <c r="F14" s="15"/>
      <c r="G14" s="15"/>
      <c r="H14" s="15"/>
      <c r="L14" s="43" t="s">
        <v>55</v>
      </c>
      <c r="M14" s="46">
        <f>D14</f>
        <v>1668907.82</v>
      </c>
      <c r="N14" s="47">
        <f t="shared" si="2"/>
        <v>0.5289771209</v>
      </c>
    </row>
    <row r="15">
      <c r="B15" s="49"/>
      <c r="C15" s="50" t="s">
        <v>56</v>
      </c>
      <c r="D15" s="50"/>
      <c r="E15" s="51">
        <f>SUM(D4:D14)</f>
        <v>3154971.65</v>
      </c>
      <c r="F15" s="15"/>
      <c r="G15" s="15"/>
      <c r="H15" s="15"/>
      <c r="L15" s="52"/>
      <c r="M15" s="53">
        <f t="shared" ref="M15:N15" si="3">SUM(M4:M14)</f>
        <v>3154971.65</v>
      </c>
      <c r="N15" s="54">
        <f t="shared" si="3"/>
        <v>1</v>
      </c>
    </row>
    <row r="16">
      <c r="C16" s="55"/>
      <c r="D16" s="15"/>
      <c r="E16" s="15"/>
      <c r="F16" s="15"/>
      <c r="G16" s="15"/>
      <c r="H16" s="15"/>
    </row>
    <row r="17">
      <c r="C17" s="55"/>
      <c r="D17" s="15"/>
      <c r="E17" s="15"/>
      <c r="F17" s="15"/>
      <c r="G17" s="15"/>
      <c r="H17" s="15"/>
    </row>
    <row r="18">
      <c r="B18" s="37" t="s">
        <v>57</v>
      </c>
      <c r="C18" s="56"/>
      <c r="D18" s="57"/>
      <c r="E18" s="58"/>
      <c r="G18" s="15"/>
      <c r="H18" s="15"/>
    </row>
    <row r="19">
      <c r="B19" s="59"/>
      <c r="C19" s="60" t="s">
        <v>58</v>
      </c>
      <c r="D19" s="15"/>
      <c r="E19" s="61"/>
      <c r="F19" s="15"/>
      <c r="G19" s="15"/>
      <c r="H19" s="15"/>
    </row>
    <row r="20">
      <c r="B20" s="44">
        <f>+'Planilha de Rentabilidade'!Z6+'Planilha de Rentabilidade'!W6</f>
        <v>0</v>
      </c>
      <c r="C20" s="55">
        <f t="shared" ref="C20:C33" si="4">B20/$B$33</f>
        <v>0</v>
      </c>
      <c r="D20" s="62" t="s">
        <v>59</v>
      </c>
      <c r="E20" s="61"/>
      <c r="F20" s="15"/>
      <c r="G20" s="15"/>
      <c r="H20" s="15"/>
    </row>
    <row r="21">
      <c r="B21" s="44">
        <v>0.0</v>
      </c>
      <c r="C21" s="55">
        <f t="shared" si="4"/>
        <v>0</v>
      </c>
      <c r="D21" s="63" t="s">
        <v>60</v>
      </c>
      <c r="E21" s="61"/>
      <c r="F21" s="15"/>
      <c r="G21" s="15"/>
      <c r="H21" s="15"/>
    </row>
    <row r="22">
      <c r="B22" s="44">
        <f>+'Planilha de Rentabilidade'!AF6+'Planilha de Rentabilidade'!U6</f>
        <v>996194.32</v>
      </c>
      <c r="C22" s="55">
        <f t="shared" si="4"/>
        <v>0.5969139266</v>
      </c>
      <c r="D22" s="63" t="s">
        <v>61</v>
      </c>
      <c r="E22" s="61"/>
      <c r="F22" s="15"/>
      <c r="G22" s="15"/>
      <c r="H22" s="15"/>
    </row>
    <row r="23">
      <c r="B23" s="44">
        <f>+'Planilha de Rentabilidade'!V6+'Planilha de Rentabilidade'!AD6</f>
        <v>151536</v>
      </c>
      <c r="C23" s="55">
        <f t="shared" si="4"/>
        <v>0.09079950264</v>
      </c>
      <c r="D23" s="64" t="s">
        <v>62</v>
      </c>
      <c r="E23" s="61"/>
      <c r="F23" s="15"/>
      <c r="G23" s="15"/>
      <c r="H23" s="15"/>
    </row>
    <row r="24">
      <c r="B24" s="44">
        <f>+'Planilha de Rentabilidade'!AE6</f>
        <v>0</v>
      </c>
      <c r="C24" s="55">
        <f t="shared" si="4"/>
        <v>0</v>
      </c>
      <c r="D24" s="63" t="s">
        <v>63</v>
      </c>
      <c r="E24" s="65"/>
      <c r="F24" s="15"/>
      <c r="G24" s="15"/>
      <c r="H24" s="15"/>
    </row>
    <row r="25">
      <c r="B25" s="44">
        <v>0.0</v>
      </c>
      <c r="C25" s="55">
        <f t="shared" si="4"/>
        <v>0</v>
      </c>
      <c r="D25" s="63" t="s">
        <v>64</v>
      </c>
      <c r="E25" s="61"/>
      <c r="F25" s="15"/>
      <c r="G25" s="15"/>
      <c r="H25" s="15"/>
    </row>
    <row r="26">
      <c r="B26" s="44">
        <f>0</f>
        <v>0</v>
      </c>
      <c r="C26" s="55">
        <f t="shared" si="4"/>
        <v>0</v>
      </c>
      <c r="D26" s="63" t="s">
        <v>65</v>
      </c>
      <c r="E26" s="61"/>
      <c r="F26" s="15"/>
      <c r="G26" s="15"/>
      <c r="H26" s="15"/>
    </row>
    <row r="27">
      <c r="B27" s="44">
        <f>+'Planilha de Rentabilidade'!AA6</f>
        <v>0</v>
      </c>
      <c r="C27" s="55">
        <f t="shared" si="4"/>
        <v>0</v>
      </c>
      <c r="D27" s="63" t="s">
        <v>66</v>
      </c>
      <c r="E27" s="61"/>
      <c r="F27" s="15"/>
      <c r="G27" s="15"/>
      <c r="H27" s="15"/>
    </row>
    <row r="28">
      <c r="B28" s="44">
        <f>+'Planilha de Rentabilidade'!R6</f>
        <v>176421</v>
      </c>
      <c r="C28" s="55">
        <f t="shared" si="4"/>
        <v>0.105710452</v>
      </c>
      <c r="D28" s="64" t="s">
        <v>67</v>
      </c>
      <c r="E28" s="61"/>
      <c r="F28" s="15"/>
      <c r="G28" s="15"/>
      <c r="H28" s="15"/>
    </row>
    <row r="29">
      <c r="B29" s="44">
        <f>+'Planilha de Rentabilidade'!X6+'Planilha de Rentabilidade'!AC6</f>
        <v>174080.5</v>
      </c>
      <c r="C29" s="55">
        <f t="shared" si="4"/>
        <v>0.1043080378</v>
      </c>
      <c r="D29" s="63" t="s">
        <v>68</v>
      </c>
      <c r="E29" s="61"/>
      <c r="F29" s="15"/>
      <c r="G29" s="15"/>
      <c r="H29" s="15"/>
    </row>
    <row r="30">
      <c r="B30" s="44">
        <f>'Planilha de Rentabilidade'!T6+'Planilha de Rentabilidade'!AG6</f>
        <v>0</v>
      </c>
      <c r="C30" s="55">
        <f t="shared" si="4"/>
        <v>0</v>
      </c>
      <c r="D30" s="63" t="s">
        <v>69</v>
      </c>
      <c r="E30" s="61"/>
      <c r="F30" s="15"/>
      <c r="G30" s="15"/>
      <c r="H30" s="15"/>
    </row>
    <row r="31">
      <c r="B31" s="44">
        <f>'Planilha de Rentabilidade'!N6+'Planilha de Rentabilidade'!AH6</f>
        <v>0</v>
      </c>
      <c r="C31" s="55">
        <f t="shared" si="4"/>
        <v>0</v>
      </c>
      <c r="D31" s="63" t="s">
        <v>70</v>
      </c>
      <c r="E31" s="61"/>
      <c r="F31" s="15"/>
      <c r="G31" s="15"/>
      <c r="H31" s="15"/>
    </row>
    <row r="32">
      <c r="B32" s="44">
        <f>+'Planilha de Rentabilidade'!AB6</f>
        <v>170676</v>
      </c>
      <c r="C32" s="55">
        <f t="shared" si="4"/>
        <v>0.1022680809</v>
      </c>
      <c r="D32" s="63" t="s">
        <v>71</v>
      </c>
      <c r="E32" s="61"/>
      <c r="F32" s="15"/>
      <c r="G32" s="15"/>
      <c r="H32" s="15"/>
    </row>
    <row r="33">
      <c r="B33" s="66">
        <f>SUM(B20:B32)</f>
        <v>1668907.82</v>
      </c>
      <c r="C33" s="67">
        <f t="shared" si="4"/>
        <v>1</v>
      </c>
      <c r="D33" s="68"/>
      <c r="E33" s="69"/>
      <c r="F33" s="15"/>
      <c r="G33" s="15"/>
      <c r="H33" s="1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1.22" defaultRowHeight="15.0"/>
  <cols>
    <col customWidth="1" min="1" max="1" width="10.33"/>
    <col customWidth="1" min="2" max="2" width="15.44"/>
    <col customWidth="1" min="3" max="3" width="15.56"/>
    <col customWidth="1" min="4" max="4" width="16.67"/>
    <col customWidth="1" min="5" max="5" width="15.78"/>
    <col customWidth="1" min="6" max="6" width="12.44"/>
    <col customWidth="1" min="7" max="7" width="14.33"/>
    <col customWidth="1" min="8" max="8" width="10.44"/>
    <col customWidth="1" min="9" max="9" width="13.22"/>
    <col customWidth="1" min="10" max="10" width="11.67"/>
    <col customWidth="1" min="11" max="12" width="13.11"/>
    <col customWidth="1" min="13" max="13" width="11.67"/>
    <col customWidth="1" min="14" max="14" width="11.33"/>
    <col customWidth="1" min="15" max="15" width="12.0"/>
    <col customWidth="1" min="16" max="16" width="13.78"/>
    <col customWidth="1" min="17" max="17" width="14.11"/>
    <col customWidth="1" min="18" max="18" width="13.56"/>
    <col customWidth="1" min="19" max="19" width="12.44"/>
    <col customWidth="1" min="20" max="20" width="11.89"/>
    <col customWidth="1" min="21" max="21" width="11.11"/>
    <col customWidth="1" min="22" max="22" width="11.67"/>
    <col customWidth="1" min="23" max="23" width="11.44"/>
    <col customWidth="1" min="24" max="24" width="12.11"/>
    <col customWidth="1" min="25" max="25" width="12.56"/>
    <col customWidth="1" min="26" max="26" width="11.56"/>
    <col customWidth="1" min="27" max="27" width="10.78"/>
    <col customWidth="1" min="28" max="28" width="11.44"/>
    <col customWidth="1" min="29" max="30" width="11.0"/>
    <col customWidth="1" min="31" max="31" width="10.33"/>
    <col customWidth="1" min="32" max="32" width="12.33"/>
    <col customWidth="1" min="33" max="33" width="12.56"/>
    <col customWidth="1" min="34" max="34" width="11.78"/>
    <col customWidth="1" min="35" max="35" width="14.67"/>
    <col customWidth="1" min="36" max="37" width="12.67"/>
    <col customWidth="1" min="38" max="38" width="5.78"/>
    <col customWidth="1" min="39" max="40" width="17.67"/>
    <col customWidth="1" min="41" max="41" width="10.67"/>
    <col customWidth="1" min="42" max="42" width="12.33"/>
    <col customWidth="1" min="43" max="47" width="10.67"/>
    <col customWidth="1" min="48" max="48" width="11.67"/>
    <col customWidth="1" min="49" max="52" width="10.67"/>
  </cols>
  <sheetData>
    <row r="1" ht="45.0" customHeight="1">
      <c r="A1" s="70" t="s">
        <v>72</v>
      </c>
      <c r="B1" s="71" t="s">
        <v>73</v>
      </c>
      <c r="C1" s="72" t="s">
        <v>74</v>
      </c>
      <c r="D1" s="72" t="s">
        <v>75</v>
      </c>
      <c r="E1" s="72" t="s">
        <v>76</v>
      </c>
      <c r="F1" s="72" t="s">
        <v>77</v>
      </c>
      <c r="G1" s="72" t="s">
        <v>78</v>
      </c>
      <c r="H1" s="72" t="s">
        <v>79</v>
      </c>
      <c r="I1" s="72" t="s">
        <v>80</v>
      </c>
      <c r="J1" s="72" t="s">
        <v>81</v>
      </c>
      <c r="K1" s="72" t="s">
        <v>82</v>
      </c>
      <c r="L1" s="72" t="s">
        <v>83</v>
      </c>
      <c r="M1" s="72" t="s">
        <v>84</v>
      </c>
      <c r="N1" s="73" t="s">
        <v>85</v>
      </c>
      <c r="O1" s="74" t="s">
        <v>86</v>
      </c>
      <c r="P1" s="72" t="s">
        <v>87</v>
      </c>
      <c r="Q1" s="74" t="s">
        <v>88</v>
      </c>
      <c r="R1" s="74" t="s">
        <v>89</v>
      </c>
      <c r="S1" s="72" t="s">
        <v>90</v>
      </c>
      <c r="T1" s="72" t="s">
        <v>91</v>
      </c>
      <c r="U1" s="75" t="s">
        <v>92</v>
      </c>
      <c r="V1" s="72" t="s">
        <v>93</v>
      </c>
      <c r="W1" s="74" t="s">
        <v>94</v>
      </c>
      <c r="X1" s="72" t="s">
        <v>95</v>
      </c>
      <c r="Y1" s="72" t="s">
        <v>96</v>
      </c>
      <c r="Z1" s="74" t="s">
        <v>97</v>
      </c>
      <c r="AA1" s="72" t="s">
        <v>98</v>
      </c>
      <c r="AB1" s="74" t="s">
        <v>99</v>
      </c>
      <c r="AC1" s="72" t="s">
        <v>100</v>
      </c>
      <c r="AD1" s="74" t="s">
        <v>101</v>
      </c>
      <c r="AE1" s="74" t="s">
        <v>102</v>
      </c>
      <c r="AF1" s="74" t="s">
        <v>103</v>
      </c>
      <c r="AG1" s="72" t="s">
        <v>104</v>
      </c>
      <c r="AH1" s="72" t="s">
        <v>105</v>
      </c>
      <c r="AI1" s="76" t="s">
        <v>106</v>
      </c>
      <c r="AJ1" s="77"/>
      <c r="AK1" s="55"/>
      <c r="AL1" s="15" t="s">
        <v>107</v>
      </c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</row>
    <row r="2" ht="24.0" customHeight="1">
      <c r="A2" s="78">
        <v>45658.0</v>
      </c>
      <c r="B2" s="79" t="s">
        <v>108</v>
      </c>
      <c r="C2" s="80">
        <f>+(12508.62+20736.77)*0+(12535.93+20782.67)*0+(12556.6+20817.08)*0+(12598.75+20886.49)*0+(12620+20921)*0+(12641.27+20955.72)*0+(12648.27+20967.15)</f>
        <v>33615.42</v>
      </c>
      <c r="D2" s="80">
        <f>+149296.91*0+149622.35*0+149874.58*0+150042.05*0+150211.96*0+150383.65*0+150641.47*0+150891.01*0+150973.61</f>
        <v>150973.61</v>
      </c>
      <c r="E2" s="80">
        <f>+(+157896.94+105619.23)*0+(120284.75-11217.78+110000)*0+(-1007-21656+110152)*0+(-4041.8-24669+106500+114581+33638)*0+(-44568.88+115309-40000)*0+(-63001-40260+112378)*0+(-59384-42365+112378)*0+(+21258.2+1620)*0+(+43575-6839)*0+(-57105-14912+9135+36122)*0+((-5942.97-57120)+(+36122))*0+(-66864-443+20000+12736)*0+((-73278-36511)+(-38726-28000))*0+((-39639-28000-36468)+(-14720-13392))*0+((-39639-28000-36468-59711+12751)+(-13392+3746+80545+41069))*0+((-39639-28000-36468-59711+12751)+(121057-9655))*0+((+300-28000+531-68711+12751)+(+11656+3322+62397+258))*0+((+300-28000+531+875-68711+12766)+(+80895.41+3529))*0+(-43253.36+120881-512)*0+((+77627+25980+5593+6472-4170)+(-55911+531+12766+466))*0+((+77627+25980-4170+5593)+(+985+12766+408+531+475-55911))*0+((+103386.01+1406+6472)+(-71761+985+17191+408+531+475))*0+((+9897+60942+6444)+(+231+17191+855+475))*0+((+70826+6444)+(+231+855+475))*0+((-11781+6444)+(+231+855+475))*0+((-14446+6444)+(+231+475+355))*0+((-55637-46658)+(700+231+355+475))</f>
        <v>-100534</v>
      </c>
      <c r="F2" s="80">
        <f>+(+350+50)*145.4</f>
        <v>58160</v>
      </c>
      <c r="G2" s="80">
        <f>+113120.91*0+113364.9*0+113560.98*0+113620.29*0+113810.75*0+113873.59*0+114070.01*0+114317.49*0+114378.69</f>
        <v>114378.69</v>
      </c>
      <c r="H2" s="80">
        <f>+17191*0+17201.19*0+17211.08</f>
        <v>17211.08</v>
      </c>
      <c r="I2" s="80">
        <f>+185984.49*0+186360.05*0+186683.67*0+187308.72*0+187415*0+187520.82*0+187721.71*0+187830.99*0+187931.6*0+188042.95</f>
        <v>188042.95</v>
      </c>
      <c r="J2" s="80">
        <f>+229637.76*0+230273.34*0+230656.49*0+230783.54*0+231164.99*0+231291.84*0+231674.36*0+232190.08*0+232331.89</f>
        <v>232331.89</v>
      </c>
      <c r="K2" s="80">
        <f>+224902*0+225149.4*0+225521.99*0+225770.72*0+226893.42*0+227519.55</f>
        <v>227519.55</v>
      </c>
      <c r="L2" s="80">
        <f>+122965.86*0+146740.18*0+148753*0+130221*0+(129920-18962.43)*0+111978*0+(112056.62-14410)*0+95950*0+96233*0+98142*0+97927*0+98118*0+98337*0+86133*0+86140.21*0+(72134.11*0+72063.5+2000-13366.37)*0+60723.67*0+61075*0+60621.02*0+60020.65*0+59982.56</f>
        <v>59982.56</v>
      </c>
      <c r="M2" s="80">
        <f>+(+163088.45+23393.68+12308.53+18823.14+18962.43)*0+(252047.43+13833.97+13366.37)*0+284245.72</f>
        <v>284245.72</v>
      </c>
      <c r="N2" s="80">
        <v>0.0</v>
      </c>
      <c r="O2" s="80">
        <f>+120000*0+120114.45*0+120177.45*0+120242.46*0+120323.39*0+120433.9*0+120655.21*0+120755.05*0+120825.34*0+120875.65</f>
        <v>120875.65</v>
      </c>
      <c r="P2" s="80">
        <f>+227708.9*0+228061.55*0+228240*0+228459.98*0+228547.9*0+228768.26*0+229102.07*0+229358.02*0+229561.48*0+229663.28</f>
        <v>229663.28</v>
      </c>
      <c r="Q2" s="80">
        <f>+62076.13*0+62422.89*0+62000.18*0+61926.54*0+62123.52*0+62516.1*0+62619.35</f>
        <v>62619.35</v>
      </c>
      <c r="R2" s="80">
        <f>+(+2250+600)*91.03</f>
        <v>259435.5</v>
      </c>
      <c r="S2" s="80">
        <f>+(+404+5+45-200)*145.4</f>
        <v>36931.6</v>
      </c>
      <c r="T2" s="80">
        <v>0.0</v>
      </c>
      <c r="U2" s="80">
        <f>+(+10345-500)*77.52</f>
        <v>763184.4</v>
      </c>
      <c r="V2" s="80">
        <f>+1700*92.22</f>
        <v>156774</v>
      </c>
      <c r="W2" s="80">
        <v>0.0</v>
      </c>
      <c r="X2" s="80">
        <f>+(+270+140)*147</f>
        <v>60270</v>
      </c>
      <c r="Y2" s="80">
        <v>0.0</v>
      </c>
      <c r="Z2" s="80">
        <f>+(+2700-500-500+2100-600-500-500-700-500)*71.96</f>
        <v>71960</v>
      </c>
      <c r="AA2" s="80">
        <f>+(+900+800+600+300+100+700)*14.73</f>
        <v>50082</v>
      </c>
      <c r="AB2" s="80">
        <f>+(+3100+100+1000)*48.51</f>
        <v>203742</v>
      </c>
      <c r="AC2" s="80">
        <f>+(+700+110+200)*147</f>
        <v>148470</v>
      </c>
      <c r="AD2" s="80">
        <f>+450*92.22</f>
        <v>41499</v>
      </c>
      <c r="AE2" s="80">
        <v>0.0</v>
      </c>
      <c r="AF2" s="80">
        <f>+(+1300+660)*77.52</f>
        <v>151939.2</v>
      </c>
      <c r="AG2" s="80">
        <v>0.0</v>
      </c>
      <c r="AH2" s="80">
        <v>0.0</v>
      </c>
      <c r="AI2" s="81">
        <f t="shared" ref="AI2:AI6" si="1">SUM(C2:AH2)</f>
        <v>3623373.45</v>
      </c>
      <c r="AJ2" s="82"/>
      <c r="AK2" s="83"/>
      <c r="AL2" s="84"/>
      <c r="AM2" s="85"/>
      <c r="AN2" s="85"/>
      <c r="AO2" s="3" t="s">
        <v>109</v>
      </c>
      <c r="AP2" s="85"/>
      <c r="AQ2" s="85"/>
      <c r="AR2" s="85"/>
      <c r="AS2" s="86"/>
      <c r="AT2" s="86"/>
      <c r="AU2" s="86"/>
      <c r="AV2" s="85"/>
      <c r="AW2" s="85"/>
      <c r="AX2" s="85"/>
      <c r="AY2" s="85"/>
      <c r="AZ2" s="87"/>
    </row>
    <row r="3" ht="24.0" customHeight="1">
      <c r="A3" s="88"/>
      <c r="B3" s="89" t="s">
        <v>110</v>
      </c>
      <c r="C3" s="90">
        <v>0.0</v>
      </c>
      <c r="D3" s="90">
        <v>0.0</v>
      </c>
      <c r="E3" s="90">
        <v>0.0</v>
      </c>
      <c r="F3" s="90">
        <f>+50*145.35+37*145.27+13*145.6</f>
        <v>14535.29</v>
      </c>
      <c r="G3" s="90">
        <v>0.0</v>
      </c>
      <c r="H3" s="90">
        <v>0.0</v>
      </c>
      <c r="I3" s="90">
        <v>0.0</v>
      </c>
      <c r="J3" s="90">
        <v>0.0</v>
      </c>
      <c r="K3" s="90">
        <v>0.0</v>
      </c>
      <c r="L3" s="90">
        <f>+4000+6500+6500+8000+10000+4500+17000+10000+5000+10000+5000+6000</f>
        <v>92500</v>
      </c>
      <c r="M3" s="90">
        <f>+24568+15566+14970</f>
        <v>55104</v>
      </c>
      <c r="N3" s="90"/>
      <c r="O3" s="90">
        <v>0.0</v>
      </c>
      <c r="P3" s="90">
        <v>0.0</v>
      </c>
      <c r="Q3" s="90">
        <v>0.0</v>
      </c>
      <c r="R3" s="90">
        <v>0.0</v>
      </c>
      <c r="S3" s="90">
        <v>0.0</v>
      </c>
      <c r="T3" s="90">
        <v>0.0</v>
      </c>
      <c r="U3" s="90">
        <f> +300*73.01 + 300*72.21 + 200*72.01 +300*71.76 +99*71.11 + 100*70.74 + 100*71.02 + 99*70.16 + 99*70.36 + 30*71.09 + 36*71.21 + 30*70.91 + 10*71.29 + 10*71.23 + 100*70.16 + 50*70.53</f>
        <v>133414.63</v>
      </c>
      <c r="V3" s="90">
        <f>+100*93.15</f>
        <v>9315</v>
      </c>
      <c r="W3" s="90">
        <v>0.0</v>
      </c>
      <c r="X3" s="90">
        <v>0.0</v>
      </c>
      <c r="Y3" s="90">
        <v>0.0</v>
      </c>
      <c r="Z3" s="90">
        <v>0.0</v>
      </c>
      <c r="AA3" s="90">
        <f> +500*13.43 + 100*13.5 + 100*13.5 + 100*13.5 + 100*13.51 + 100*13.4 + 100*13.42+1000*13.37</f>
        <v>28168</v>
      </c>
      <c r="AB3" s="90">
        <v>0.0</v>
      </c>
      <c r="AC3" s="90">
        <v>0.0</v>
      </c>
      <c r="AD3" s="90">
        <v>0.0</v>
      </c>
      <c r="AE3" s="90">
        <v>0.0</v>
      </c>
      <c r="AF3" s="90">
        <f>+20*71.39 + 20*71.09 + 20*71.18 + 20*71.02 + 20*70.91 + 20*71.14 + 10*71.23 + 10*71.3 + 10*71.05 + 80*70.73</f>
        <v>16328.8</v>
      </c>
      <c r="AG3" s="90">
        <v>0.0</v>
      </c>
      <c r="AH3" s="90">
        <v>0.0</v>
      </c>
      <c r="AI3" s="91">
        <f t="shared" si="1"/>
        <v>349365.72</v>
      </c>
      <c r="AJ3" s="92"/>
      <c r="AK3" s="93"/>
      <c r="AL3" s="94"/>
      <c r="AM3" s="7"/>
      <c r="AN3" s="7"/>
      <c r="AT3" s="7"/>
      <c r="AU3" s="7"/>
      <c r="AV3" s="7"/>
      <c r="AW3" s="95">
        <v>44227.0</v>
      </c>
      <c r="AX3" s="95">
        <v>44255.0</v>
      </c>
      <c r="AY3" s="96"/>
      <c r="AZ3" s="97"/>
    </row>
    <row r="4" ht="24.0" customHeight="1">
      <c r="A4" s="88"/>
      <c r="B4" s="98" t="s">
        <v>111</v>
      </c>
      <c r="C4" s="90">
        <v>0.0</v>
      </c>
      <c r="D4" s="90">
        <v>0.0</v>
      </c>
      <c r="E4" s="90">
        <f>+E6-E2</f>
        <v>-232604</v>
      </c>
      <c r="F4" s="90">
        <f>-100*145.75 - 100*145.75 - 100*145.75 - 100*145.74 - 100*145.75</f>
        <v>-72874</v>
      </c>
      <c r="G4" s="90">
        <v>0.0</v>
      </c>
      <c r="H4" s="90">
        <f>-950-100-200-400-200</f>
        <v>-1850</v>
      </c>
      <c r="I4" s="90">
        <v>0.0</v>
      </c>
      <c r="J4" s="90">
        <v>0.0</v>
      </c>
      <c r="K4" s="90">
        <v>0.0</v>
      </c>
      <c r="L4" s="90">
        <f>-3158-24568-15566-14970</f>
        <v>-58262</v>
      </c>
      <c r="M4" s="90">
        <v>0.0</v>
      </c>
      <c r="N4" s="90">
        <v>0.0</v>
      </c>
      <c r="O4" s="90">
        <v>0.0</v>
      </c>
      <c r="P4" s="90">
        <v>0.0</v>
      </c>
      <c r="Q4" s="90">
        <v>0.0</v>
      </c>
      <c r="R4" s="90">
        <f> -100*96.7 - 100*95.88 - 100*95.5 - 17*95.72 - 83*95.81 - 100*96.7 -100*93.27 - 100*93.28 -50*104.53 - 50*104.59 - 50*108.01 - 50*108.1-100*114.36-100*114.49-30*114.99-30*115.22-30*115.42 -30*124.81 - 30*124.88 -50*115.44</f>
        <v>-134490.57</v>
      </c>
      <c r="S4" s="90">
        <f> +(-200*145.75 -16*145.82 - 38*145.83)</f>
        <v>-37024.66</v>
      </c>
      <c r="T4" s="90">
        <v>0.0</v>
      </c>
      <c r="U4" s="90">
        <v>0.0</v>
      </c>
      <c r="V4" s="90">
        <f> -100*94.12 - 50*94.1 -15*93.93 - 85*93.93 - 1*94.28 - 15*94.28 - 84*94.28 - 100*94.43 - 100*94.51 - 8*94.65 - 30*94.65 - 62*94.65</f>
        <v>-61297</v>
      </c>
      <c r="W4" s="90">
        <v>0.0</v>
      </c>
      <c r="X4" s="90">
        <f>0</f>
        <v>0</v>
      </c>
      <c r="Y4" s="90">
        <v>0.0</v>
      </c>
      <c r="Z4" s="90">
        <f> -100*75.88 - 100*75.86 - 100*75.85 - 100*75.83 - 100*75.92 - 100*75.81 - 100*75.96 - 100*75.94 - 100*75.9 -100*75.35</f>
        <v>-75830</v>
      </c>
      <c r="AA4" s="90">
        <f> -100*12.94 - 100*12.94 - 100*12.94 - 200*12.94 - 200*12.94 - 200*12.94 - 200*12.94 - 300*12.94 - 600*12.94 - 1000*12.94 - 1000*12.94 - 1500*12.94</f>
        <v>-71170</v>
      </c>
      <c r="AB4" s="90">
        <f> -100*49.47 - 100*49.35 -100*51.86 - 100*51.95 - 100*51.95 - 100*51.96 - 100*51.98 - 100*52.01 - 100*52.06</f>
        <v>-46259</v>
      </c>
      <c r="AC4" s="90">
        <f>-3*166.18-17*166.18-20*166.23-20*166.29-20*166.34-20*166.38-20*166.39-20*166.54-25*172.34 - 25*172.14 - 25*172.22 -50*156.92 - 50*157.36</f>
        <v>-51918.5</v>
      </c>
      <c r="AD4" s="90"/>
      <c r="AE4" s="90">
        <v>0.0</v>
      </c>
      <c r="AF4" s="90">
        <v>0.0</v>
      </c>
      <c r="AG4" s="90">
        <v>0.0</v>
      </c>
      <c r="AH4" s="90">
        <v>0.0</v>
      </c>
      <c r="AI4" s="91">
        <f t="shared" si="1"/>
        <v>-843579.73</v>
      </c>
      <c r="AJ4" s="92">
        <f>SUM(AI3:AI4)</f>
        <v>-494214.01</v>
      </c>
      <c r="AK4" s="93"/>
      <c r="AL4" s="94"/>
      <c r="AM4" s="7"/>
      <c r="AN4" s="7"/>
      <c r="AO4" s="3" t="s">
        <v>109</v>
      </c>
      <c r="AP4" s="7"/>
      <c r="AQ4" s="7"/>
      <c r="AR4" s="7"/>
      <c r="AS4" s="7"/>
      <c r="AT4" s="7"/>
      <c r="AU4" s="7"/>
      <c r="AV4" s="7"/>
      <c r="AW4" s="7"/>
      <c r="AX4" s="7"/>
      <c r="AY4" s="7"/>
      <c r="AZ4" s="99"/>
    </row>
    <row r="5" ht="24.0" customHeight="1">
      <c r="A5" s="88"/>
      <c r="B5" s="100" t="s">
        <v>112</v>
      </c>
      <c r="C5" s="90">
        <v>0.0</v>
      </c>
      <c r="D5" s="90">
        <v>0.0</v>
      </c>
      <c r="E5" s="90">
        <v>0.0</v>
      </c>
      <c r="F5" s="90">
        <v>0.0</v>
      </c>
      <c r="G5" s="90">
        <v>0.0</v>
      </c>
      <c r="H5" s="90">
        <v>0.0</v>
      </c>
      <c r="I5" s="90">
        <v>0.0</v>
      </c>
      <c r="J5" s="90">
        <v>0.0</v>
      </c>
      <c r="K5" s="90">
        <v>0.0</v>
      </c>
      <c r="L5" s="90">
        <v>0.0</v>
      </c>
      <c r="M5" s="90">
        <v>0.0</v>
      </c>
      <c r="N5" s="90">
        <v>0.0</v>
      </c>
      <c r="O5" s="90">
        <v>0.0</v>
      </c>
      <c r="P5" s="90">
        <v>0.0</v>
      </c>
      <c r="Q5" s="90">
        <v>0.0</v>
      </c>
      <c r="R5" s="90"/>
      <c r="S5" s="90">
        <v>0.0</v>
      </c>
      <c r="T5" s="90">
        <v>0.0</v>
      </c>
      <c r="U5" s="90">
        <v>0.0</v>
      </c>
      <c r="V5" s="90">
        <v>0.0</v>
      </c>
      <c r="W5" s="90">
        <v>0.0</v>
      </c>
      <c r="X5" s="90">
        <v>0.0</v>
      </c>
      <c r="Y5" s="90">
        <v>0.0</v>
      </c>
      <c r="Z5" s="90">
        <v>0.0</v>
      </c>
      <c r="AA5" s="90">
        <v>0.0</v>
      </c>
      <c r="AB5" s="90">
        <v>0.0</v>
      </c>
      <c r="AC5" s="90">
        <v>0.0</v>
      </c>
      <c r="AD5" s="90">
        <v>0.0</v>
      </c>
      <c r="AE5" s="90">
        <v>0.0</v>
      </c>
      <c r="AF5" s="90">
        <v>0.0</v>
      </c>
      <c r="AG5" s="90">
        <v>0.0</v>
      </c>
      <c r="AH5" s="90">
        <v>0.0</v>
      </c>
      <c r="AI5" s="91">
        <f t="shared" si="1"/>
        <v>0</v>
      </c>
      <c r="AJ5" s="101">
        <f>SUM(AI2:AI5)</f>
        <v>3129159.44</v>
      </c>
      <c r="AK5" s="102"/>
      <c r="AL5" s="103"/>
      <c r="AM5" s="103"/>
      <c r="AN5" s="103"/>
      <c r="AO5" s="3" t="s">
        <v>109</v>
      </c>
      <c r="AP5" s="103"/>
      <c r="AQ5" s="104"/>
      <c r="AR5" s="7"/>
      <c r="AS5" s="7"/>
      <c r="AT5" s="7"/>
      <c r="AU5" s="103"/>
      <c r="AV5" s="103"/>
      <c r="AW5" s="103"/>
      <c r="AX5" s="103"/>
      <c r="AY5" s="103"/>
      <c r="AZ5" s="105"/>
    </row>
    <row r="6" ht="24.0" customHeight="1">
      <c r="A6" s="88"/>
      <c r="B6" s="106" t="s">
        <v>113</v>
      </c>
      <c r="C6" s="90">
        <f>+(12648.27+20967.15)*0+(12732.53+21106.26)*0+(12753.71+21141.27)*0+(21211.38+12796.6)</f>
        <v>34007.98</v>
      </c>
      <c r="D6" s="90">
        <f>+150973.61*0+151566.61*0+151999.69*0+152254.52*0+152757.14</f>
        <v>152757.14</v>
      </c>
      <c r="E6" s="90">
        <f>+((-34158-68280)+(+1593+475-29768+6509))*0+(+4649)*0+((68069.38-14802)+(+794-63403.25))*0+((-23272-18115)-(29197))*0+((+3383.54-18115)+(-29197))*0+((-16940-18127)+(-29197-58481.52))*0+((+35059-18127)+(-29197-58481))*0+((+24450-15988)+(-29197-69781))*0+(-179460-52554)+(-29197-35766-36161)</f>
        <v>-333138</v>
      </c>
      <c r="F6" s="90">
        <f>+(+400+87+13-500)*145.46</f>
        <v>0</v>
      </c>
      <c r="G6" s="90">
        <f>+114441.83*0+114761.23*0+115075.87*0+115334.66*0+115725.16</f>
        <v>115725.16</v>
      </c>
      <c r="H6" s="90">
        <f>+17230.859*0+16275*0+15710*0+15765*0+5146.48+10424.2</f>
        <v>15570.68</v>
      </c>
      <c r="I6" s="90">
        <f>+188146.5*0+188703.88*0+189306.57*0+189751.27*0+190427.39</f>
        <v>190427.39</v>
      </c>
      <c r="J6" s="90">
        <f>+232459.53*0+233099.7*0+233748.6*0+234265.56*0+235057.83</f>
        <v>235057.83</v>
      </c>
      <c r="K6" s="90">
        <f>+227644.99*0+228399.04*0+230200</f>
        <v>230200</v>
      </c>
      <c r="L6" s="90">
        <f>+59961.56*0+(60202.83+35500-24568)*0+(+68739+17000-15566+10000)*0+(79573.81+5000-14970)*0+69408*0+78973*0+(78572+5000+6000)*0+89303*0+88531*0+89125.92</f>
        <v>89125.92</v>
      </c>
      <c r="M6" s="90">
        <f>+284245+24568+15566+14970</f>
        <v>339349</v>
      </c>
      <c r="N6" s="90"/>
      <c r="O6" s="90">
        <f>+120875.65*0+121168.16*0+121367.79*0+121570.9*0+121859.62</f>
        <v>121859.62</v>
      </c>
      <c r="P6" s="90">
        <f>+229663.28*0+230256.42*0+230660.74*0+230920.8*0+231658.11</f>
        <v>231658.11</v>
      </c>
      <c r="Q6" s="90">
        <f>+62619.35*0+62612.83*0+62649.84*0+63463</f>
        <v>63463</v>
      </c>
      <c r="R6" s="90">
        <f>+(+2850-500-200-200-200-90-60-50)*113.82</f>
        <v>176421</v>
      </c>
      <c r="S6" s="90">
        <f>+(254-200-54)*145.46</f>
        <v>0</v>
      </c>
      <c r="T6" s="90">
        <v>0.0</v>
      </c>
      <c r="U6" s="90">
        <f>+(+9845+800+300+763)*71.69</f>
        <v>839346.52</v>
      </c>
      <c r="V6" s="90">
        <f>+(+1700+100-150-500)*94.71</f>
        <v>108916.5</v>
      </c>
      <c r="W6" s="90">
        <v>0.0</v>
      </c>
      <c r="X6" s="90">
        <f>+(+410)*159.3</f>
        <v>65313</v>
      </c>
      <c r="Y6" s="90">
        <v>0.0</v>
      </c>
      <c r="Z6" s="90">
        <f>+(+1000-900-100)*72.21</f>
        <v>0</v>
      </c>
      <c r="AA6" s="90">
        <f>+(+3400+1100+1000-5500)*13</f>
        <v>0</v>
      </c>
      <c r="AB6" s="90">
        <f>+(+4200-200-700)*51.72</f>
        <v>170676</v>
      </c>
      <c r="AC6" s="90">
        <f>+(+1010-140-75-100)*156.5</f>
        <v>108767.5</v>
      </c>
      <c r="AD6" s="90">
        <f>+450*94.71</f>
        <v>42619.5</v>
      </c>
      <c r="AE6" s="90">
        <v>0.0</v>
      </c>
      <c r="AF6" s="90">
        <f>+(+1960+230)*71.62</f>
        <v>156847.8</v>
      </c>
      <c r="AG6" s="90">
        <v>0.0</v>
      </c>
      <c r="AH6" s="90">
        <v>0.0</v>
      </c>
      <c r="AI6" s="107">
        <f t="shared" si="1"/>
        <v>3154971.65</v>
      </c>
      <c r="AJ6" s="101">
        <f>AJ5-AI6</f>
        <v>-25812.21</v>
      </c>
      <c r="AK6" s="102"/>
      <c r="AL6" s="103"/>
      <c r="AM6" s="103"/>
      <c r="AN6" s="103"/>
      <c r="AO6" s="108" t="s">
        <v>114</v>
      </c>
      <c r="AP6" s="103"/>
      <c r="AQ6" s="103"/>
      <c r="AR6" s="103"/>
      <c r="AS6" s="103"/>
      <c r="AT6" s="103"/>
      <c r="AU6" s="103"/>
      <c r="AV6" s="103"/>
      <c r="AW6" s="103"/>
      <c r="AX6" s="103"/>
      <c r="AY6" s="103"/>
      <c r="AZ6" s="105"/>
    </row>
    <row r="7" ht="25.5" customHeight="1">
      <c r="A7" s="88"/>
      <c r="B7" s="109" t="s">
        <v>115</v>
      </c>
      <c r="C7" s="110">
        <f t="shared" ref="C7:H7" si="2">IFERROR(IF(C6=0,(-C4/C2)-1,C8),"")</f>
        <v>0.01167797398</v>
      </c>
      <c r="D7" s="110">
        <f t="shared" si="2"/>
        <v>0.01181352158</v>
      </c>
      <c r="E7" s="110">
        <f t="shared" si="2"/>
        <v>0</v>
      </c>
      <c r="F7" s="110">
        <f t="shared" si="2"/>
        <v>0.2529917469</v>
      </c>
      <c r="G7" s="110">
        <f t="shared" si="2"/>
        <v>0.01177203551</v>
      </c>
      <c r="H7" s="110">
        <f t="shared" si="2"/>
        <v>0.01364487393</v>
      </c>
      <c r="I7" s="111">
        <f t="shared" ref="I7:AH7" si="3">IFERROR(IF(I6=0,(-I4/(I2+I3))-1,I8),"")</f>
        <v>0.01268029458</v>
      </c>
      <c r="J7" s="111">
        <f t="shared" si="3"/>
        <v>0.01173295668</v>
      </c>
      <c r="K7" s="111">
        <f t="shared" si="3"/>
        <v>0.0117811854</v>
      </c>
      <c r="L7" s="111">
        <f t="shared" si="3"/>
        <v>-0.0540714256</v>
      </c>
      <c r="M7" s="111">
        <f t="shared" si="3"/>
        <v>-0.000002121705007</v>
      </c>
      <c r="N7" s="111" t="str">
        <f t="shared" si="3"/>
        <v/>
      </c>
      <c r="O7" s="111">
        <f t="shared" si="3"/>
        <v>0.008140349194</v>
      </c>
      <c r="P7" s="111">
        <f t="shared" si="3"/>
        <v>0.008685890056</v>
      </c>
      <c r="Q7" s="111">
        <f t="shared" si="3"/>
        <v>0.01347267258</v>
      </c>
      <c r="R7" s="111">
        <f t="shared" si="3"/>
        <v>0.4119900663</v>
      </c>
      <c r="S7" s="111">
        <f t="shared" si="3"/>
        <v>0.002519793348</v>
      </c>
      <c r="T7" s="111" t="str">
        <f t="shared" si="3"/>
        <v/>
      </c>
      <c r="U7" s="111">
        <f t="shared" si="3"/>
        <v>-0.06385519958</v>
      </c>
      <c r="V7" s="111">
        <f t="shared" si="3"/>
        <v>0.03935892053</v>
      </c>
      <c r="W7" s="111" t="str">
        <f t="shared" si="3"/>
        <v/>
      </c>
      <c r="X7" s="111">
        <f t="shared" si="3"/>
        <v>0.08367346939</v>
      </c>
      <c r="Y7" s="111" t="str">
        <f t="shared" si="3"/>
        <v/>
      </c>
      <c r="Z7" s="111">
        <f t="shared" si="3"/>
        <v>0.05377987771</v>
      </c>
      <c r="AA7" s="111">
        <f t="shared" si="3"/>
        <v>-0.09047923323</v>
      </c>
      <c r="AB7" s="111">
        <f t="shared" si="3"/>
        <v>0.08377412165</v>
      </c>
      <c r="AC7" s="111">
        <f t="shared" si="3"/>
        <v>0.1265231509</v>
      </c>
      <c r="AD7" s="111">
        <f t="shared" si="3"/>
        <v>0.02700065062</v>
      </c>
      <c r="AE7" s="111" t="str">
        <f t="shared" si="3"/>
        <v/>
      </c>
      <c r="AF7" s="111">
        <f t="shared" si="3"/>
        <v>-0.06786911356</v>
      </c>
      <c r="AG7" s="111" t="str">
        <f t="shared" si="3"/>
        <v/>
      </c>
      <c r="AH7" s="111" t="str">
        <f t="shared" si="3"/>
        <v/>
      </c>
      <c r="AI7" s="112">
        <f>IFERROR(IF(AI6=0,(-AI4/AI2)-1,AI8),"")</f>
        <v>0.008248927706</v>
      </c>
      <c r="AJ7" s="101">
        <f>AI6*AI7</f>
        <v>26025.13305</v>
      </c>
      <c r="AK7" s="102"/>
      <c r="AL7" s="103"/>
      <c r="AM7" s="103"/>
      <c r="AN7" s="103"/>
      <c r="AO7" s="3" t="s">
        <v>109</v>
      </c>
      <c r="AP7" s="103"/>
      <c r="AQ7" s="103"/>
      <c r="AR7" s="103"/>
      <c r="AS7" s="103"/>
      <c r="AT7" s="103"/>
      <c r="AU7" s="103"/>
      <c r="AV7" s="103"/>
      <c r="AW7" s="103"/>
      <c r="AX7" s="103"/>
      <c r="AY7" s="103"/>
      <c r="AZ7" s="103"/>
    </row>
    <row r="8" ht="9.0" hidden="1" customHeight="1">
      <c r="A8" s="88"/>
      <c r="B8" s="113" t="s">
        <v>116</v>
      </c>
      <c r="C8" s="110">
        <f t="shared" ref="C8:AI8" si="4">IFERROR(IF(AND(C2&lt;&gt;0,C6=""),"",(C6/(C2+C3+C4+C5))-1),"")</f>
        <v>0.01167797398</v>
      </c>
      <c r="D8" s="110">
        <f t="shared" si="4"/>
        <v>0.01181352158</v>
      </c>
      <c r="E8" s="110">
        <f t="shared" si="4"/>
        <v>0</v>
      </c>
      <c r="F8" s="110">
        <f t="shared" si="4"/>
        <v>-1</v>
      </c>
      <c r="G8" s="110">
        <f t="shared" si="4"/>
        <v>0.01177203551</v>
      </c>
      <c r="H8" s="110">
        <f t="shared" si="4"/>
        <v>0.01364487393</v>
      </c>
      <c r="I8" s="110">
        <f t="shared" si="4"/>
        <v>0.01268029458</v>
      </c>
      <c r="J8" s="110">
        <f t="shared" si="4"/>
        <v>0.01173295668</v>
      </c>
      <c r="K8" s="110">
        <f t="shared" si="4"/>
        <v>0.0117811854</v>
      </c>
      <c r="L8" s="110">
        <f t="shared" si="4"/>
        <v>-0.0540714256</v>
      </c>
      <c r="M8" s="110">
        <f t="shared" si="4"/>
        <v>-0.000002121705007</v>
      </c>
      <c r="N8" s="110" t="str">
        <f t="shared" si="4"/>
        <v/>
      </c>
      <c r="O8" s="110">
        <f t="shared" si="4"/>
        <v>0.008140349194</v>
      </c>
      <c r="P8" s="110">
        <f t="shared" si="4"/>
        <v>0.008685890056</v>
      </c>
      <c r="Q8" s="110">
        <f t="shared" si="4"/>
        <v>0.01347267258</v>
      </c>
      <c r="R8" s="110">
        <f t="shared" si="4"/>
        <v>0.4119900663</v>
      </c>
      <c r="S8" s="110">
        <f t="shared" si="4"/>
        <v>-1</v>
      </c>
      <c r="T8" s="110" t="str">
        <f t="shared" si="4"/>
        <v/>
      </c>
      <c r="U8" s="110">
        <f t="shared" si="4"/>
        <v>-0.06385519958</v>
      </c>
      <c r="V8" s="110">
        <f t="shared" si="4"/>
        <v>0.03935892053</v>
      </c>
      <c r="W8" s="110" t="str">
        <f t="shared" si="4"/>
        <v/>
      </c>
      <c r="X8" s="110">
        <f t="shared" si="4"/>
        <v>0.08367346939</v>
      </c>
      <c r="Y8" s="110" t="str">
        <f t="shared" si="4"/>
        <v/>
      </c>
      <c r="Z8" s="110">
        <f t="shared" si="4"/>
        <v>-1</v>
      </c>
      <c r="AA8" s="110">
        <f t="shared" si="4"/>
        <v>-1</v>
      </c>
      <c r="AB8" s="110">
        <f t="shared" si="4"/>
        <v>0.08377412165</v>
      </c>
      <c r="AC8" s="110">
        <f t="shared" si="4"/>
        <v>0.1265231509</v>
      </c>
      <c r="AD8" s="110">
        <f t="shared" si="4"/>
        <v>0.02700065062</v>
      </c>
      <c r="AE8" s="110" t="str">
        <f t="shared" si="4"/>
        <v/>
      </c>
      <c r="AF8" s="110">
        <f t="shared" si="4"/>
        <v>-0.06786911356</v>
      </c>
      <c r="AG8" s="110" t="str">
        <f t="shared" si="4"/>
        <v/>
      </c>
      <c r="AH8" s="110" t="str">
        <f t="shared" si="4"/>
        <v/>
      </c>
      <c r="AI8" s="114">
        <f t="shared" si="4"/>
        <v>0.008248927706</v>
      </c>
      <c r="AJ8" s="101"/>
      <c r="AK8" s="102"/>
      <c r="AL8" s="103"/>
      <c r="AM8" s="103"/>
      <c r="AN8" s="103"/>
      <c r="AO8" s="103"/>
      <c r="AP8" s="103"/>
      <c r="AQ8" s="103"/>
      <c r="AR8" s="103"/>
      <c r="AS8" s="103"/>
      <c r="AT8" s="103"/>
      <c r="AU8" s="103"/>
      <c r="AV8" s="103"/>
      <c r="AW8" s="103"/>
      <c r="AX8" s="103"/>
      <c r="AY8" s="103"/>
      <c r="AZ8" s="103"/>
    </row>
    <row r="9" ht="24.0" customHeight="1">
      <c r="A9" s="115"/>
      <c r="B9" s="116" t="s">
        <v>117</v>
      </c>
      <c r="C9" s="117">
        <f t="shared" ref="C9:AI9" si="5">IFERROR(C6/$AI$6,"")</f>
        <v>0.01077917134</v>
      </c>
      <c r="D9" s="117">
        <f t="shared" si="5"/>
        <v>0.04841791209</v>
      </c>
      <c r="E9" s="117">
        <f t="shared" si="5"/>
        <v>-0.1055914401</v>
      </c>
      <c r="F9" s="117">
        <f t="shared" si="5"/>
        <v>0</v>
      </c>
      <c r="G9" s="117">
        <f t="shared" si="5"/>
        <v>0.03668025353</v>
      </c>
      <c r="H9" s="117">
        <f t="shared" si="5"/>
        <v>0.00493528365</v>
      </c>
      <c r="I9" s="117">
        <f t="shared" si="5"/>
        <v>0.06035787675</v>
      </c>
      <c r="J9" s="117">
        <f t="shared" si="5"/>
        <v>0.07450394364</v>
      </c>
      <c r="K9" s="117">
        <f t="shared" si="5"/>
        <v>0.07296420556</v>
      </c>
      <c r="L9" s="117">
        <f t="shared" si="5"/>
        <v>0.02824935685</v>
      </c>
      <c r="M9" s="117">
        <f t="shared" si="5"/>
        <v>0.107560079</v>
      </c>
      <c r="N9" s="117">
        <f t="shared" si="5"/>
        <v>0</v>
      </c>
      <c r="O9" s="117">
        <f t="shared" si="5"/>
        <v>0.03862463233</v>
      </c>
      <c r="P9" s="117">
        <f t="shared" si="5"/>
        <v>0.07342636819</v>
      </c>
      <c r="Q9" s="117">
        <f t="shared" si="5"/>
        <v>0.02011523622</v>
      </c>
      <c r="R9" s="117">
        <f t="shared" si="5"/>
        <v>0.05591841055</v>
      </c>
      <c r="S9" s="117">
        <f t="shared" si="5"/>
        <v>0</v>
      </c>
      <c r="T9" s="117">
        <f t="shared" si="5"/>
        <v>0</v>
      </c>
      <c r="U9" s="117">
        <f t="shared" si="5"/>
        <v>0.2660393224</v>
      </c>
      <c r="V9" s="117">
        <f t="shared" si="5"/>
        <v>0.03452218025</v>
      </c>
      <c r="W9" s="117">
        <f t="shared" si="5"/>
        <v>0</v>
      </c>
      <c r="X9" s="117">
        <f t="shared" si="5"/>
        <v>0.02070161233</v>
      </c>
      <c r="Y9" s="117">
        <f t="shared" si="5"/>
        <v>0</v>
      </c>
      <c r="Z9" s="117">
        <f t="shared" si="5"/>
        <v>0</v>
      </c>
      <c r="AA9" s="117">
        <f t="shared" si="5"/>
        <v>0</v>
      </c>
      <c r="AB9" s="117">
        <f t="shared" si="5"/>
        <v>0.05409747501</v>
      </c>
      <c r="AC9" s="117">
        <f t="shared" si="5"/>
        <v>0.03447495321</v>
      </c>
      <c r="AD9" s="117">
        <f t="shared" si="5"/>
        <v>0.01350867923</v>
      </c>
      <c r="AE9" s="117">
        <f t="shared" si="5"/>
        <v>0</v>
      </c>
      <c r="AF9" s="117">
        <f t="shared" si="5"/>
        <v>0.04971448793</v>
      </c>
      <c r="AG9" s="117">
        <f t="shared" si="5"/>
        <v>0</v>
      </c>
      <c r="AH9" s="117">
        <f t="shared" si="5"/>
        <v>0</v>
      </c>
      <c r="AI9" s="118">
        <f t="shared" si="5"/>
        <v>1</v>
      </c>
      <c r="AJ9" s="119">
        <f>AI6-AI2</f>
        <v>-468401.8</v>
      </c>
      <c r="AK9" s="120">
        <f>AI6/AI2-1</f>
        <v>-0.1292722946</v>
      </c>
      <c r="AL9" s="103"/>
      <c r="AM9" s="103"/>
      <c r="AN9" s="103"/>
      <c r="AO9" s="103"/>
      <c r="AP9" s="103"/>
      <c r="AQ9" s="103"/>
      <c r="AR9" s="103"/>
      <c r="AS9" s="103"/>
      <c r="AT9" s="103"/>
      <c r="AU9" s="103"/>
      <c r="AV9" s="103"/>
      <c r="AW9" s="103"/>
      <c r="AX9" s="103"/>
      <c r="AY9" s="103"/>
      <c r="AZ9" s="103"/>
    </row>
    <row r="10" ht="24.75" customHeight="1">
      <c r="A10" s="121">
        <v>45689.0</v>
      </c>
      <c r="B10" s="122" t="s">
        <v>118</v>
      </c>
      <c r="C10" s="123">
        <f t="shared" ref="C10:AH10" si="6">IF(C14="","",C6)</f>
        <v>34007.98</v>
      </c>
      <c r="D10" s="123">
        <f t="shared" si="6"/>
        <v>152757.14</v>
      </c>
      <c r="E10" s="123">
        <f t="shared" si="6"/>
        <v>-333138</v>
      </c>
      <c r="F10" s="123">
        <f t="shared" si="6"/>
        <v>0</v>
      </c>
      <c r="G10" s="123">
        <f t="shared" si="6"/>
        <v>115725.16</v>
      </c>
      <c r="H10" s="123">
        <f t="shared" si="6"/>
        <v>15570.68</v>
      </c>
      <c r="I10" s="123">
        <f t="shared" si="6"/>
        <v>190427.39</v>
      </c>
      <c r="J10" s="123">
        <f t="shared" si="6"/>
        <v>235057.83</v>
      </c>
      <c r="K10" s="123">
        <f t="shared" si="6"/>
        <v>230200</v>
      </c>
      <c r="L10" s="123">
        <f t="shared" si="6"/>
        <v>89125.92</v>
      </c>
      <c r="M10" s="123">
        <f t="shared" si="6"/>
        <v>339349</v>
      </c>
      <c r="N10" s="123" t="str">
        <f t="shared" si="6"/>
        <v/>
      </c>
      <c r="O10" s="123">
        <f t="shared" si="6"/>
        <v>121859.62</v>
      </c>
      <c r="P10" s="123">
        <f t="shared" si="6"/>
        <v>231658.11</v>
      </c>
      <c r="Q10" s="123">
        <f t="shared" si="6"/>
        <v>63463</v>
      </c>
      <c r="R10" s="123">
        <f t="shared" si="6"/>
        <v>176421</v>
      </c>
      <c r="S10" s="123">
        <f t="shared" si="6"/>
        <v>0</v>
      </c>
      <c r="T10" s="123">
        <f t="shared" si="6"/>
        <v>0</v>
      </c>
      <c r="U10" s="123">
        <f t="shared" si="6"/>
        <v>839346.52</v>
      </c>
      <c r="V10" s="123">
        <f t="shared" si="6"/>
        <v>108916.5</v>
      </c>
      <c r="W10" s="123">
        <f t="shared" si="6"/>
        <v>0</v>
      </c>
      <c r="X10" s="123">
        <f t="shared" si="6"/>
        <v>65313</v>
      </c>
      <c r="Y10" s="123">
        <f t="shared" si="6"/>
        <v>0</v>
      </c>
      <c r="Z10" s="123">
        <f t="shared" si="6"/>
        <v>0</v>
      </c>
      <c r="AA10" s="123">
        <f t="shared" si="6"/>
        <v>0</v>
      </c>
      <c r="AB10" s="123">
        <f t="shared" si="6"/>
        <v>170676</v>
      </c>
      <c r="AC10" s="123">
        <f t="shared" si="6"/>
        <v>108767.5</v>
      </c>
      <c r="AD10" s="123">
        <f t="shared" si="6"/>
        <v>42619.5</v>
      </c>
      <c r="AE10" s="123">
        <f t="shared" si="6"/>
        <v>0</v>
      </c>
      <c r="AF10" s="123">
        <f t="shared" si="6"/>
        <v>156847.8</v>
      </c>
      <c r="AG10" s="123">
        <f t="shared" si="6"/>
        <v>0</v>
      </c>
      <c r="AH10" s="123">
        <f t="shared" si="6"/>
        <v>0</v>
      </c>
      <c r="AI10" s="124">
        <f t="shared" ref="AI10:AI14" si="7">SUM(C10:AH10)</f>
        <v>3154971.65</v>
      </c>
      <c r="AJ10" s="125"/>
      <c r="AK10" s="126"/>
      <c r="AL10" s="127"/>
      <c r="AM10" s="128"/>
      <c r="AN10" s="128"/>
      <c r="AO10" s="128"/>
      <c r="AP10" s="128"/>
      <c r="AQ10" s="128"/>
      <c r="AR10" s="128"/>
      <c r="AS10" s="128"/>
      <c r="AT10" s="128"/>
      <c r="AU10" s="128"/>
      <c r="AV10" s="128"/>
      <c r="AW10" s="128"/>
      <c r="AX10" s="128"/>
      <c r="AY10" s="128"/>
      <c r="AZ10" s="129"/>
    </row>
    <row r="11" ht="24.75" customHeight="1">
      <c r="A11" s="88"/>
      <c r="B11" s="89" t="s">
        <v>110</v>
      </c>
      <c r="C11" s="130">
        <v>0.0</v>
      </c>
      <c r="D11" s="130">
        <v>0.0</v>
      </c>
      <c r="E11" s="130">
        <v>0.0</v>
      </c>
      <c r="F11" s="130">
        <f> +300*147.59 +40*147.75 + 40*147.75 + 1*147.74 + 1*147.74 + 6*147.74 + 11*147.74 + 11*147.74 + 23*147.74 + 27*147.74 + 40*147.74 + 40*147.74 + 13*147.73 + 27*147.73 + 40*147.71 + 40*147.71 + 40*147.71</f>
        <v>103369.8</v>
      </c>
      <c r="G11" s="130">
        <v>0.0</v>
      </c>
      <c r="H11" s="130">
        <v>0.0</v>
      </c>
      <c r="I11" s="130">
        <v>0.0</v>
      </c>
      <c r="J11" s="130">
        <v>0.0</v>
      </c>
      <c r="K11" s="130">
        <v>0.0</v>
      </c>
      <c r="L11" s="130">
        <f>+10000+10000+15000+10000+5000+12000</f>
        <v>62000</v>
      </c>
      <c r="M11" s="130">
        <f>+20734.59*0+18674.97+9941.48</f>
        <v>28616.45</v>
      </c>
      <c r="N11" s="130">
        <f>+50*39.12 + 50*39.06 + 50*39 + 50*38.93 + 50*38.89 + 50*38.85 + 50*38.81 + 50*38.81 + 50*38.81 + 50*38.68 + 4*38.62 + 46*38.62 + 50*38.61 + 1*38.6 + 49*38.6 + 50*38.55 + 50*38.54</f>
        <v>29094</v>
      </c>
      <c r="O11" s="130">
        <v>0.0</v>
      </c>
      <c r="P11" s="130">
        <v>0.0</v>
      </c>
      <c r="Q11" s="130">
        <v>0.0</v>
      </c>
      <c r="R11" s="130">
        <f>100*120.14 + 100*120.02 + 100*119.81</f>
        <v>35997</v>
      </c>
      <c r="S11" s="130">
        <f>+70*147.89+70*147.92</f>
        <v>20706.7</v>
      </c>
      <c r="T11" s="130">
        <v>0.0</v>
      </c>
      <c r="U11" s="130">
        <f>+50*66.9+50*66.88</f>
        <v>6689</v>
      </c>
      <c r="V11" s="130">
        <f> +200*84.65 + 200*85.62</f>
        <v>34054</v>
      </c>
      <c r="W11" s="130">
        <v>0.0</v>
      </c>
      <c r="X11" s="130">
        <f> +16*132.03 + 16*132.13 + 16*132.23 + 16*132.33 + 16*132.43 + 16*132.53 + 16*132.65 + 16*132.73 + 16*132.83 + 16*132.93</f>
        <v>21197.12</v>
      </c>
      <c r="Y11" s="130">
        <v>0.0</v>
      </c>
      <c r="Z11" s="130">
        <v>0.0</v>
      </c>
      <c r="AA11" s="130">
        <v>0.0</v>
      </c>
      <c r="AB11" s="130">
        <v>0.0</v>
      </c>
      <c r="AC11" s="131">
        <f>+374*131.64</f>
        <v>49233.36</v>
      </c>
      <c r="AD11" s="130">
        <f> +50*84.87 + 50*84.73 + 50*84.65 + 50*83.68</f>
        <v>16896.5</v>
      </c>
      <c r="AE11" s="130">
        <v>0.0</v>
      </c>
      <c r="AF11" s="130">
        <v>0.0</v>
      </c>
      <c r="AG11" s="130">
        <v>0.0</v>
      </c>
      <c r="AH11" s="130">
        <v>0.0</v>
      </c>
      <c r="AI11" s="132">
        <f t="shared" si="7"/>
        <v>407853.93</v>
      </c>
      <c r="AJ11" s="133"/>
      <c r="AK11" s="134"/>
      <c r="AL11" s="127"/>
      <c r="AM11" s="128"/>
      <c r="AN11" s="128"/>
      <c r="AO11" s="128"/>
      <c r="AP11" s="128"/>
      <c r="AQ11" s="128"/>
      <c r="AR11" s="128"/>
      <c r="AS11" s="128"/>
      <c r="AT11" s="128"/>
      <c r="AU11" s="128"/>
      <c r="AV11" s="128"/>
      <c r="AW11" s="128"/>
      <c r="AX11" s="128"/>
      <c r="AY11" s="128"/>
      <c r="AZ11" s="129"/>
    </row>
    <row r="12" ht="24.75" customHeight="1">
      <c r="A12" s="88"/>
      <c r="B12" s="98" t="s">
        <v>111</v>
      </c>
      <c r="C12" s="130">
        <v>0.0</v>
      </c>
      <c r="D12" s="130">
        <v>0.0</v>
      </c>
      <c r="E12" s="130">
        <f>+E14-E10</f>
        <v>262280</v>
      </c>
      <c r="F12" s="130"/>
      <c r="G12" s="131"/>
      <c r="H12" s="130">
        <v>0.0</v>
      </c>
      <c r="I12" s="130">
        <v>0.0</v>
      </c>
      <c r="J12" s="130">
        <v>0.0</v>
      </c>
      <c r="K12" s="130">
        <v>0.0</v>
      </c>
      <c r="L12" s="130">
        <f>-519.15-20734.59-18674.97-9941.48</f>
        <v>-49870.19</v>
      </c>
      <c r="M12" s="130">
        <v>0.0</v>
      </c>
      <c r="N12" s="130">
        <v>0.0</v>
      </c>
      <c r="O12" s="130">
        <v>0.0</v>
      </c>
      <c r="P12" s="130">
        <v>0.0</v>
      </c>
      <c r="Q12" s="130">
        <v>0.0</v>
      </c>
      <c r="R12" s="130">
        <f> -50*108.62 - 50*109.31 - 50*108.06 - 25*109.09 - 60*110.02 - 60*110.1 - 60*110.29 - 60*110.74 - 60*110.47 - 60*111.01-1*125.34 - 1*125.34 - 2*125.34 - 5*125.34 - 7*125.34 - 10*125.34 - 24*125.34 - 50*125.41 - 50*125.47 - 50*125.53 - 50*127.67 - 65*127.78 - 50*127.82 - 50*127.98 -100*129.43 - 13*129.79 - 87*129.79 - 100*129.92</f>
        <v>-150265.25</v>
      </c>
      <c r="S12" s="130">
        <v>0.0</v>
      </c>
      <c r="T12" s="130">
        <v>0.0</v>
      </c>
      <c r="U12" s="130">
        <v>0.0</v>
      </c>
      <c r="V12" s="130">
        <v>0.0</v>
      </c>
      <c r="W12" s="130">
        <v>0.0</v>
      </c>
      <c r="X12" s="130">
        <v>0.0</v>
      </c>
      <c r="Y12" s="130">
        <v>0.0</v>
      </c>
      <c r="Z12" s="130">
        <v>0.0</v>
      </c>
      <c r="AA12" s="130">
        <v>0.0</v>
      </c>
      <c r="AB12" s="130">
        <f> -300*53.02 - 300*53.01 - 100*53.01 - 200*53.04 -300*53.02 - 300*53.01 - 100*53.01 - 200*53.04-200*52.42 - 200*52.46 - 200*52.4 - 200*52.42 - 100*52.4 - 100*52.43 - 200*52.47 - 200*52.38 - 200*52.44 - 200*52.41 - 200*52.41</f>
        <v>-200281</v>
      </c>
      <c r="AC12" s="130">
        <f>-22*164.11-50*164.13-50*164.18</f>
        <v>-20025.92</v>
      </c>
      <c r="AD12" s="130">
        <v>0.0</v>
      </c>
      <c r="AE12" s="130">
        <v>0.0</v>
      </c>
      <c r="AF12" s="130">
        <v>0.0</v>
      </c>
      <c r="AG12" s="130">
        <v>0.0</v>
      </c>
      <c r="AH12" s="130">
        <v>0.0</v>
      </c>
      <c r="AI12" s="132">
        <f t="shared" si="7"/>
        <v>-158162.36</v>
      </c>
      <c r="AJ12" s="133">
        <f>SUM(AI11:AI12)</f>
        <v>249691.57</v>
      </c>
      <c r="AK12" s="135"/>
      <c r="AL12" s="129"/>
      <c r="AM12" s="128"/>
      <c r="AN12" s="128"/>
      <c r="AO12" s="128"/>
      <c r="AP12" s="128"/>
      <c r="AQ12" s="128"/>
      <c r="AR12" s="128"/>
      <c r="AS12" s="128"/>
      <c r="AT12" s="128"/>
      <c r="AU12" s="128"/>
      <c r="AV12" s="128"/>
      <c r="AW12" s="128"/>
      <c r="AX12" s="128"/>
      <c r="AY12" s="128"/>
      <c r="AZ12" s="129"/>
    </row>
    <row r="13" ht="24.0" customHeight="1">
      <c r="A13" s="88"/>
      <c r="B13" s="100" t="s">
        <v>112</v>
      </c>
      <c r="C13" s="130">
        <v>0.0</v>
      </c>
      <c r="D13" s="130">
        <v>0.0</v>
      </c>
      <c r="E13" s="130">
        <v>0.0</v>
      </c>
      <c r="F13" s="131"/>
      <c r="G13" s="130">
        <v>0.0</v>
      </c>
      <c r="H13" s="130">
        <v>0.0</v>
      </c>
      <c r="I13" s="130">
        <v>0.0</v>
      </c>
      <c r="J13" s="130">
        <v>0.0</v>
      </c>
      <c r="K13" s="130">
        <v>0.0</v>
      </c>
      <c r="L13" s="130">
        <v>0.0</v>
      </c>
      <c r="M13" s="130">
        <v>0.0</v>
      </c>
      <c r="N13" s="130">
        <v>0.0</v>
      </c>
      <c r="O13" s="130">
        <v>0.0</v>
      </c>
      <c r="P13" s="130">
        <v>0.0</v>
      </c>
      <c r="Q13" s="130">
        <v>0.0</v>
      </c>
      <c r="R13" s="130">
        <v>0.0</v>
      </c>
      <c r="S13" s="130">
        <v>0.0</v>
      </c>
      <c r="T13" s="130">
        <v>0.0</v>
      </c>
      <c r="U13" s="130">
        <v>0.0</v>
      </c>
      <c r="V13" s="130">
        <v>0.0</v>
      </c>
      <c r="W13" s="130">
        <v>0.0</v>
      </c>
      <c r="X13" s="130">
        <v>0.0</v>
      </c>
      <c r="Y13" s="130">
        <v>0.0</v>
      </c>
      <c r="Z13" s="130">
        <v>0.0</v>
      </c>
      <c r="AA13" s="130">
        <v>0.0</v>
      </c>
      <c r="AB13" s="130">
        <v>0.0</v>
      </c>
      <c r="AC13" s="130">
        <v>0.0</v>
      </c>
      <c r="AD13" s="130">
        <v>0.0</v>
      </c>
      <c r="AE13" s="130">
        <v>0.0</v>
      </c>
      <c r="AF13" s="130">
        <v>0.0</v>
      </c>
      <c r="AG13" s="130">
        <v>0.0</v>
      </c>
      <c r="AH13" s="130">
        <v>0.0</v>
      </c>
      <c r="AI13" s="132">
        <f t="shared" si="7"/>
        <v>0</v>
      </c>
      <c r="AJ13" s="136">
        <f>SUM(AI10:AI13)</f>
        <v>3404663.22</v>
      </c>
      <c r="AK13" s="102"/>
      <c r="AL13" s="103"/>
      <c r="AM13" s="103"/>
      <c r="AN13" s="103"/>
      <c r="AO13" s="103"/>
      <c r="AP13" s="103"/>
      <c r="AQ13" s="103"/>
      <c r="AR13" s="103"/>
      <c r="AS13" s="103"/>
      <c r="AT13" s="103"/>
      <c r="AU13" s="103"/>
      <c r="AV13" s="103"/>
      <c r="AW13" s="103"/>
      <c r="AX13" s="103"/>
      <c r="AY13" s="103"/>
      <c r="AZ13" s="103"/>
    </row>
    <row r="14" ht="24.0" customHeight="1">
      <c r="A14" s="88"/>
      <c r="B14" s="106" t="s">
        <v>113</v>
      </c>
      <c r="C14" s="130">
        <f>+(12810.76+21234.84)*0+(12846.89+21293.51)*0+(+21317.01+12861.07)*0+(21364.24+12889.33)</f>
        <v>34253.57</v>
      </c>
      <c r="D14" s="130">
        <f>+152925.14*0+153342.8*0+153511.95*0+153850.98</f>
        <v>153850.98</v>
      </c>
      <c r="E14" s="130">
        <f>+((+32199.68+23410)+(-30192.43-39361.2-35766))*0+((+7194.69+25458)+(-30192.43-39361.2-35766))*0+((-21973+17201.39)+(-35000-30192-37480))*0+((+894-37480-35000-30192)+(+97372+27911-71287-3995))*0+((+26070-2623)+(+894-37480-35000-39159))*0+((+17753-2623)+(-39158-13288-37481+19405)+(+26500+15240))*0+((82846+12549)+(-39158-13288-37481+19405))*0+((+127655-23863)+(+9185-18158-34288-37481))*0+((-23863+70155)+(-39158))*0+((+62999-27643)+(-39158-27532))*0+((+600-5598)+(-18999)+(+13870+38700))*0+((+52566-58781)+(-18899)+(+13870+38700))*0+((+90992-44821)+(-18899))*0+((+90806)+(-24988-15000)+(+3543))*0+((+94226.4+178)+(-24988-15000))*0+(+49726+178)*0+((+29374)+(+2530))*0+(+31998+178)*0+(30657)*0+(19644.02)*0+(+22324+178)*0+(-29428.92+223.79)*0+((-65211+223)+(+4086+10132)+(+2731-22708))*0+(-55191+4310)+(+2731-22708)</f>
        <v>-70858</v>
      </c>
      <c r="F14" s="130">
        <f> +(+300+400)*148.12</f>
        <v>103684</v>
      </c>
      <c r="G14" s="130">
        <f>+115783*0+116105.09*0+116296.85*0+116489.59*0+116554.34</f>
        <v>116554.34</v>
      </c>
      <c r="H14" s="131">
        <f>+15636*0+15681.96</f>
        <v>15681.96</v>
      </c>
      <c r="I14" s="130">
        <f>+190535.15*0+191038.5*0+191204.15*0+191548.66*0+191652.08</f>
        <v>191652.08</v>
      </c>
      <c r="J14" s="130">
        <f>+235184.58*0+235843.38*0+236112.54*0+236634.81*0+236766.17</f>
        <v>236766.17</v>
      </c>
      <c r="K14" s="131">
        <f>+230295.13*0+230422.09*0+230676.23*0+231057.96*0+231057.96*0+231440.33*0+231695.59</f>
        <v>231695.59</v>
      </c>
      <c r="L14" s="130">
        <f>+89129.32*0+88375*0+97743*0+76306*0+(+76546+10000-18674.97)*0+68069.15*0+(67886+15000-9941.48)*0+72742.08*0+(72646+10000)*0+82802.92*0+83188*0+(+82912+5000)*0+(87668+12000)*0+98858</f>
        <v>98858</v>
      </c>
      <c r="M14" s="130">
        <f>+(339349+20734.59)*0+(+362041.84)+(18674.97+9941.18)</f>
        <v>390657.99</v>
      </c>
      <c r="N14" s="130">
        <f>+750*38.87</f>
        <v>29152.5</v>
      </c>
      <c r="O14" s="130">
        <f>+121908.92*0+122155.68*0+122303.96*0+122514.18</f>
        <v>122514.18</v>
      </c>
      <c r="P14" s="130">
        <f>+231758.08*0+232258.6*0+232559.41*0+232860.62*0+232984.34</f>
        <v>232984.34</v>
      </c>
      <c r="Q14" s="130">
        <f>+63656.91*0+63669.16*0+63682.37*0+63978.03</f>
        <v>63978.03</v>
      </c>
      <c r="R14" s="130">
        <f>+(+1550-535-415-300+300)*121.7</f>
        <v>73020</v>
      </c>
      <c r="S14" s="130">
        <f>+(+70+70)*148.12</f>
        <v>20736.8</v>
      </c>
      <c r="T14" s="130">
        <v>0.0</v>
      </c>
      <c r="U14" s="130">
        <f>+(+11708+100)*66.92</f>
        <v>790191.36</v>
      </c>
      <c r="V14" s="130">
        <f>+(+1150+400)*87.39</f>
        <v>135454.5</v>
      </c>
      <c r="W14" s="130">
        <v>0.0</v>
      </c>
      <c r="X14" s="130">
        <f>+(+410+160)*131.95</f>
        <v>75211.5</v>
      </c>
      <c r="Y14" s="130">
        <v>0.0</v>
      </c>
      <c r="Z14" s="130">
        <v>0.0</v>
      </c>
      <c r="AA14" s="130">
        <v>0.0</v>
      </c>
      <c r="AB14" s="130">
        <f>+(+3300-400-900-2000)*52.4</f>
        <v>0</v>
      </c>
      <c r="AC14" s="130">
        <f>+(+695-122+374)*131.95</f>
        <v>124956.65</v>
      </c>
      <c r="AD14" s="130">
        <f>+(+450+200)*87.37</f>
        <v>56790.5</v>
      </c>
      <c r="AE14" s="130">
        <v>0.0</v>
      </c>
      <c r="AF14" s="130">
        <f>+2190*66.92</f>
        <v>146554.8</v>
      </c>
      <c r="AG14" s="130">
        <v>0.0</v>
      </c>
      <c r="AH14" s="130">
        <v>0.0</v>
      </c>
      <c r="AI14" s="132">
        <f t="shared" si="7"/>
        <v>3374341.84</v>
      </c>
      <c r="AJ14" s="136">
        <f>AJ13-AI14</f>
        <v>30321.38</v>
      </c>
      <c r="AK14" s="102"/>
      <c r="AL14" s="103"/>
      <c r="AM14" s="103"/>
      <c r="AN14" s="103"/>
      <c r="AO14" s="103"/>
      <c r="AP14" s="103"/>
      <c r="AQ14" s="103"/>
      <c r="AR14" s="103"/>
      <c r="AS14" s="103"/>
      <c r="AT14" s="103"/>
      <c r="AU14" s="103"/>
      <c r="AV14" s="103"/>
      <c r="AW14" s="103"/>
      <c r="AX14" s="103"/>
      <c r="AY14" s="103"/>
      <c r="AZ14" s="103"/>
    </row>
    <row r="15" ht="24.0" customHeight="1">
      <c r="A15" s="88"/>
      <c r="B15" s="109" t="s">
        <v>115</v>
      </c>
      <c r="C15" s="110">
        <f t="shared" ref="C15:AI15" si="8">IFERROR(IF(C14=0,(-C12/C10)-1,C16),"")</f>
        <v>0.007221540356</v>
      </c>
      <c r="D15" s="110">
        <f t="shared" si="8"/>
        <v>0.007160647286</v>
      </c>
      <c r="E15" s="110">
        <f t="shared" si="8"/>
        <v>0</v>
      </c>
      <c r="F15" s="110">
        <f t="shared" si="8"/>
        <v>0.003039572486</v>
      </c>
      <c r="G15" s="110">
        <f t="shared" si="8"/>
        <v>0.007165079746</v>
      </c>
      <c r="H15" s="110">
        <f t="shared" si="8"/>
        <v>0.007146765588</v>
      </c>
      <c r="I15" s="110">
        <f t="shared" si="8"/>
        <v>0.006431270208</v>
      </c>
      <c r="J15" s="110">
        <f t="shared" si="8"/>
        <v>0.007267743431</v>
      </c>
      <c r="K15" s="110">
        <f t="shared" si="8"/>
        <v>0.006496915725</v>
      </c>
      <c r="L15" s="110">
        <f t="shared" si="8"/>
        <v>-0.02367994384</v>
      </c>
      <c r="M15" s="110">
        <f t="shared" si="8"/>
        <v>0.06167030084</v>
      </c>
      <c r="N15" s="110">
        <f t="shared" si="8"/>
        <v>0.002010723861</v>
      </c>
      <c r="O15" s="110">
        <f t="shared" si="8"/>
        <v>0.005371426564</v>
      </c>
      <c r="P15" s="110">
        <f t="shared" si="8"/>
        <v>0.005724945265</v>
      </c>
      <c r="Q15" s="110">
        <f t="shared" si="8"/>
        <v>0.008115437341</v>
      </c>
      <c r="R15" s="110">
        <f t="shared" si="8"/>
        <v>0.1748474524</v>
      </c>
      <c r="S15" s="110">
        <f t="shared" si="8"/>
        <v>0.00145363578</v>
      </c>
      <c r="T15" s="110" t="str">
        <f t="shared" si="8"/>
        <v/>
      </c>
      <c r="U15" s="110">
        <f t="shared" si="8"/>
        <v>-0.06600687404</v>
      </c>
      <c r="V15" s="110">
        <f t="shared" si="8"/>
        <v>-0.05257028548</v>
      </c>
      <c r="W15" s="110" t="str">
        <f t="shared" si="8"/>
        <v/>
      </c>
      <c r="X15" s="110">
        <f t="shared" si="8"/>
        <v>-0.1306046044</v>
      </c>
      <c r="Y15" s="110" t="str">
        <f t="shared" si="8"/>
        <v/>
      </c>
      <c r="Z15" s="110" t="str">
        <f t="shared" si="8"/>
        <v/>
      </c>
      <c r="AA15" s="110" t="str">
        <f t="shared" si="8"/>
        <v/>
      </c>
      <c r="AB15" s="110">
        <f t="shared" si="8"/>
        <v>0.1734573109</v>
      </c>
      <c r="AC15" s="110">
        <f t="shared" si="8"/>
        <v>-0.09435256866</v>
      </c>
      <c r="AD15" s="110">
        <f t="shared" si="8"/>
        <v>-0.04579440823</v>
      </c>
      <c r="AE15" s="110" t="str">
        <f t="shared" si="8"/>
        <v/>
      </c>
      <c r="AF15" s="110">
        <f t="shared" si="8"/>
        <v>-0.06562412734</v>
      </c>
      <c r="AG15" s="110" t="str">
        <f t="shared" si="8"/>
        <v/>
      </c>
      <c r="AH15" s="110" t="str">
        <f t="shared" si="8"/>
        <v/>
      </c>
      <c r="AI15" s="137">
        <f t="shared" si="8"/>
        <v>-0.00890583827</v>
      </c>
      <c r="AJ15" s="136">
        <f>AI14*AI15</f>
        <v>-30051.34269</v>
      </c>
      <c r="AK15" s="102"/>
      <c r="AL15" s="103"/>
      <c r="AM15" s="103"/>
      <c r="AN15" s="103"/>
      <c r="AO15" s="103"/>
      <c r="AP15" s="103"/>
      <c r="AQ15" s="103"/>
      <c r="AR15" s="103"/>
      <c r="AS15" s="103"/>
      <c r="AT15" s="103"/>
      <c r="AU15" s="103"/>
      <c r="AV15" s="103"/>
      <c r="AW15" s="103"/>
      <c r="AX15" s="103"/>
      <c r="AY15" s="103"/>
      <c r="AZ15" s="103"/>
    </row>
    <row r="16" ht="24.0" hidden="1" customHeight="1">
      <c r="A16" s="88"/>
      <c r="B16" s="113" t="s">
        <v>116</v>
      </c>
      <c r="C16" s="138">
        <f t="shared" ref="C16:AI16" si="9">IFERROR(IF(AND(C10&lt;&gt;0,C14=""),"",(C14/(C10+C11+C12+C13))-1),"")</f>
        <v>0.007221540356</v>
      </c>
      <c r="D16" s="138">
        <f t="shared" si="9"/>
        <v>0.007160647286</v>
      </c>
      <c r="E16" s="138">
        <f t="shared" si="9"/>
        <v>0</v>
      </c>
      <c r="F16" s="138">
        <f t="shared" si="9"/>
        <v>0.003039572486</v>
      </c>
      <c r="G16" s="138">
        <f t="shared" si="9"/>
        <v>0.007165079746</v>
      </c>
      <c r="H16" s="138">
        <f t="shared" si="9"/>
        <v>0.007146765588</v>
      </c>
      <c r="I16" s="138">
        <f t="shared" si="9"/>
        <v>0.006431270208</v>
      </c>
      <c r="J16" s="138">
        <f t="shared" si="9"/>
        <v>0.007267743431</v>
      </c>
      <c r="K16" s="138">
        <f t="shared" si="9"/>
        <v>0.006496915725</v>
      </c>
      <c r="L16" s="138">
        <f t="shared" si="9"/>
        <v>-0.02367994384</v>
      </c>
      <c r="M16" s="138">
        <f t="shared" si="9"/>
        <v>0.06167030084</v>
      </c>
      <c r="N16" s="138">
        <f t="shared" si="9"/>
        <v>0.002010723861</v>
      </c>
      <c r="O16" s="138">
        <f t="shared" si="9"/>
        <v>0.005371426564</v>
      </c>
      <c r="P16" s="138">
        <f t="shared" si="9"/>
        <v>0.005724945265</v>
      </c>
      <c r="Q16" s="138">
        <f t="shared" si="9"/>
        <v>0.008115437341</v>
      </c>
      <c r="R16" s="138">
        <f t="shared" si="9"/>
        <v>0.1748474524</v>
      </c>
      <c r="S16" s="138">
        <f t="shared" si="9"/>
        <v>0.00145363578</v>
      </c>
      <c r="T16" s="138" t="str">
        <f t="shared" si="9"/>
        <v/>
      </c>
      <c r="U16" s="138">
        <f t="shared" si="9"/>
        <v>-0.06600687404</v>
      </c>
      <c r="V16" s="138">
        <f t="shared" si="9"/>
        <v>-0.05257028548</v>
      </c>
      <c r="W16" s="138" t="str">
        <f t="shared" si="9"/>
        <v/>
      </c>
      <c r="X16" s="138">
        <f t="shared" si="9"/>
        <v>-0.1306046044</v>
      </c>
      <c r="Y16" s="138" t="str">
        <f t="shared" si="9"/>
        <v/>
      </c>
      <c r="Z16" s="138" t="str">
        <f t="shared" si="9"/>
        <v/>
      </c>
      <c r="AA16" s="138" t="str">
        <f t="shared" si="9"/>
        <v/>
      </c>
      <c r="AB16" s="138">
        <f t="shared" si="9"/>
        <v>-1</v>
      </c>
      <c r="AC16" s="138">
        <f t="shared" si="9"/>
        <v>-0.09435256866</v>
      </c>
      <c r="AD16" s="138">
        <f t="shared" si="9"/>
        <v>-0.04579440823</v>
      </c>
      <c r="AE16" s="138" t="str">
        <f t="shared" si="9"/>
        <v/>
      </c>
      <c r="AF16" s="138">
        <f t="shared" si="9"/>
        <v>-0.06562412734</v>
      </c>
      <c r="AG16" s="138" t="str">
        <f t="shared" si="9"/>
        <v/>
      </c>
      <c r="AH16" s="138" t="str">
        <f t="shared" si="9"/>
        <v/>
      </c>
      <c r="AI16" s="139">
        <f t="shared" si="9"/>
        <v>-0.00890583827</v>
      </c>
      <c r="AJ16" s="136"/>
      <c r="AK16" s="102"/>
      <c r="AL16" s="103"/>
      <c r="AM16" s="103"/>
      <c r="AN16" s="103"/>
      <c r="AO16" s="103"/>
      <c r="AP16" s="103"/>
      <c r="AQ16" s="103"/>
      <c r="AR16" s="103"/>
      <c r="AS16" s="103"/>
      <c r="AT16" s="103"/>
      <c r="AU16" s="103"/>
      <c r="AV16" s="103"/>
      <c r="AW16" s="103"/>
      <c r="AX16" s="103"/>
      <c r="AY16" s="103"/>
      <c r="AZ16" s="103"/>
    </row>
    <row r="17" ht="24.0" customHeight="1">
      <c r="A17" s="115"/>
      <c r="B17" s="116" t="s">
        <v>117</v>
      </c>
      <c r="C17" s="117">
        <f t="shared" ref="C17:AI17" si="10">IFERROR(C14/$AI$14,"")</f>
        <v>0.01015118551</v>
      </c>
      <c r="D17" s="117">
        <f t="shared" si="10"/>
        <v>0.04559436693</v>
      </c>
      <c r="E17" s="117">
        <f t="shared" si="10"/>
        <v>-0.020999058</v>
      </c>
      <c r="F17" s="117">
        <f t="shared" si="10"/>
        <v>0.0307271773</v>
      </c>
      <c r="G17" s="117">
        <f t="shared" si="10"/>
        <v>0.03454135518</v>
      </c>
      <c r="H17" s="117">
        <f t="shared" si="10"/>
        <v>0.00464741296</v>
      </c>
      <c r="I17" s="117">
        <f t="shared" si="10"/>
        <v>0.05679687746</v>
      </c>
      <c r="J17" s="117">
        <f t="shared" si="10"/>
        <v>0.07016662248</v>
      </c>
      <c r="K17" s="117">
        <f t="shared" si="10"/>
        <v>0.06866393536</v>
      </c>
      <c r="L17" s="117">
        <f t="shared" si="10"/>
        <v>0.02929697247</v>
      </c>
      <c r="M17" s="117">
        <f t="shared" si="10"/>
        <v>0.1157730925</v>
      </c>
      <c r="N17" s="117">
        <f t="shared" si="10"/>
        <v>0.008639462563</v>
      </c>
      <c r="O17" s="117">
        <f t="shared" si="10"/>
        <v>0.03630757813</v>
      </c>
      <c r="P17" s="117">
        <f t="shared" si="10"/>
        <v>0.0690458617</v>
      </c>
      <c r="Q17" s="117">
        <f t="shared" si="10"/>
        <v>0.01896015076</v>
      </c>
      <c r="R17" s="117">
        <f t="shared" si="10"/>
        <v>0.02163977554</v>
      </c>
      <c r="S17" s="117">
        <f t="shared" si="10"/>
        <v>0.006145435461</v>
      </c>
      <c r="T17" s="117">
        <f t="shared" si="10"/>
        <v>0</v>
      </c>
      <c r="U17" s="117">
        <f t="shared" si="10"/>
        <v>0.2341764402</v>
      </c>
      <c r="V17" s="117">
        <f t="shared" si="10"/>
        <v>0.04014249487</v>
      </c>
      <c r="W17" s="117">
        <f t="shared" si="10"/>
        <v>0</v>
      </c>
      <c r="X17" s="117">
        <f t="shared" si="10"/>
        <v>0.02228923552</v>
      </c>
      <c r="Y17" s="117">
        <f t="shared" si="10"/>
        <v>0</v>
      </c>
      <c r="Z17" s="117">
        <f t="shared" si="10"/>
        <v>0</v>
      </c>
      <c r="AA17" s="117">
        <f t="shared" si="10"/>
        <v>0</v>
      </c>
      <c r="AB17" s="117">
        <f t="shared" si="10"/>
        <v>0</v>
      </c>
      <c r="AC17" s="117">
        <f t="shared" si="10"/>
        <v>0.0370314141</v>
      </c>
      <c r="AD17" s="117">
        <f t="shared" si="10"/>
        <v>0.01683009686</v>
      </c>
      <c r="AE17" s="117">
        <f t="shared" si="10"/>
        <v>0</v>
      </c>
      <c r="AF17" s="117">
        <f t="shared" si="10"/>
        <v>0.04343211416</v>
      </c>
      <c r="AG17" s="117">
        <f t="shared" si="10"/>
        <v>0</v>
      </c>
      <c r="AH17" s="117">
        <f t="shared" si="10"/>
        <v>0</v>
      </c>
      <c r="AI17" s="140">
        <f t="shared" si="10"/>
        <v>1</v>
      </c>
      <c r="AJ17" s="136">
        <f>AI14-AI10</f>
        <v>219370.19</v>
      </c>
      <c r="AK17" s="102">
        <f>AI14/AI10-1</f>
        <v>0.06953158834</v>
      </c>
      <c r="AL17" s="103"/>
      <c r="AM17" s="103"/>
      <c r="AN17" s="103"/>
      <c r="AO17" s="103"/>
      <c r="AP17" s="103"/>
      <c r="AQ17" s="103"/>
      <c r="AR17" s="103"/>
      <c r="AS17" s="103"/>
      <c r="AT17" s="103"/>
      <c r="AU17" s="103"/>
      <c r="AV17" s="103"/>
      <c r="AW17" s="103"/>
      <c r="AX17" s="103"/>
      <c r="AY17" s="103"/>
      <c r="AZ17" s="103"/>
    </row>
    <row r="18" ht="24.0" customHeight="1">
      <c r="A18" s="121">
        <v>45717.0</v>
      </c>
      <c r="B18" s="122" t="s">
        <v>118</v>
      </c>
      <c r="C18" s="123">
        <f t="shared" ref="C18:AH18" si="11">IF(C22="","",C14)</f>
        <v>34253.57</v>
      </c>
      <c r="D18" s="123">
        <f t="shared" si="11"/>
        <v>153850.98</v>
      </c>
      <c r="E18" s="123">
        <f t="shared" si="11"/>
        <v>-70858</v>
      </c>
      <c r="F18" s="123">
        <f t="shared" si="11"/>
        <v>103684</v>
      </c>
      <c r="G18" s="123">
        <f t="shared" si="11"/>
        <v>116554.34</v>
      </c>
      <c r="H18" s="123">
        <f t="shared" si="11"/>
        <v>15681.96</v>
      </c>
      <c r="I18" s="123">
        <f t="shared" si="11"/>
        <v>191652.08</v>
      </c>
      <c r="J18" s="123">
        <f t="shared" si="11"/>
        <v>236766.17</v>
      </c>
      <c r="K18" s="123">
        <f t="shared" si="11"/>
        <v>231695.59</v>
      </c>
      <c r="L18" s="123">
        <f t="shared" si="11"/>
        <v>98858</v>
      </c>
      <c r="M18" s="123">
        <f t="shared" si="11"/>
        <v>390657.99</v>
      </c>
      <c r="N18" s="123">
        <f t="shared" si="11"/>
        <v>29152.5</v>
      </c>
      <c r="O18" s="123">
        <f t="shared" si="11"/>
        <v>122514.18</v>
      </c>
      <c r="P18" s="123">
        <f t="shared" si="11"/>
        <v>232984.34</v>
      </c>
      <c r="Q18" s="123">
        <f t="shared" si="11"/>
        <v>63978.03</v>
      </c>
      <c r="R18" s="123">
        <f t="shared" si="11"/>
        <v>73020</v>
      </c>
      <c r="S18" s="123">
        <f t="shared" si="11"/>
        <v>20736.8</v>
      </c>
      <c r="T18" s="123">
        <f t="shared" si="11"/>
        <v>0</v>
      </c>
      <c r="U18" s="123">
        <f t="shared" si="11"/>
        <v>790191.36</v>
      </c>
      <c r="V18" s="123">
        <f t="shared" si="11"/>
        <v>135454.5</v>
      </c>
      <c r="W18" s="123">
        <f t="shared" si="11"/>
        <v>0</v>
      </c>
      <c r="X18" s="123">
        <f t="shared" si="11"/>
        <v>75211.5</v>
      </c>
      <c r="Y18" s="123">
        <f t="shared" si="11"/>
        <v>0</v>
      </c>
      <c r="Z18" s="123">
        <f t="shared" si="11"/>
        <v>0</v>
      </c>
      <c r="AA18" s="123">
        <f t="shared" si="11"/>
        <v>0</v>
      </c>
      <c r="AB18" s="123">
        <f t="shared" si="11"/>
        <v>0</v>
      </c>
      <c r="AC18" s="123">
        <f t="shared" si="11"/>
        <v>124956.65</v>
      </c>
      <c r="AD18" s="123">
        <f t="shared" si="11"/>
        <v>56790.5</v>
      </c>
      <c r="AE18" s="123">
        <f t="shared" si="11"/>
        <v>0</v>
      </c>
      <c r="AF18" s="123">
        <f t="shared" si="11"/>
        <v>146554.8</v>
      </c>
      <c r="AG18" s="123">
        <f t="shared" si="11"/>
        <v>0</v>
      </c>
      <c r="AH18" s="123">
        <f t="shared" si="11"/>
        <v>0</v>
      </c>
      <c r="AI18" s="141">
        <f t="shared" ref="AI18:AI22" si="12">SUM(C18:AH18)</f>
        <v>3374341.84</v>
      </c>
      <c r="AJ18" s="142"/>
      <c r="AK18" s="143"/>
      <c r="AL18" s="144"/>
      <c r="AM18" s="127"/>
      <c r="AN18" s="12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9"/>
    </row>
    <row r="19" ht="24.0" customHeight="1">
      <c r="A19" s="88"/>
      <c r="B19" s="89" t="s">
        <v>110</v>
      </c>
      <c r="C19" s="145">
        <v>0.0</v>
      </c>
      <c r="D19" s="145">
        <v>0.0</v>
      </c>
      <c r="E19" s="145">
        <v>0.0</v>
      </c>
      <c r="F19" s="145">
        <v>0.0</v>
      </c>
      <c r="G19" s="145">
        <v>0.0</v>
      </c>
      <c r="H19" s="145">
        <v>0.0</v>
      </c>
      <c r="I19" s="145">
        <v>0.0</v>
      </c>
      <c r="J19" s="145">
        <v>0.0</v>
      </c>
      <c r="K19" s="145">
        <v>0.0</v>
      </c>
      <c r="L19" s="145">
        <v>0.0</v>
      </c>
      <c r="M19" s="145">
        <v>0.0</v>
      </c>
      <c r="N19" s="145">
        <v>0.0</v>
      </c>
      <c r="O19" s="145">
        <v>0.0</v>
      </c>
      <c r="P19" s="145">
        <v>0.0</v>
      </c>
      <c r="Q19" s="145">
        <v>0.0</v>
      </c>
      <c r="R19" s="145">
        <v>0.0</v>
      </c>
      <c r="S19" s="145">
        <v>0.0</v>
      </c>
      <c r="T19" s="145">
        <v>0.0</v>
      </c>
      <c r="U19" s="145">
        <v>0.0</v>
      </c>
      <c r="V19" s="145">
        <v>0.0</v>
      </c>
      <c r="W19" s="145">
        <v>0.0</v>
      </c>
      <c r="X19" s="145">
        <v>0.0</v>
      </c>
      <c r="Y19" s="145">
        <v>0.0</v>
      </c>
      <c r="Z19" s="145">
        <v>0.0</v>
      </c>
      <c r="AA19" s="145">
        <v>0.0</v>
      </c>
      <c r="AB19" s="145">
        <v>0.0</v>
      </c>
      <c r="AC19" s="145">
        <v>0.0</v>
      </c>
      <c r="AD19" s="145">
        <v>0.0</v>
      </c>
      <c r="AE19" s="145">
        <v>0.0</v>
      </c>
      <c r="AF19" s="145">
        <v>0.0</v>
      </c>
      <c r="AG19" s="145">
        <v>0.0</v>
      </c>
      <c r="AH19" s="145">
        <v>0.0</v>
      </c>
      <c r="AI19" s="107">
        <f t="shared" si="12"/>
        <v>0</v>
      </c>
      <c r="AJ19" s="146"/>
      <c r="AK19" s="134"/>
      <c r="AL19" s="147"/>
      <c r="AM19" s="127"/>
      <c r="AN19" s="128"/>
      <c r="AP19" s="128"/>
      <c r="AQ19" s="128"/>
      <c r="AR19" s="128"/>
      <c r="AS19" s="128"/>
      <c r="AT19" s="128"/>
      <c r="AU19" s="128"/>
      <c r="AV19" s="128"/>
      <c r="AW19" s="128"/>
      <c r="AX19" s="128"/>
      <c r="AY19" s="128"/>
      <c r="AZ19" s="129"/>
    </row>
    <row r="20" ht="24.0" customHeight="1">
      <c r="A20" s="88"/>
      <c r="B20" s="98" t="s">
        <v>111</v>
      </c>
      <c r="C20" s="145">
        <v>0.0</v>
      </c>
      <c r="D20" s="145">
        <v>0.0</v>
      </c>
      <c r="E20" s="145">
        <v>0.0</v>
      </c>
      <c r="F20" s="145">
        <v>0.0</v>
      </c>
      <c r="G20" s="145">
        <v>0.0</v>
      </c>
      <c r="H20" s="145">
        <v>0.0</v>
      </c>
      <c r="I20" s="145">
        <v>0.0</v>
      </c>
      <c r="J20" s="145">
        <v>0.0</v>
      </c>
      <c r="K20" s="145">
        <v>0.0</v>
      </c>
      <c r="L20" s="145">
        <v>0.0</v>
      </c>
      <c r="M20" s="145">
        <v>0.0</v>
      </c>
      <c r="N20" s="145">
        <v>0.0</v>
      </c>
      <c r="O20" s="145">
        <v>0.0</v>
      </c>
      <c r="P20" s="145">
        <v>0.0</v>
      </c>
      <c r="Q20" s="145">
        <v>0.0</v>
      </c>
      <c r="R20" s="145">
        <v>0.0</v>
      </c>
      <c r="S20" s="145">
        <v>0.0</v>
      </c>
      <c r="T20" s="145">
        <v>0.0</v>
      </c>
      <c r="U20" s="145">
        <v>0.0</v>
      </c>
      <c r="V20" s="145">
        <v>0.0</v>
      </c>
      <c r="W20" s="145">
        <v>0.0</v>
      </c>
      <c r="X20" s="145">
        <v>0.0</v>
      </c>
      <c r="Y20" s="145">
        <v>0.0</v>
      </c>
      <c r="Z20" s="145">
        <v>0.0</v>
      </c>
      <c r="AA20" s="145">
        <v>0.0</v>
      </c>
      <c r="AB20" s="145">
        <v>0.0</v>
      </c>
      <c r="AC20" s="145">
        <v>0.0</v>
      </c>
      <c r="AD20" s="145">
        <v>0.0</v>
      </c>
      <c r="AE20" s="145">
        <v>0.0</v>
      </c>
      <c r="AF20" s="145">
        <v>0.0</v>
      </c>
      <c r="AG20" s="145">
        <v>0.0</v>
      </c>
      <c r="AH20" s="145">
        <v>0.0</v>
      </c>
      <c r="AI20" s="107">
        <f t="shared" si="12"/>
        <v>0</v>
      </c>
      <c r="AJ20" s="101">
        <f>SUM(AI19:AI20)</f>
        <v>0</v>
      </c>
      <c r="AK20" s="102"/>
      <c r="AL20" s="103"/>
      <c r="AM20" s="103"/>
      <c r="AN20" s="103"/>
      <c r="AO20" s="103"/>
      <c r="AP20" s="103"/>
      <c r="AQ20" s="103"/>
      <c r="AR20" s="103"/>
      <c r="AS20" s="103"/>
      <c r="AT20" s="103"/>
      <c r="AU20" s="103"/>
      <c r="AV20" s="103"/>
      <c r="AW20" s="103"/>
      <c r="AX20" s="103"/>
      <c r="AY20" s="103"/>
      <c r="AZ20" s="103"/>
    </row>
    <row r="21" ht="24.0" customHeight="1">
      <c r="A21" s="88"/>
      <c r="B21" s="100" t="s">
        <v>112</v>
      </c>
      <c r="C21" s="145">
        <v>0.0</v>
      </c>
      <c r="D21" s="145">
        <v>0.0</v>
      </c>
      <c r="E21" s="145">
        <v>0.0</v>
      </c>
      <c r="F21" s="145">
        <v>0.0</v>
      </c>
      <c r="G21" s="145">
        <v>0.0</v>
      </c>
      <c r="H21" s="145">
        <v>0.0</v>
      </c>
      <c r="I21" s="145">
        <v>0.0</v>
      </c>
      <c r="J21" s="145">
        <v>0.0</v>
      </c>
      <c r="K21" s="145">
        <v>0.0</v>
      </c>
      <c r="L21" s="145">
        <v>0.0</v>
      </c>
      <c r="M21" s="145">
        <v>0.0</v>
      </c>
      <c r="N21" s="145">
        <v>0.0</v>
      </c>
      <c r="O21" s="145">
        <v>0.0</v>
      </c>
      <c r="P21" s="145">
        <v>0.0</v>
      </c>
      <c r="Q21" s="145">
        <v>0.0</v>
      </c>
      <c r="R21" s="145">
        <v>0.0</v>
      </c>
      <c r="S21" s="145">
        <v>0.0</v>
      </c>
      <c r="T21" s="145">
        <v>0.0</v>
      </c>
      <c r="U21" s="145">
        <v>0.0</v>
      </c>
      <c r="V21" s="145">
        <v>0.0</v>
      </c>
      <c r="W21" s="145">
        <v>0.0</v>
      </c>
      <c r="X21" s="145">
        <v>0.0</v>
      </c>
      <c r="Y21" s="145">
        <v>0.0</v>
      </c>
      <c r="Z21" s="145">
        <v>0.0</v>
      </c>
      <c r="AA21" s="145">
        <v>0.0</v>
      </c>
      <c r="AB21" s="145">
        <v>0.0</v>
      </c>
      <c r="AC21" s="145">
        <v>0.0</v>
      </c>
      <c r="AD21" s="145">
        <v>0.0</v>
      </c>
      <c r="AE21" s="145">
        <v>0.0</v>
      </c>
      <c r="AF21" s="145">
        <v>0.0</v>
      </c>
      <c r="AG21" s="145">
        <v>0.0</v>
      </c>
      <c r="AH21" s="145">
        <v>0.0</v>
      </c>
      <c r="AI21" s="107">
        <f t="shared" si="12"/>
        <v>0</v>
      </c>
      <c r="AJ21" s="101">
        <f>SUM(AI18:AI21)</f>
        <v>3374341.84</v>
      </c>
      <c r="AK21" s="102"/>
      <c r="AL21" s="103"/>
      <c r="AM21" s="103"/>
      <c r="AN21" s="103"/>
      <c r="AO21" s="103"/>
      <c r="AP21" s="103"/>
      <c r="AQ21" s="103"/>
      <c r="AR21" s="103"/>
      <c r="AS21" s="103"/>
      <c r="AT21" s="103"/>
      <c r="AU21" s="103"/>
      <c r="AV21" s="103"/>
      <c r="AW21" s="103"/>
      <c r="AX21" s="103"/>
      <c r="AY21" s="103"/>
      <c r="AZ21" s="103"/>
    </row>
    <row r="22" ht="24.0" customHeight="1">
      <c r="A22" s="88"/>
      <c r="B22" s="106" t="s">
        <v>113</v>
      </c>
      <c r="C22" s="145">
        <v>0.0</v>
      </c>
      <c r="D22" s="145">
        <v>0.0</v>
      </c>
      <c r="E22" s="145">
        <v>0.0</v>
      </c>
      <c r="F22" s="145">
        <v>0.0</v>
      </c>
      <c r="G22" s="145">
        <v>0.0</v>
      </c>
      <c r="H22" s="145">
        <v>0.0</v>
      </c>
      <c r="I22" s="145">
        <v>0.0</v>
      </c>
      <c r="J22" s="145">
        <v>0.0</v>
      </c>
      <c r="K22" s="145">
        <v>0.0</v>
      </c>
      <c r="L22" s="145">
        <v>0.0</v>
      </c>
      <c r="M22" s="145">
        <v>0.0</v>
      </c>
      <c r="N22" s="145">
        <v>0.0</v>
      </c>
      <c r="O22" s="145">
        <v>0.0</v>
      </c>
      <c r="P22" s="145">
        <v>0.0</v>
      </c>
      <c r="Q22" s="145">
        <v>0.0</v>
      </c>
      <c r="R22" s="145">
        <v>0.0</v>
      </c>
      <c r="S22" s="145">
        <v>0.0</v>
      </c>
      <c r="T22" s="145">
        <v>0.0</v>
      </c>
      <c r="U22" s="145">
        <v>0.0</v>
      </c>
      <c r="V22" s="145">
        <v>0.0</v>
      </c>
      <c r="W22" s="145">
        <v>0.0</v>
      </c>
      <c r="X22" s="145">
        <v>0.0</v>
      </c>
      <c r="Y22" s="145">
        <v>0.0</v>
      </c>
      <c r="Z22" s="145">
        <v>0.0</v>
      </c>
      <c r="AA22" s="145">
        <v>0.0</v>
      </c>
      <c r="AB22" s="145">
        <v>0.0</v>
      </c>
      <c r="AC22" s="145">
        <v>0.0</v>
      </c>
      <c r="AD22" s="145">
        <v>0.0</v>
      </c>
      <c r="AE22" s="145">
        <v>0.0</v>
      </c>
      <c r="AF22" s="145">
        <v>0.0</v>
      </c>
      <c r="AG22" s="145">
        <v>0.0</v>
      </c>
      <c r="AH22" s="145">
        <v>0.0</v>
      </c>
      <c r="AI22" s="148">
        <f t="shared" si="12"/>
        <v>0</v>
      </c>
      <c r="AJ22" s="101">
        <f>AJ21-AI22</f>
        <v>3374341.84</v>
      </c>
      <c r="AK22" s="102"/>
      <c r="AL22" s="103"/>
      <c r="AM22" s="103"/>
      <c r="AN22" s="103"/>
      <c r="AO22" s="103"/>
      <c r="AP22" s="103"/>
      <c r="AQ22" s="103"/>
      <c r="AR22" s="103"/>
      <c r="AS22" s="103"/>
      <c r="AT22" s="103"/>
      <c r="AU22" s="103"/>
      <c r="AV22" s="103"/>
      <c r="AW22" s="103"/>
      <c r="AX22" s="103"/>
      <c r="AY22" s="103"/>
      <c r="AZ22" s="103"/>
    </row>
    <row r="23" ht="30.0" customHeight="1">
      <c r="A23" s="88"/>
      <c r="B23" s="109" t="s">
        <v>115</v>
      </c>
      <c r="C23" s="110">
        <f t="shared" ref="C23:AI23" si="13">IFERROR(IF(C22=0,(-C20/C18)-1,C24),"")</f>
        <v>-1</v>
      </c>
      <c r="D23" s="110">
        <f t="shared" si="13"/>
        <v>-1</v>
      </c>
      <c r="E23" s="110">
        <f t="shared" si="13"/>
        <v>-1</v>
      </c>
      <c r="F23" s="110">
        <f t="shared" si="13"/>
        <v>-1</v>
      </c>
      <c r="G23" s="110">
        <f t="shared" si="13"/>
        <v>-1</v>
      </c>
      <c r="H23" s="110">
        <f t="shared" si="13"/>
        <v>-1</v>
      </c>
      <c r="I23" s="110">
        <f t="shared" si="13"/>
        <v>-1</v>
      </c>
      <c r="J23" s="110">
        <f t="shared" si="13"/>
        <v>-1</v>
      </c>
      <c r="K23" s="110">
        <f t="shared" si="13"/>
        <v>-1</v>
      </c>
      <c r="L23" s="110">
        <f t="shared" si="13"/>
        <v>-1</v>
      </c>
      <c r="M23" s="110">
        <f t="shared" si="13"/>
        <v>-1</v>
      </c>
      <c r="N23" s="110">
        <f t="shared" si="13"/>
        <v>-1</v>
      </c>
      <c r="O23" s="110">
        <f t="shared" si="13"/>
        <v>-1</v>
      </c>
      <c r="P23" s="110">
        <f t="shared" si="13"/>
        <v>-1</v>
      </c>
      <c r="Q23" s="110">
        <f t="shared" si="13"/>
        <v>-1</v>
      </c>
      <c r="R23" s="110">
        <f t="shared" si="13"/>
        <v>-1</v>
      </c>
      <c r="S23" s="110">
        <f t="shared" si="13"/>
        <v>-1</v>
      </c>
      <c r="T23" s="110" t="str">
        <f t="shared" si="13"/>
        <v/>
      </c>
      <c r="U23" s="110">
        <f t="shared" si="13"/>
        <v>-1</v>
      </c>
      <c r="V23" s="110">
        <f t="shared" si="13"/>
        <v>-1</v>
      </c>
      <c r="W23" s="110" t="str">
        <f t="shared" si="13"/>
        <v/>
      </c>
      <c r="X23" s="110">
        <f t="shared" si="13"/>
        <v>-1</v>
      </c>
      <c r="Y23" s="110" t="str">
        <f t="shared" si="13"/>
        <v/>
      </c>
      <c r="Z23" s="110" t="str">
        <f t="shared" si="13"/>
        <v/>
      </c>
      <c r="AA23" s="110" t="str">
        <f t="shared" si="13"/>
        <v/>
      </c>
      <c r="AB23" s="110" t="str">
        <f t="shared" si="13"/>
        <v/>
      </c>
      <c r="AC23" s="110">
        <f t="shared" si="13"/>
        <v>-1</v>
      </c>
      <c r="AD23" s="110">
        <f t="shared" si="13"/>
        <v>-1</v>
      </c>
      <c r="AE23" s="110" t="str">
        <f t="shared" si="13"/>
        <v/>
      </c>
      <c r="AF23" s="110">
        <f t="shared" si="13"/>
        <v>-1</v>
      </c>
      <c r="AG23" s="110" t="str">
        <f t="shared" si="13"/>
        <v/>
      </c>
      <c r="AH23" s="110" t="str">
        <f t="shared" si="13"/>
        <v/>
      </c>
      <c r="AI23" s="112">
        <f t="shared" si="13"/>
        <v>-1</v>
      </c>
      <c r="AJ23" s="149">
        <f>AI22*AI23</f>
        <v>0</v>
      </c>
      <c r="AK23" s="102"/>
      <c r="AL23" s="103"/>
      <c r="AM23" s="103"/>
      <c r="AN23" s="103"/>
      <c r="AO23" s="103"/>
      <c r="AP23" s="103"/>
      <c r="AQ23" s="103"/>
      <c r="AR23" s="103"/>
      <c r="AS23" s="103"/>
      <c r="AT23" s="103"/>
      <c r="AU23" s="103"/>
      <c r="AV23" s="103"/>
      <c r="AW23" s="103"/>
      <c r="AX23" s="103"/>
      <c r="AY23" s="103"/>
      <c r="AZ23" s="103"/>
    </row>
    <row r="24" ht="1.5" customHeight="1">
      <c r="A24" s="88"/>
      <c r="B24" s="113" t="s">
        <v>116</v>
      </c>
      <c r="C24" s="138">
        <f t="shared" ref="C24:AI24" si="14">IFERROR(IF(AND(C18&lt;&gt;0,C22=""),"",(C22/(C18+C19+C20+C21))-1),"")</f>
        <v>-1</v>
      </c>
      <c r="D24" s="138">
        <f t="shared" si="14"/>
        <v>-1</v>
      </c>
      <c r="E24" s="138">
        <f t="shared" si="14"/>
        <v>-1</v>
      </c>
      <c r="F24" s="138">
        <f t="shared" si="14"/>
        <v>-1</v>
      </c>
      <c r="G24" s="138">
        <f t="shared" si="14"/>
        <v>-1</v>
      </c>
      <c r="H24" s="138">
        <f t="shared" si="14"/>
        <v>-1</v>
      </c>
      <c r="I24" s="138">
        <f t="shared" si="14"/>
        <v>-1</v>
      </c>
      <c r="J24" s="138">
        <f t="shared" si="14"/>
        <v>-1</v>
      </c>
      <c r="K24" s="138">
        <f t="shared" si="14"/>
        <v>-1</v>
      </c>
      <c r="L24" s="138">
        <f t="shared" si="14"/>
        <v>-1</v>
      </c>
      <c r="M24" s="138">
        <f t="shared" si="14"/>
        <v>-1</v>
      </c>
      <c r="N24" s="138">
        <f t="shared" si="14"/>
        <v>-1</v>
      </c>
      <c r="O24" s="138">
        <f t="shared" si="14"/>
        <v>-1</v>
      </c>
      <c r="P24" s="138">
        <f t="shared" si="14"/>
        <v>-1</v>
      </c>
      <c r="Q24" s="138">
        <f t="shared" si="14"/>
        <v>-1</v>
      </c>
      <c r="R24" s="138">
        <f t="shared" si="14"/>
        <v>-1</v>
      </c>
      <c r="S24" s="138">
        <f t="shared" si="14"/>
        <v>-1</v>
      </c>
      <c r="T24" s="138" t="str">
        <f t="shared" si="14"/>
        <v/>
      </c>
      <c r="U24" s="138">
        <f t="shared" si="14"/>
        <v>-1</v>
      </c>
      <c r="V24" s="138">
        <f t="shared" si="14"/>
        <v>-1</v>
      </c>
      <c r="W24" s="138" t="str">
        <f t="shared" si="14"/>
        <v/>
      </c>
      <c r="X24" s="138">
        <f t="shared" si="14"/>
        <v>-1</v>
      </c>
      <c r="Y24" s="138" t="str">
        <f t="shared" si="14"/>
        <v/>
      </c>
      <c r="Z24" s="138" t="str">
        <f t="shared" si="14"/>
        <v/>
      </c>
      <c r="AA24" s="138" t="str">
        <f t="shared" si="14"/>
        <v/>
      </c>
      <c r="AB24" s="138" t="str">
        <f t="shared" si="14"/>
        <v/>
      </c>
      <c r="AC24" s="138">
        <f t="shared" si="14"/>
        <v>-1</v>
      </c>
      <c r="AD24" s="138">
        <f t="shared" si="14"/>
        <v>-1</v>
      </c>
      <c r="AE24" s="138" t="str">
        <f t="shared" si="14"/>
        <v/>
      </c>
      <c r="AF24" s="138">
        <f t="shared" si="14"/>
        <v>-1</v>
      </c>
      <c r="AG24" s="138" t="str">
        <f t="shared" si="14"/>
        <v/>
      </c>
      <c r="AH24" s="138" t="str">
        <f t="shared" si="14"/>
        <v/>
      </c>
      <c r="AI24" s="139">
        <f t="shared" si="14"/>
        <v>-1</v>
      </c>
      <c r="AJ24" s="101"/>
      <c r="AK24" s="102"/>
      <c r="AL24" s="103"/>
      <c r="AM24" s="103"/>
      <c r="AN24" s="103"/>
      <c r="AO24" s="103"/>
      <c r="AP24" s="103"/>
      <c r="AQ24" s="103"/>
      <c r="AR24" s="103"/>
      <c r="AS24" s="103"/>
      <c r="AT24" s="103"/>
      <c r="AU24" s="103"/>
      <c r="AV24" s="103"/>
      <c r="AW24" s="103"/>
      <c r="AX24" s="103"/>
      <c r="AY24" s="103"/>
      <c r="AZ24" s="103"/>
    </row>
    <row r="25" ht="24.0" customHeight="1">
      <c r="A25" s="115"/>
      <c r="B25" s="116" t="s">
        <v>117</v>
      </c>
      <c r="C25" s="117" t="str">
        <f t="shared" ref="C25:AI25" si="15">IFERROR(C22/$AI$22,"")</f>
        <v/>
      </c>
      <c r="D25" s="117" t="str">
        <f t="shared" si="15"/>
        <v/>
      </c>
      <c r="E25" s="117" t="str">
        <f t="shared" si="15"/>
        <v/>
      </c>
      <c r="F25" s="117" t="str">
        <f t="shared" si="15"/>
        <v/>
      </c>
      <c r="G25" s="117" t="str">
        <f t="shared" si="15"/>
        <v/>
      </c>
      <c r="H25" s="117" t="str">
        <f t="shared" si="15"/>
        <v/>
      </c>
      <c r="I25" s="117" t="str">
        <f t="shared" si="15"/>
        <v/>
      </c>
      <c r="J25" s="117" t="str">
        <f t="shared" si="15"/>
        <v/>
      </c>
      <c r="K25" s="117" t="str">
        <f t="shared" si="15"/>
        <v/>
      </c>
      <c r="L25" s="117" t="str">
        <f t="shared" si="15"/>
        <v/>
      </c>
      <c r="M25" s="117" t="str">
        <f t="shared" si="15"/>
        <v/>
      </c>
      <c r="N25" s="117" t="str">
        <f t="shared" si="15"/>
        <v/>
      </c>
      <c r="O25" s="117" t="str">
        <f t="shared" si="15"/>
        <v/>
      </c>
      <c r="P25" s="117" t="str">
        <f t="shared" si="15"/>
        <v/>
      </c>
      <c r="Q25" s="117" t="str">
        <f t="shared" si="15"/>
        <v/>
      </c>
      <c r="R25" s="117" t="str">
        <f t="shared" si="15"/>
        <v/>
      </c>
      <c r="S25" s="117" t="str">
        <f t="shared" si="15"/>
        <v/>
      </c>
      <c r="T25" s="117" t="str">
        <f t="shared" si="15"/>
        <v/>
      </c>
      <c r="U25" s="117" t="str">
        <f t="shared" si="15"/>
        <v/>
      </c>
      <c r="V25" s="117" t="str">
        <f t="shared" si="15"/>
        <v/>
      </c>
      <c r="W25" s="117" t="str">
        <f t="shared" si="15"/>
        <v/>
      </c>
      <c r="X25" s="117" t="str">
        <f t="shared" si="15"/>
        <v/>
      </c>
      <c r="Y25" s="117" t="str">
        <f t="shared" si="15"/>
        <v/>
      </c>
      <c r="Z25" s="117" t="str">
        <f t="shared" si="15"/>
        <v/>
      </c>
      <c r="AA25" s="117" t="str">
        <f t="shared" si="15"/>
        <v/>
      </c>
      <c r="AB25" s="117" t="str">
        <f t="shared" si="15"/>
        <v/>
      </c>
      <c r="AC25" s="117" t="str">
        <f t="shared" si="15"/>
        <v/>
      </c>
      <c r="AD25" s="117" t="str">
        <f t="shared" si="15"/>
        <v/>
      </c>
      <c r="AE25" s="117" t="str">
        <f t="shared" si="15"/>
        <v/>
      </c>
      <c r="AF25" s="117" t="str">
        <f t="shared" si="15"/>
        <v/>
      </c>
      <c r="AG25" s="117" t="str">
        <f t="shared" si="15"/>
        <v/>
      </c>
      <c r="AH25" s="117" t="str">
        <f t="shared" si="15"/>
        <v/>
      </c>
      <c r="AI25" s="118" t="str">
        <f t="shared" si="15"/>
        <v/>
      </c>
      <c r="AJ25" s="119">
        <f>AI22-AI18</f>
        <v>-3374341.84</v>
      </c>
      <c r="AK25" s="120">
        <f>AI22/AI18-1</f>
        <v>-1</v>
      </c>
      <c r="AL25" s="103"/>
      <c r="AM25" s="103"/>
      <c r="AN25" s="103"/>
      <c r="AO25" s="103"/>
      <c r="AP25" s="103"/>
      <c r="AQ25" s="103"/>
      <c r="AR25" s="103"/>
      <c r="AS25" s="103"/>
      <c r="AT25" s="103"/>
      <c r="AU25" s="103"/>
      <c r="AV25" s="103"/>
      <c r="AW25" s="103"/>
      <c r="AX25" s="103"/>
      <c r="AY25" s="103"/>
      <c r="AZ25" s="103"/>
    </row>
    <row r="26" ht="24.0" customHeight="1">
      <c r="A26" s="121">
        <v>45748.0</v>
      </c>
      <c r="B26" s="122" t="s">
        <v>118</v>
      </c>
      <c r="C26" s="123">
        <f t="shared" ref="C26:AH26" si="16">IF(C30="","",C22)</f>
        <v>0</v>
      </c>
      <c r="D26" s="123">
        <f t="shared" si="16"/>
        <v>0</v>
      </c>
      <c r="E26" s="123">
        <f t="shared" si="16"/>
        <v>0</v>
      </c>
      <c r="F26" s="123">
        <f t="shared" si="16"/>
        <v>0</v>
      </c>
      <c r="G26" s="123">
        <f t="shared" si="16"/>
        <v>0</v>
      </c>
      <c r="H26" s="123">
        <f t="shared" si="16"/>
        <v>0</v>
      </c>
      <c r="I26" s="123">
        <f t="shared" si="16"/>
        <v>0</v>
      </c>
      <c r="J26" s="123">
        <f t="shared" si="16"/>
        <v>0</v>
      </c>
      <c r="K26" s="123">
        <f t="shared" si="16"/>
        <v>0</v>
      </c>
      <c r="L26" s="123">
        <f t="shared" si="16"/>
        <v>0</v>
      </c>
      <c r="M26" s="123">
        <f t="shared" si="16"/>
        <v>0</v>
      </c>
      <c r="N26" s="123">
        <f t="shared" si="16"/>
        <v>0</v>
      </c>
      <c r="O26" s="123">
        <f t="shared" si="16"/>
        <v>0</v>
      </c>
      <c r="P26" s="123">
        <f t="shared" si="16"/>
        <v>0</v>
      </c>
      <c r="Q26" s="123">
        <f t="shared" si="16"/>
        <v>0</v>
      </c>
      <c r="R26" s="123">
        <f t="shared" si="16"/>
        <v>0</v>
      </c>
      <c r="S26" s="123">
        <f t="shared" si="16"/>
        <v>0</v>
      </c>
      <c r="T26" s="123">
        <f t="shared" si="16"/>
        <v>0</v>
      </c>
      <c r="U26" s="123">
        <f t="shared" si="16"/>
        <v>0</v>
      </c>
      <c r="V26" s="123">
        <f t="shared" si="16"/>
        <v>0</v>
      </c>
      <c r="W26" s="123">
        <f t="shared" si="16"/>
        <v>0</v>
      </c>
      <c r="X26" s="123">
        <f t="shared" si="16"/>
        <v>0</v>
      </c>
      <c r="Y26" s="123">
        <f t="shared" si="16"/>
        <v>0</v>
      </c>
      <c r="Z26" s="123">
        <f t="shared" si="16"/>
        <v>0</v>
      </c>
      <c r="AA26" s="123">
        <f t="shared" si="16"/>
        <v>0</v>
      </c>
      <c r="AB26" s="123">
        <f t="shared" si="16"/>
        <v>0</v>
      </c>
      <c r="AC26" s="123">
        <f t="shared" si="16"/>
        <v>0</v>
      </c>
      <c r="AD26" s="123">
        <f t="shared" si="16"/>
        <v>0</v>
      </c>
      <c r="AE26" s="123">
        <f t="shared" si="16"/>
        <v>0</v>
      </c>
      <c r="AF26" s="123">
        <f t="shared" si="16"/>
        <v>0</v>
      </c>
      <c r="AG26" s="123">
        <f t="shared" si="16"/>
        <v>0</v>
      </c>
      <c r="AH26" s="123">
        <f t="shared" si="16"/>
        <v>0</v>
      </c>
      <c r="AI26" s="150">
        <f t="shared" ref="AI26:AI30" si="17">SUM(C26:AH26)</f>
        <v>0</v>
      </c>
      <c r="AJ26" s="142"/>
      <c r="AK26" s="143"/>
      <c r="AL26" s="144"/>
      <c r="AM26" s="127"/>
      <c r="AN26" s="128"/>
      <c r="AO26" s="128"/>
      <c r="AP26" s="128"/>
      <c r="AQ26" s="128"/>
      <c r="AR26" s="128"/>
      <c r="AS26" s="128"/>
      <c r="AT26" s="128"/>
      <c r="AU26" s="128"/>
      <c r="AV26" s="128"/>
      <c r="AW26" s="128"/>
      <c r="AX26" s="128"/>
      <c r="AY26" s="128"/>
      <c r="AZ26" s="129"/>
    </row>
    <row r="27" ht="24.0" customHeight="1">
      <c r="A27" s="88"/>
      <c r="B27" s="89" t="s">
        <v>110</v>
      </c>
      <c r="C27" s="130">
        <v>0.0</v>
      </c>
      <c r="D27" s="130">
        <v>0.0</v>
      </c>
      <c r="E27" s="130">
        <v>0.0</v>
      </c>
      <c r="F27" s="130">
        <v>0.0</v>
      </c>
      <c r="G27" s="130">
        <v>0.0</v>
      </c>
      <c r="H27" s="130">
        <v>0.0</v>
      </c>
      <c r="I27" s="130">
        <v>0.0</v>
      </c>
      <c r="J27" s="130">
        <v>0.0</v>
      </c>
      <c r="K27" s="130">
        <v>0.0</v>
      </c>
      <c r="L27" s="130">
        <v>0.0</v>
      </c>
      <c r="M27" s="130">
        <v>0.0</v>
      </c>
      <c r="N27" s="130">
        <v>0.0</v>
      </c>
      <c r="O27" s="130">
        <v>0.0</v>
      </c>
      <c r="P27" s="130">
        <v>0.0</v>
      </c>
      <c r="Q27" s="130">
        <v>0.0</v>
      </c>
      <c r="R27" s="130">
        <v>0.0</v>
      </c>
      <c r="S27" s="130">
        <v>0.0</v>
      </c>
      <c r="T27" s="130">
        <v>0.0</v>
      </c>
      <c r="U27" s="130">
        <v>0.0</v>
      </c>
      <c r="V27" s="130">
        <v>0.0</v>
      </c>
      <c r="W27" s="130">
        <v>0.0</v>
      </c>
      <c r="X27" s="130">
        <v>0.0</v>
      </c>
      <c r="Y27" s="130">
        <v>0.0</v>
      </c>
      <c r="Z27" s="130">
        <v>0.0</v>
      </c>
      <c r="AA27" s="130">
        <v>0.0</v>
      </c>
      <c r="AB27" s="130">
        <v>0.0</v>
      </c>
      <c r="AC27" s="130">
        <v>0.0</v>
      </c>
      <c r="AD27" s="130">
        <v>0.0</v>
      </c>
      <c r="AE27" s="130">
        <v>0.0</v>
      </c>
      <c r="AF27" s="130">
        <v>0.0</v>
      </c>
      <c r="AG27" s="130">
        <v>0.0</v>
      </c>
      <c r="AH27" s="130">
        <v>0.0</v>
      </c>
      <c r="AI27" s="107">
        <f t="shared" si="17"/>
        <v>0</v>
      </c>
      <c r="AJ27" s="146"/>
      <c r="AK27" s="134"/>
      <c r="AL27" s="147"/>
      <c r="AM27" s="127"/>
      <c r="AN27" s="128"/>
      <c r="AO27" s="128"/>
      <c r="AP27" s="128"/>
      <c r="AQ27" s="128"/>
      <c r="AR27" s="128"/>
      <c r="AS27" s="128"/>
      <c r="AT27" s="128"/>
      <c r="AU27" s="128"/>
      <c r="AV27" s="128"/>
      <c r="AW27" s="128"/>
      <c r="AX27" s="128"/>
      <c r="AY27" s="128"/>
      <c r="AZ27" s="129"/>
    </row>
    <row r="28" ht="24.0" customHeight="1">
      <c r="A28" s="88"/>
      <c r="B28" s="98" t="s">
        <v>111</v>
      </c>
      <c r="C28" s="130">
        <v>0.0</v>
      </c>
      <c r="D28" s="130">
        <v>0.0</v>
      </c>
      <c r="E28" s="130">
        <v>0.0</v>
      </c>
      <c r="F28" s="130">
        <v>0.0</v>
      </c>
      <c r="G28" s="130">
        <v>0.0</v>
      </c>
      <c r="H28" s="130">
        <v>0.0</v>
      </c>
      <c r="I28" s="130">
        <v>0.0</v>
      </c>
      <c r="J28" s="130">
        <v>0.0</v>
      </c>
      <c r="K28" s="130">
        <v>0.0</v>
      </c>
      <c r="L28" s="130">
        <v>0.0</v>
      </c>
      <c r="M28" s="130">
        <v>0.0</v>
      </c>
      <c r="N28" s="130">
        <v>0.0</v>
      </c>
      <c r="O28" s="130">
        <v>0.0</v>
      </c>
      <c r="P28" s="130">
        <v>0.0</v>
      </c>
      <c r="Q28" s="130">
        <v>0.0</v>
      </c>
      <c r="R28" s="130">
        <v>0.0</v>
      </c>
      <c r="S28" s="130">
        <v>0.0</v>
      </c>
      <c r="T28" s="130">
        <v>0.0</v>
      </c>
      <c r="U28" s="130">
        <v>0.0</v>
      </c>
      <c r="V28" s="130">
        <v>0.0</v>
      </c>
      <c r="W28" s="130">
        <v>0.0</v>
      </c>
      <c r="X28" s="130">
        <v>0.0</v>
      </c>
      <c r="Y28" s="130">
        <v>0.0</v>
      </c>
      <c r="Z28" s="130">
        <v>0.0</v>
      </c>
      <c r="AA28" s="130">
        <v>0.0</v>
      </c>
      <c r="AB28" s="130">
        <v>0.0</v>
      </c>
      <c r="AC28" s="130">
        <v>0.0</v>
      </c>
      <c r="AD28" s="130">
        <v>0.0</v>
      </c>
      <c r="AE28" s="130">
        <v>0.0</v>
      </c>
      <c r="AF28" s="130">
        <v>0.0</v>
      </c>
      <c r="AG28" s="130">
        <v>0.0</v>
      </c>
      <c r="AH28" s="130">
        <v>0.0</v>
      </c>
      <c r="AI28" s="107">
        <f t="shared" si="17"/>
        <v>0</v>
      </c>
      <c r="AJ28" s="101"/>
      <c r="AK28" s="102"/>
      <c r="AL28" s="103"/>
      <c r="AM28" s="103"/>
      <c r="AN28" s="103"/>
      <c r="AO28" s="103"/>
      <c r="AP28" s="103"/>
      <c r="AQ28" s="103"/>
      <c r="AR28" s="103"/>
      <c r="AS28" s="103"/>
      <c r="AT28" s="103"/>
      <c r="AU28" s="103"/>
      <c r="AV28" s="103"/>
      <c r="AW28" s="103"/>
      <c r="AX28" s="103"/>
      <c r="AY28" s="103"/>
      <c r="AZ28" s="103"/>
    </row>
    <row r="29" ht="24.0" customHeight="1">
      <c r="A29" s="88"/>
      <c r="B29" s="100" t="s">
        <v>112</v>
      </c>
      <c r="C29" s="130">
        <v>0.0</v>
      </c>
      <c r="D29" s="130">
        <v>0.0</v>
      </c>
      <c r="E29" s="130">
        <v>0.0</v>
      </c>
      <c r="F29" s="130">
        <v>0.0</v>
      </c>
      <c r="G29" s="130">
        <v>0.0</v>
      </c>
      <c r="H29" s="130">
        <v>0.0</v>
      </c>
      <c r="I29" s="130">
        <v>0.0</v>
      </c>
      <c r="J29" s="130">
        <v>0.0</v>
      </c>
      <c r="K29" s="130">
        <v>0.0</v>
      </c>
      <c r="L29" s="130">
        <v>0.0</v>
      </c>
      <c r="M29" s="130">
        <v>0.0</v>
      </c>
      <c r="N29" s="130">
        <v>0.0</v>
      </c>
      <c r="O29" s="130">
        <v>0.0</v>
      </c>
      <c r="P29" s="130">
        <v>0.0</v>
      </c>
      <c r="Q29" s="130">
        <v>0.0</v>
      </c>
      <c r="R29" s="130">
        <v>0.0</v>
      </c>
      <c r="S29" s="130">
        <v>0.0</v>
      </c>
      <c r="T29" s="130">
        <v>0.0</v>
      </c>
      <c r="U29" s="130">
        <v>0.0</v>
      </c>
      <c r="V29" s="130">
        <v>0.0</v>
      </c>
      <c r="W29" s="130">
        <v>0.0</v>
      </c>
      <c r="X29" s="130">
        <v>0.0</v>
      </c>
      <c r="Y29" s="130">
        <v>0.0</v>
      </c>
      <c r="Z29" s="130">
        <v>0.0</v>
      </c>
      <c r="AA29" s="130">
        <v>0.0</v>
      </c>
      <c r="AB29" s="130">
        <v>0.0</v>
      </c>
      <c r="AC29" s="130">
        <v>0.0</v>
      </c>
      <c r="AD29" s="130">
        <v>0.0</v>
      </c>
      <c r="AE29" s="130">
        <v>0.0</v>
      </c>
      <c r="AF29" s="130">
        <v>0.0</v>
      </c>
      <c r="AG29" s="130">
        <v>0.0</v>
      </c>
      <c r="AH29" s="130">
        <v>0.0</v>
      </c>
      <c r="AI29" s="107">
        <f t="shared" si="17"/>
        <v>0</v>
      </c>
      <c r="AJ29" s="151">
        <f>SUM(AI26:AI29)</f>
        <v>0</v>
      </c>
      <c r="AK29" s="102"/>
      <c r="AL29" s="103"/>
      <c r="AM29" s="103"/>
      <c r="AN29" s="103"/>
      <c r="AO29" s="103"/>
      <c r="AP29" s="103"/>
      <c r="AQ29" s="103"/>
      <c r="AR29" s="103"/>
      <c r="AS29" s="103"/>
      <c r="AT29" s="103"/>
      <c r="AU29" s="103"/>
      <c r="AV29" s="103"/>
      <c r="AW29" s="103"/>
      <c r="AX29" s="103"/>
      <c r="AY29" s="103"/>
      <c r="AZ29" s="103"/>
    </row>
    <row r="30" ht="24.0" customHeight="1">
      <c r="A30" s="88"/>
      <c r="B30" s="106" t="s">
        <v>113</v>
      </c>
      <c r="C30" s="130">
        <v>0.0</v>
      </c>
      <c r="D30" s="130">
        <v>0.0</v>
      </c>
      <c r="E30" s="130">
        <v>0.0</v>
      </c>
      <c r="F30" s="130">
        <v>0.0</v>
      </c>
      <c r="G30" s="130">
        <v>0.0</v>
      </c>
      <c r="H30" s="130">
        <v>0.0</v>
      </c>
      <c r="I30" s="130">
        <v>0.0</v>
      </c>
      <c r="J30" s="130">
        <v>0.0</v>
      </c>
      <c r="K30" s="130">
        <v>0.0</v>
      </c>
      <c r="L30" s="130">
        <v>0.0</v>
      </c>
      <c r="M30" s="130">
        <v>0.0</v>
      </c>
      <c r="N30" s="130">
        <v>0.0</v>
      </c>
      <c r="O30" s="130">
        <v>0.0</v>
      </c>
      <c r="P30" s="130">
        <v>0.0</v>
      </c>
      <c r="Q30" s="130">
        <v>0.0</v>
      </c>
      <c r="R30" s="130">
        <v>0.0</v>
      </c>
      <c r="S30" s="130">
        <v>0.0</v>
      </c>
      <c r="T30" s="130">
        <v>0.0</v>
      </c>
      <c r="U30" s="130">
        <v>0.0</v>
      </c>
      <c r="V30" s="130">
        <v>0.0</v>
      </c>
      <c r="W30" s="130">
        <v>0.0</v>
      </c>
      <c r="X30" s="130">
        <v>0.0</v>
      </c>
      <c r="Y30" s="130">
        <v>0.0</v>
      </c>
      <c r="Z30" s="130">
        <v>0.0</v>
      </c>
      <c r="AA30" s="130">
        <v>0.0</v>
      </c>
      <c r="AB30" s="130">
        <v>0.0</v>
      </c>
      <c r="AC30" s="130">
        <v>0.0</v>
      </c>
      <c r="AD30" s="130">
        <v>0.0</v>
      </c>
      <c r="AE30" s="130">
        <v>0.0</v>
      </c>
      <c r="AF30" s="130">
        <v>0.0</v>
      </c>
      <c r="AG30" s="130">
        <v>0.0</v>
      </c>
      <c r="AH30" s="130">
        <v>0.0</v>
      </c>
      <c r="AI30" s="148">
        <f t="shared" si="17"/>
        <v>0</v>
      </c>
      <c r="AJ30" s="101">
        <f>AJ29-AI30</f>
        <v>0</v>
      </c>
      <c r="AK30" s="102"/>
      <c r="AL30" s="103"/>
      <c r="AM30" s="103"/>
      <c r="AN30" s="103"/>
      <c r="AO30" s="103"/>
      <c r="AP30" s="103"/>
      <c r="AQ30" s="103"/>
      <c r="AR30" s="103"/>
      <c r="AS30" s="103"/>
      <c r="AT30" s="103"/>
      <c r="AU30" s="103"/>
      <c r="AV30" s="103"/>
      <c r="AW30" s="103"/>
      <c r="AX30" s="103"/>
      <c r="AY30" s="103"/>
      <c r="AZ30" s="103"/>
    </row>
    <row r="31" ht="19.5" customHeight="1">
      <c r="A31" s="88"/>
      <c r="B31" s="109" t="s">
        <v>115</v>
      </c>
      <c r="C31" s="110" t="str">
        <f t="shared" ref="C31:AI31" si="18">IFERROR(IF(C30=0,(-C28/C26)-1,C32),"")</f>
        <v/>
      </c>
      <c r="D31" s="110" t="str">
        <f t="shared" si="18"/>
        <v/>
      </c>
      <c r="E31" s="110" t="str">
        <f t="shared" si="18"/>
        <v/>
      </c>
      <c r="F31" s="110" t="str">
        <f t="shared" si="18"/>
        <v/>
      </c>
      <c r="G31" s="110" t="str">
        <f t="shared" si="18"/>
        <v/>
      </c>
      <c r="H31" s="110" t="str">
        <f t="shared" si="18"/>
        <v/>
      </c>
      <c r="I31" s="110" t="str">
        <f t="shared" si="18"/>
        <v/>
      </c>
      <c r="J31" s="110" t="str">
        <f t="shared" si="18"/>
        <v/>
      </c>
      <c r="K31" s="110" t="str">
        <f t="shared" si="18"/>
        <v/>
      </c>
      <c r="L31" s="110" t="str">
        <f t="shared" si="18"/>
        <v/>
      </c>
      <c r="M31" s="110" t="str">
        <f t="shared" si="18"/>
        <v/>
      </c>
      <c r="N31" s="110" t="str">
        <f t="shared" si="18"/>
        <v/>
      </c>
      <c r="O31" s="110" t="str">
        <f t="shared" si="18"/>
        <v/>
      </c>
      <c r="P31" s="110" t="str">
        <f t="shared" si="18"/>
        <v/>
      </c>
      <c r="Q31" s="110" t="str">
        <f t="shared" si="18"/>
        <v/>
      </c>
      <c r="R31" s="110" t="str">
        <f t="shared" si="18"/>
        <v/>
      </c>
      <c r="S31" s="110" t="str">
        <f t="shared" si="18"/>
        <v/>
      </c>
      <c r="T31" s="110" t="str">
        <f t="shared" si="18"/>
        <v/>
      </c>
      <c r="U31" s="110" t="str">
        <f t="shared" si="18"/>
        <v/>
      </c>
      <c r="V31" s="110" t="str">
        <f t="shared" si="18"/>
        <v/>
      </c>
      <c r="W31" s="110" t="str">
        <f t="shared" si="18"/>
        <v/>
      </c>
      <c r="X31" s="110" t="str">
        <f t="shared" si="18"/>
        <v/>
      </c>
      <c r="Y31" s="110" t="str">
        <f t="shared" si="18"/>
        <v/>
      </c>
      <c r="Z31" s="110" t="str">
        <f t="shared" si="18"/>
        <v/>
      </c>
      <c r="AA31" s="110" t="str">
        <f t="shared" si="18"/>
        <v/>
      </c>
      <c r="AB31" s="110" t="str">
        <f t="shared" si="18"/>
        <v/>
      </c>
      <c r="AC31" s="110" t="str">
        <f t="shared" si="18"/>
        <v/>
      </c>
      <c r="AD31" s="110" t="str">
        <f t="shared" si="18"/>
        <v/>
      </c>
      <c r="AE31" s="110" t="str">
        <f t="shared" si="18"/>
        <v/>
      </c>
      <c r="AF31" s="110" t="str">
        <f t="shared" si="18"/>
        <v/>
      </c>
      <c r="AG31" s="110" t="str">
        <f t="shared" si="18"/>
        <v/>
      </c>
      <c r="AH31" s="110" t="str">
        <f t="shared" si="18"/>
        <v/>
      </c>
      <c r="AI31" s="112" t="str">
        <f t="shared" si="18"/>
        <v/>
      </c>
      <c r="AJ31" s="149">
        <f>AI30*AI31</f>
        <v>0</v>
      </c>
      <c r="AK31" s="102"/>
      <c r="AL31" s="103"/>
      <c r="AM31" s="103"/>
      <c r="AN31" s="103"/>
      <c r="AO31" s="103"/>
      <c r="AP31" s="103"/>
      <c r="AQ31" s="103"/>
      <c r="AR31" s="103"/>
      <c r="AS31" s="103"/>
      <c r="AT31" s="103"/>
      <c r="AU31" s="103"/>
      <c r="AV31" s="103"/>
      <c r="AW31" s="103"/>
      <c r="AX31" s="103"/>
      <c r="AY31" s="103"/>
      <c r="AZ31" s="103"/>
    </row>
    <row r="32" ht="1.5" customHeight="1">
      <c r="A32" s="88"/>
      <c r="B32" s="113" t="s">
        <v>116</v>
      </c>
      <c r="C32" s="138" t="str">
        <f t="shared" ref="C32:AI32" si="19">IFERROR(IF(AND(C26&lt;&gt;0,C30=""),"",(C30/(C26+C27+C28+C29))-1),"")</f>
        <v/>
      </c>
      <c r="D32" s="138" t="str">
        <f t="shared" si="19"/>
        <v/>
      </c>
      <c r="E32" s="138" t="str">
        <f t="shared" si="19"/>
        <v/>
      </c>
      <c r="F32" s="138" t="str">
        <f t="shared" si="19"/>
        <v/>
      </c>
      <c r="G32" s="138" t="str">
        <f t="shared" si="19"/>
        <v/>
      </c>
      <c r="H32" s="138" t="str">
        <f t="shared" si="19"/>
        <v/>
      </c>
      <c r="I32" s="138" t="str">
        <f t="shared" si="19"/>
        <v/>
      </c>
      <c r="J32" s="138" t="str">
        <f t="shared" si="19"/>
        <v/>
      </c>
      <c r="K32" s="138" t="str">
        <f t="shared" si="19"/>
        <v/>
      </c>
      <c r="L32" s="138" t="str">
        <f t="shared" si="19"/>
        <v/>
      </c>
      <c r="M32" s="138" t="str">
        <f t="shared" si="19"/>
        <v/>
      </c>
      <c r="N32" s="138" t="str">
        <f t="shared" si="19"/>
        <v/>
      </c>
      <c r="O32" s="138" t="str">
        <f t="shared" si="19"/>
        <v/>
      </c>
      <c r="P32" s="138" t="str">
        <f t="shared" si="19"/>
        <v/>
      </c>
      <c r="Q32" s="138" t="str">
        <f t="shared" si="19"/>
        <v/>
      </c>
      <c r="R32" s="138" t="str">
        <f t="shared" si="19"/>
        <v/>
      </c>
      <c r="S32" s="138" t="str">
        <f t="shared" si="19"/>
        <v/>
      </c>
      <c r="T32" s="138" t="str">
        <f t="shared" si="19"/>
        <v/>
      </c>
      <c r="U32" s="138" t="str">
        <f t="shared" si="19"/>
        <v/>
      </c>
      <c r="V32" s="138" t="str">
        <f t="shared" si="19"/>
        <v/>
      </c>
      <c r="W32" s="138" t="str">
        <f t="shared" si="19"/>
        <v/>
      </c>
      <c r="X32" s="138" t="str">
        <f t="shared" si="19"/>
        <v/>
      </c>
      <c r="Y32" s="138" t="str">
        <f t="shared" si="19"/>
        <v/>
      </c>
      <c r="Z32" s="138" t="str">
        <f t="shared" si="19"/>
        <v/>
      </c>
      <c r="AA32" s="138" t="str">
        <f t="shared" si="19"/>
        <v/>
      </c>
      <c r="AB32" s="138" t="str">
        <f t="shared" si="19"/>
        <v/>
      </c>
      <c r="AC32" s="138" t="str">
        <f t="shared" si="19"/>
        <v/>
      </c>
      <c r="AD32" s="138" t="str">
        <f t="shared" si="19"/>
        <v/>
      </c>
      <c r="AE32" s="138" t="str">
        <f t="shared" si="19"/>
        <v/>
      </c>
      <c r="AF32" s="138" t="str">
        <f t="shared" si="19"/>
        <v/>
      </c>
      <c r="AG32" s="138" t="str">
        <f t="shared" si="19"/>
        <v/>
      </c>
      <c r="AH32" s="138" t="str">
        <f t="shared" si="19"/>
        <v/>
      </c>
      <c r="AI32" s="139" t="str">
        <f t="shared" si="19"/>
        <v/>
      </c>
      <c r="AJ32" s="101"/>
      <c r="AK32" s="102"/>
      <c r="AL32" s="103"/>
      <c r="AM32" s="103"/>
      <c r="AN32" s="103"/>
      <c r="AO32" s="103"/>
      <c r="AP32" s="103"/>
      <c r="AQ32" s="103"/>
      <c r="AR32" s="103"/>
      <c r="AS32" s="103"/>
      <c r="AT32" s="103"/>
      <c r="AU32" s="103"/>
      <c r="AV32" s="103"/>
      <c r="AW32" s="103"/>
      <c r="AX32" s="103"/>
      <c r="AY32" s="103"/>
      <c r="AZ32" s="103"/>
    </row>
    <row r="33" ht="21.0" customHeight="1">
      <c r="A33" s="115"/>
      <c r="B33" s="116" t="s">
        <v>117</v>
      </c>
      <c r="C33" s="117" t="str">
        <f t="shared" ref="C33:AI33" si="20">IFERROR(C30/$AI$30,"")</f>
        <v/>
      </c>
      <c r="D33" s="117" t="str">
        <f t="shared" si="20"/>
        <v/>
      </c>
      <c r="E33" s="117" t="str">
        <f t="shared" si="20"/>
        <v/>
      </c>
      <c r="F33" s="117" t="str">
        <f t="shared" si="20"/>
        <v/>
      </c>
      <c r="G33" s="117" t="str">
        <f t="shared" si="20"/>
        <v/>
      </c>
      <c r="H33" s="117" t="str">
        <f t="shared" si="20"/>
        <v/>
      </c>
      <c r="I33" s="117" t="str">
        <f t="shared" si="20"/>
        <v/>
      </c>
      <c r="J33" s="117" t="str">
        <f t="shared" si="20"/>
        <v/>
      </c>
      <c r="K33" s="117" t="str">
        <f t="shared" si="20"/>
        <v/>
      </c>
      <c r="L33" s="117" t="str">
        <f t="shared" si="20"/>
        <v/>
      </c>
      <c r="M33" s="117" t="str">
        <f t="shared" si="20"/>
        <v/>
      </c>
      <c r="N33" s="117" t="str">
        <f t="shared" si="20"/>
        <v/>
      </c>
      <c r="O33" s="117" t="str">
        <f t="shared" si="20"/>
        <v/>
      </c>
      <c r="P33" s="117" t="str">
        <f t="shared" si="20"/>
        <v/>
      </c>
      <c r="Q33" s="117" t="str">
        <f t="shared" si="20"/>
        <v/>
      </c>
      <c r="R33" s="117" t="str">
        <f t="shared" si="20"/>
        <v/>
      </c>
      <c r="S33" s="117" t="str">
        <f t="shared" si="20"/>
        <v/>
      </c>
      <c r="T33" s="117" t="str">
        <f t="shared" si="20"/>
        <v/>
      </c>
      <c r="U33" s="117" t="str">
        <f t="shared" si="20"/>
        <v/>
      </c>
      <c r="V33" s="117" t="str">
        <f t="shared" si="20"/>
        <v/>
      </c>
      <c r="W33" s="117" t="str">
        <f t="shared" si="20"/>
        <v/>
      </c>
      <c r="X33" s="117" t="str">
        <f t="shared" si="20"/>
        <v/>
      </c>
      <c r="Y33" s="117" t="str">
        <f t="shared" si="20"/>
        <v/>
      </c>
      <c r="Z33" s="117" t="str">
        <f t="shared" si="20"/>
        <v/>
      </c>
      <c r="AA33" s="117" t="str">
        <f t="shared" si="20"/>
        <v/>
      </c>
      <c r="AB33" s="117" t="str">
        <f t="shared" si="20"/>
        <v/>
      </c>
      <c r="AC33" s="117" t="str">
        <f t="shared" si="20"/>
        <v/>
      </c>
      <c r="AD33" s="117" t="str">
        <f t="shared" si="20"/>
        <v/>
      </c>
      <c r="AE33" s="117" t="str">
        <f t="shared" si="20"/>
        <v/>
      </c>
      <c r="AF33" s="117" t="str">
        <f t="shared" si="20"/>
        <v/>
      </c>
      <c r="AG33" s="117" t="str">
        <f t="shared" si="20"/>
        <v/>
      </c>
      <c r="AH33" s="117" t="str">
        <f t="shared" si="20"/>
        <v/>
      </c>
      <c r="AI33" s="118" t="str">
        <f t="shared" si="20"/>
        <v/>
      </c>
      <c r="AJ33" s="119">
        <f>AI30-AI26</f>
        <v>0</v>
      </c>
      <c r="AK33" s="120" t="str">
        <f>AI30/AI26-1</f>
        <v>#DIV/0!</v>
      </c>
      <c r="AL33" s="103"/>
      <c r="AM33" s="103"/>
      <c r="AN33" s="103"/>
      <c r="AO33" s="103"/>
      <c r="AP33" s="103"/>
      <c r="AQ33" s="103"/>
      <c r="AR33" s="103"/>
      <c r="AS33" s="103"/>
      <c r="AT33" s="103"/>
      <c r="AU33" s="103"/>
      <c r="AV33" s="103"/>
      <c r="AW33" s="103"/>
      <c r="AX33" s="103"/>
      <c r="AY33" s="103"/>
      <c r="AZ33" s="103"/>
    </row>
    <row r="34" ht="18.75" customHeight="1">
      <c r="A34" s="121">
        <v>45778.0</v>
      </c>
      <c r="B34" s="122" t="s">
        <v>118</v>
      </c>
      <c r="C34" s="123">
        <f t="shared" ref="C34:AH34" si="21">IF(C38="","",C30)</f>
        <v>0</v>
      </c>
      <c r="D34" s="123">
        <f t="shared" si="21"/>
        <v>0</v>
      </c>
      <c r="E34" s="123">
        <f t="shared" si="21"/>
        <v>0</v>
      </c>
      <c r="F34" s="123">
        <f t="shared" si="21"/>
        <v>0</v>
      </c>
      <c r="G34" s="123">
        <f t="shared" si="21"/>
        <v>0</v>
      </c>
      <c r="H34" s="123">
        <f t="shared" si="21"/>
        <v>0</v>
      </c>
      <c r="I34" s="123">
        <f t="shared" si="21"/>
        <v>0</v>
      </c>
      <c r="J34" s="123">
        <f t="shared" si="21"/>
        <v>0</v>
      </c>
      <c r="K34" s="123">
        <f t="shared" si="21"/>
        <v>0</v>
      </c>
      <c r="L34" s="123">
        <f t="shared" si="21"/>
        <v>0</v>
      </c>
      <c r="M34" s="123">
        <f t="shared" si="21"/>
        <v>0</v>
      </c>
      <c r="N34" s="123">
        <f t="shared" si="21"/>
        <v>0</v>
      </c>
      <c r="O34" s="123">
        <f t="shared" si="21"/>
        <v>0</v>
      </c>
      <c r="P34" s="123">
        <f t="shared" si="21"/>
        <v>0</v>
      </c>
      <c r="Q34" s="123">
        <f t="shared" si="21"/>
        <v>0</v>
      </c>
      <c r="R34" s="123">
        <f t="shared" si="21"/>
        <v>0</v>
      </c>
      <c r="S34" s="123">
        <f t="shared" si="21"/>
        <v>0</v>
      </c>
      <c r="T34" s="123">
        <f t="shared" si="21"/>
        <v>0</v>
      </c>
      <c r="U34" s="123">
        <f t="shared" si="21"/>
        <v>0</v>
      </c>
      <c r="V34" s="123">
        <f t="shared" si="21"/>
        <v>0</v>
      </c>
      <c r="W34" s="123">
        <f t="shared" si="21"/>
        <v>0</v>
      </c>
      <c r="X34" s="123">
        <f t="shared" si="21"/>
        <v>0</v>
      </c>
      <c r="Y34" s="123">
        <f t="shared" si="21"/>
        <v>0</v>
      </c>
      <c r="Z34" s="123">
        <f t="shared" si="21"/>
        <v>0</v>
      </c>
      <c r="AA34" s="123">
        <f t="shared" si="21"/>
        <v>0</v>
      </c>
      <c r="AB34" s="123">
        <f t="shared" si="21"/>
        <v>0</v>
      </c>
      <c r="AC34" s="123">
        <f t="shared" si="21"/>
        <v>0</v>
      </c>
      <c r="AD34" s="123">
        <f t="shared" si="21"/>
        <v>0</v>
      </c>
      <c r="AE34" s="123">
        <f t="shared" si="21"/>
        <v>0</v>
      </c>
      <c r="AF34" s="123">
        <f t="shared" si="21"/>
        <v>0</v>
      </c>
      <c r="AG34" s="123">
        <f t="shared" si="21"/>
        <v>0</v>
      </c>
      <c r="AH34" s="123">
        <f t="shared" si="21"/>
        <v>0</v>
      </c>
      <c r="AI34" s="152">
        <f t="shared" ref="AI34:AI38" si="22">SUM(C34:AH34)</f>
        <v>0</v>
      </c>
      <c r="AJ34" s="142"/>
      <c r="AK34" s="143"/>
      <c r="AL34" s="144"/>
      <c r="AM34" s="127"/>
      <c r="AN34" s="128"/>
      <c r="AO34" s="128"/>
      <c r="AP34" s="128"/>
      <c r="AQ34" s="128"/>
      <c r="AR34" s="128"/>
      <c r="AS34" s="128"/>
      <c r="AT34" s="128"/>
      <c r="AU34" s="128"/>
      <c r="AV34" s="128"/>
      <c r="AW34" s="128"/>
      <c r="AX34" s="128"/>
      <c r="AY34" s="128"/>
      <c r="AZ34" s="129"/>
    </row>
    <row r="35" ht="16.5" customHeight="1">
      <c r="A35" s="88"/>
      <c r="B35" s="89" t="s">
        <v>110</v>
      </c>
      <c r="C35" s="130">
        <v>0.0</v>
      </c>
      <c r="D35" s="130">
        <v>0.0</v>
      </c>
      <c r="E35" s="130">
        <v>0.0</v>
      </c>
      <c r="F35" s="130">
        <v>0.0</v>
      </c>
      <c r="G35" s="130">
        <v>0.0</v>
      </c>
      <c r="H35" s="130">
        <v>0.0</v>
      </c>
      <c r="I35" s="130">
        <v>0.0</v>
      </c>
      <c r="J35" s="130">
        <v>0.0</v>
      </c>
      <c r="K35" s="130">
        <v>0.0</v>
      </c>
      <c r="L35" s="130">
        <v>0.0</v>
      </c>
      <c r="M35" s="130">
        <v>0.0</v>
      </c>
      <c r="N35" s="130">
        <v>0.0</v>
      </c>
      <c r="O35" s="130">
        <v>0.0</v>
      </c>
      <c r="P35" s="130">
        <v>0.0</v>
      </c>
      <c r="Q35" s="130">
        <v>0.0</v>
      </c>
      <c r="R35" s="130">
        <v>0.0</v>
      </c>
      <c r="S35" s="130">
        <v>0.0</v>
      </c>
      <c r="T35" s="130">
        <v>0.0</v>
      </c>
      <c r="U35" s="130">
        <v>0.0</v>
      </c>
      <c r="V35" s="130">
        <v>0.0</v>
      </c>
      <c r="W35" s="130">
        <v>0.0</v>
      </c>
      <c r="X35" s="130">
        <v>0.0</v>
      </c>
      <c r="Y35" s="130">
        <v>0.0</v>
      </c>
      <c r="Z35" s="130">
        <v>0.0</v>
      </c>
      <c r="AA35" s="130">
        <v>0.0</v>
      </c>
      <c r="AB35" s="130">
        <v>0.0</v>
      </c>
      <c r="AC35" s="130">
        <v>0.0</v>
      </c>
      <c r="AD35" s="130">
        <v>0.0</v>
      </c>
      <c r="AE35" s="130">
        <v>0.0</v>
      </c>
      <c r="AF35" s="130">
        <v>0.0</v>
      </c>
      <c r="AG35" s="130">
        <v>0.0</v>
      </c>
      <c r="AH35" s="130">
        <v>0.0</v>
      </c>
      <c r="AI35" s="91">
        <f t="shared" si="22"/>
        <v>0</v>
      </c>
      <c r="AJ35" s="146"/>
      <c r="AK35" s="134"/>
      <c r="AL35" s="147"/>
      <c r="AM35" s="127"/>
      <c r="AN35" s="128"/>
      <c r="AO35" s="128"/>
      <c r="AP35" s="128"/>
      <c r="AQ35" s="128"/>
      <c r="AR35" s="128"/>
      <c r="AS35" s="128"/>
      <c r="AT35" s="128"/>
      <c r="AU35" s="128"/>
      <c r="AV35" s="128"/>
      <c r="AW35" s="128"/>
      <c r="AX35" s="128"/>
      <c r="AY35" s="128"/>
      <c r="AZ35" s="129"/>
    </row>
    <row r="36" ht="16.5" customHeight="1">
      <c r="A36" s="88"/>
      <c r="B36" s="98" t="s">
        <v>111</v>
      </c>
      <c r="C36" s="130">
        <v>0.0</v>
      </c>
      <c r="D36" s="130">
        <v>0.0</v>
      </c>
      <c r="E36" s="130">
        <v>0.0</v>
      </c>
      <c r="F36" s="130">
        <v>0.0</v>
      </c>
      <c r="G36" s="130">
        <v>0.0</v>
      </c>
      <c r="H36" s="130">
        <v>0.0</v>
      </c>
      <c r="I36" s="130">
        <v>0.0</v>
      </c>
      <c r="J36" s="130">
        <v>0.0</v>
      </c>
      <c r="K36" s="130">
        <v>0.0</v>
      </c>
      <c r="L36" s="130">
        <v>0.0</v>
      </c>
      <c r="M36" s="130">
        <v>0.0</v>
      </c>
      <c r="N36" s="130">
        <v>0.0</v>
      </c>
      <c r="O36" s="130">
        <v>0.0</v>
      </c>
      <c r="P36" s="130">
        <v>0.0</v>
      </c>
      <c r="Q36" s="130">
        <v>0.0</v>
      </c>
      <c r="R36" s="130">
        <v>0.0</v>
      </c>
      <c r="S36" s="130">
        <v>0.0</v>
      </c>
      <c r="T36" s="130">
        <v>0.0</v>
      </c>
      <c r="U36" s="130">
        <v>0.0</v>
      </c>
      <c r="V36" s="130">
        <v>0.0</v>
      </c>
      <c r="W36" s="130">
        <v>0.0</v>
      </c>
      <c r="X36" s="130">
        <v>0.0</v>
      </c>
      <c r="Y36" s="130">
        <v>0.0</v>
      </c>
      <c r="Z36" s="130">
        <v>0.0</v>
      </c>
      <c r="AA36" s="130">
        <v>0.0</v>
      </c>
      <c r="AB36" s="130">
        <v>0.0</v>
      </c>
      <c r="AC36" s="130">
        <v>0.0</v>
      </c>
      <c r="AD36" s="130">
        <v>0.0</v>
      </c>
      <c r="AE36" s="130">
        <v>0.0</v>
      </c>
      <c r="AF36" s="130">
        <v>0.0</v>
      </c>
      <c r="AG36" s="130">
        <v>0.0</v>
      </c>
      <c r="AH36" s="130">
        <v>0.0</v>
      </c>
      <c r="AI36" s="91">
        <f t="shared" si="22"/>
        <v>0</v>
      </c>
      <c r="AJ36" s="101"/>
      <c r="AK36" s="102"/>
      <c r="AL36" s="103"/>
      <c r="AM36" s="103"/>
      <c r="AN36" s="103"/>
      <c r="AO36" s="103"/>
      <c r="AP36" s="103"/>
      <c r="AQ36" s="103"/>
      <c r="AR36" s="103"/>
      <c r="AS36" s="103"/>
      <c r="AT36" s="103"/>
      <c r="AU36" s="103"/>
      <c r="AV36" s="103"/>
      <c r="AW36" s="103"/>
      <c r="AX36" s="103"/>
      <c r="AY36" s="103"/>
      <c r="AZ36" s="103"/>
    </row>
    <row r="37" ht="19.5" customHeight="1">
      <c r="A37" s="88"/>
      <c r="B37" s="100" t="s">
        <v>112</v>
      </c>
      <c r="C37" s="130">
        <v>0.0</v>
      </c>
      <c r="D37" s="130">
        <v>0.0</v>
      </c>
      <c r="E37" s="130">
        <v>0.0</v>
      </c>
      <c r="F37" s="130">
        <v>0.0</v>
      </c>
      <c r="G37" s="130">
        <v>0.0</v>
      </c>
      <c r="H37" s="130">
        <v>0.0</v>
      </c>
      <c r="I37" s="130">
        <v>0.0</v>
      </c>
      <c r="J37" s="130">
        <v>0.0</v>
      </c>
      <c r="K37" s="130">
        <v>0.0</v>
      </c>
      <c r="L37" s="130">
        <v>0.0</v>
      </c>
      <c r="M37" s="130">
        <v>0.0</v>
      </c>
      <c r="N37" s="130">
        <v>0.0</v>
      </c>
      <c r="O37" s="130">
        <v>0.0</v>
      </c>
      <c r="P37" s="130">
        <v>0.0</v>
      </c>
      <c r="Q37" s="130">
        <v>0.0</v>
      </c>
      <c r="R37" s="130">
        <v>0.0</v>
      </c>
      <c r="S37" s="130">
        <v>0.0</v>
      </c>
      <c r="T37" s="130">
        <v>0.0</v>
      </c>
      <c r="U37" s="130">
        <v>0.0</v>
      </c>
      <c r="V37" s="130">
        <v>0.0</v>
      </c>
      <c r="W37" s="130">
        <v>0.0</v>
      </c>
      <c r="X37" s="130">
        <v>0.0</v>
      </c>
      <c r="Y37" s="130">
        <v>0.0</v>
      </c>
      <c r="Z37" s="130">
        <v>0.0</v>
      </c>
      <c r="AA37" s="130">
        <v>0.0</v>
      </c>
      <c r="AB37" s="130">
        <v>0.0</v>
      </c>
      <c r="AC37" s="130">
        <v>0.0</v>
      </c>
      <c r="AD37" s="130">
        <v>0.0</v>
      </c>
      <c r="AE37" s="130">
        <v>0.0</v>
      </c>
      <c r="AF37" s="130">
        <v>0.0</v>
      </c>
      <c r="AG37" s="130">
        <v>0.0</v>
      </c>
      <c r="AH37" s="130">
        <v>0.0</v>
      </c>
      <c r="AI37" s="91">
        <f t="shared" si="22"/>
        <v>0</v>
      </c>
      <c r="AJ37" s="153">
        <f>SUM(AI34:AI37)</f>
        <v>0</v>
      </c>
      <c r="AK37" s="102"/>
      <c r="AL37" s="103"/>
      <c r="AM37" s="103"/>
      <c r="AN37" s="103"/>
      <c r="AO37" s="103"/>
      <c r="AP37" s="103"/>
      <c r="AQ37" s="103"/>
      <c r="AR37" s="103"/>
      <c r="AS37" s="103"/>
      <c r="AT37" s="103"/>
      <c r="AU37" s="103"/>
      <c r="AV37" s="103"/>
      <c r="AW37" s="103"/>
      <c r="AX37" s="103"/>
      <c r="AY37" s="103"/>
      <c r="AZ37" s="103"/>
    </row>
    <row r="38" ht="19.5" customHeight="1">
      <c r="A38" s="88"/>
      <c r="B38" s="106" t="s">
        <v>113</v>
      </c>
      <c r="C38" s="130">
        <v>0.0</v>
      </c>
      <c r="D38" s="130">
        <v>0.0</v>
      </c>
      <c r="E38" s="130">
        <v>0.0</v>
      </c>
      <c r="F38" s="130">
        <v>0.0</v>
      </c>
      <c r="G38" s="130">
        <v>0.0</v>
      </c>
      <c r="H38" s="130">
        <v>0.0</v>
      </c>
      <c r="I38" s="130">
        <v>0.0</v>
      </c>
      <c r="J38" s="130">
        <v>0.0</v>
      </c>
      <c r="K38" s="130">
        <v>0.0</v>
      </c>
      <c r="L38" s="130">
        <v>0.0</v>
      </c>
      <c r="M38" s="130">
        <v>0.0</v>
      </c>
      <c r="N38" s="130">
        <v>0.0</v>
      </c>
      <c r="O38" s="130">
        <v>0.0</v>
      </c>
      <c r="P38" s="130">
        <v>0.0</v>
      </c>
      <c r="Q38" s="130">
        <v>0.0</v>
      </c>
      <c r="R38" s="130">
        <v>0.0</v>
      </c>
      <c r="S38" s="130">
        <v>0.0</v>
      </c>
      <c r="T38" s="130">
        <v>0.0</v>
      </c>
      <c r="U38" s="130">
        <v>0.0</v>
      </c>
      <c r="V38" s="130">
        <v>0.0</v>
      </c>
      <c r="W38" s="130">
        <v>0.0</v>
      </c>
      <c r="X38" s="130">
        <v>0.0</v>
      </c>
      <c r="Y38" s="130">
        <v>0.0</v>
      </c>
      <c r="Z38" s="130">
        <v>0.0</v>
      </c>
      <c r="AA38" s="130">
        <v>0.0</v>
      </c>
      <c r="AB38" s="130">
        <v>0.0</v>
      </c>
      <c r="AC38" s="130">
        <v>0.0</v>
      </c>
      <c r="AD38" s="130">
        <v>0.0</v>
      </c>
      <c r="AE38" s="130">
        <v>0.0</v>
      </c>
      <c r="AF38" s="130">
        <v>0.0</v>
      </c>
      <c r="AG38" s="130">
        <v>0.0</v>
      </c>
      <c r="AH38" s="130">
        <v>0.0</v>
      </c>
      <c r="AI38" s="91">
        <f t="shared" si="22"/>
        <v>0</v>
      </c>
      <c r="AJ38" s="101">
        <f>AJ37-AI38</f>
        <v>0</v>
      </c>
      <c r="AK38" s="102"/>
      <c r="AL38" s="103"/>
      <c r="AM38" s="103"/>
      <c r="AN38" s="103"/>
      <c r="AO38" s="103"/>
      <c r="AP38" s="103"/>
      <c r="AQ38" s="103"/>
      <c r="AR38" s="103"/>
      <c r="AS38" s="103"/>
      <c r="AT38" s="103"/>
      <c r="AU38" s="103"/>
      <c r="AV38" s="103"/>
      <c r="AW38" s="103"/>
      <c r="AX38" s="103"/>
      <c r="AY38" s="103"/>
      <c r="AZ38" s="103"/>
    </row>
    <row r="39" ht="23.25" customHeight="1">
      <c r="A39" s="88"/>
      <c r="B39" s="109" t="s">
        <v>115</v>
      </c>
      <c r="C39" s="110" t="str">
        <f t="shared" ref="C39:E39" si="23">IFERROR(IF(C38=0,(-C36/C34)-1,C40),"")</f>
        <v/>
      </c>
      <c r="D39" s="110" t="str">
        <f t="shared" si="23"/>
        <v/>
      </c>
      <c r="E39" s="110" t="str">
        <f t="shared" si="23"/>
        <v/>
      </c>
      <c r="F39" s="110" t="str">
        <f>IFERROR(IF(F38=0,(-F36/F35)-1,F40),"")</f>
        <v/>
      </c>
      <c r="G39" s="110" t="str">
        <f t="shared" ref="G39:AF39" si="24">IFERROR(IF(G38=0,(-G36/G34)-1,G40),"")</f>
        <v/>
      </c>
      <c r="H39" s="110" t="str">
        <f t="shared" si="24"/>
        <v/>
      </c>
      <c r="I39" s="110" t="str">
        <f t="shared" si="24"/>
        <v/>
      </c>
      <c r="J39" s="110" t="str">
        <f t="shared" si="24"/>
        <v/>
      </c>
      <c r="K39" s="110" t="str">
        <f t="shared" si="24"/>
        <v/>
      </c>
      <c r="L39" s="110" t="str">
        <f t="shared" si="24"/>
        <v/>
      </c>
      <c r="M39" s="110" t="str">
        <f t="shared" si="24"/>
        <v/>
      </c>
      <c r="N39" s="110" t="str">
        <f t="shared" si="24"/>
        <v/>
      </c>
      <c r="O39" s="110" t="str">
        <f t="shared" si="24"/>
        <v/>
      </c>
      <c r="P39" s="110" t="str">
        <f t="shared" si="24"/>
        <v/>
      </c>
      <c r="Q39" s="110" t="str">
        <f t="shared" si="24"/>
        <v/>
      </c>
      <c r="R39" s="110" t="str">
        <f t="shared" si="24"/>
        <v/>
      </c>
      <c r="S39" s="110" t="str">
        <f t="shared" si="24"/>
        <v/>
      </c>
      <c r="T39" s="110" t="str">
        <f t="shared" si="24"/>
        <v/>
      </c>
      <c r="U39" s="110" t="str">
        <f t="shared" si="24"/>
        <v/>
      </c>
      <c r="V39" s="110" t="str">
        <f t="shared" si="24"/>
        <v/>
      </c>
      <c r="W39" s="110" t="str">
        <f t="shared" si="24"/>
        <v/>
      </c>
      <c r="X39" s="110" t="str">
        <f t="shared" si="24"/>
        <v/>
      </c>
      <c r="Y39" s="110" t="str">
        <f t="shared" si="24"/>
        <v/>
      </c>
      <c r="Z39" s="110" t="str">
        <f t="shared" si="24"/>
        <v/>
      </c>
      <c r="AA39" s="110" t="str">
        <f t="shared" si="24"/>
        <v/>
      </c>
      <c r="AB39" s="110" t="str">
        <f t="shared" si="24"/>
        <v/>
      </c>
      <c r="AC39" s="110" t="str">
        <f t="shared" si="24"/>
        <v/>
      </c>
      <c r="AD39" s="110" t="str">
        <f t="shared" si="24"/>
        <v/>
      </c>
      <c r="AE39" s="110" t="str">
        <f t="shared" si="24"/>
        <v/>
      </c>
      <c r="AF39" s="110" t="str">
        <f t="shared" si="24"/>
        <v/>
      </c>
      <c r="AG39" s="110" t="str">
        <f>IFERROR(IF(AG38=0,(-AG36/AG35)-1,AG40),"")</f>
        <v/>
      </c>
      <c r="AH39" s="110" t="str">
        <f t="shared" ref="AH39:AI39" si="25">IFERROR(IF(AH38=0,(-AH36/AH34)-1,AH40),"")</f>
        <v/>
      </c>
      <c r="AI39" s="112" t="str">
        <f t="shared" si="25"/>
        <v/>
      </c>
      <c r="AJ39" s="149">
        <f>AI38*AI39</f>
        <v>0</v>
      </c>
      <c r="AK39" s="102"/>
      <c r="AL39" s="103"/>
      <c r="AM39" s="103"/>
      <c r="AN39" s="103"/>
      <c r="AO39" s="103"/>
      <c r="AP39" s="103"/>
      <c r="AQ39" s="103"/>
      <c r="AR39" s="103"/>
      <c r="AS39" s="103"/>
      <c r="AT39" s="103"/>
      <c r="AU39" s="103"/>
      <c r="AV39" s="103"/>
      <c r="AW39" s="103"/>
      <c r="AX39" s="103"/>
      <c r="AY39" s="103"/>
      <c r="AZ39" s="103"/>
    </row>
    <row r="40" ht="1.5" customHeight="1">
      <c r="A40" s="88"/>
      <c r="B40" s="113" t="s">
        <v>116</v>
      </c>
      <c r="C40" s="138" t="str">
        <f t="shared" ref="C40:AI40" si="26">IFERROR(IF(AND(C34&lt;&gt;0,C38=""),"",(C38/(C34+C35+C36+C37))-1),"")</f>
        <v/>
      </c>
      <c r="D40" s="138" t="str">
        <f t="shared" si="26"/>
        <v/>
      </c>
      <c r="E40" s="138" t="str">
        <f t="shared" si="26"/>
        <v/>
      </c>
      <c r="F40" s="138" t="str">
        <f t="shared" si="26"/>
        <v/>
      </c>
      <c r="G40" s="138" t="str">
        <f t="shared" si="26"/>
        <v/>
      </c>
      <c r="H40" s="138" t="str">
        <f t="shared" si="26"/>
        <v/>
      </c>
      <c r="I40" s="138" t="str">
        <f t="shared" si="26"/>
        <v/>
      </c>
      <c r="J40" s="138" t="str">
        <f t="shared" si="26"/>
        <v/>
      </c>
      <c r="K40" s="138" t="str">
        <f t="shared" si="26"/>
        <v/>
      </c>
      <c r="L40" s="138" t="str">
        <f t="shared" si="26"/>
        <v/>
      </c>
      <c r="M40" s="138" t="str">
        <f t="shared" si="26"/>
        <v/>
      </c>
      <c r="N40" s="138" t="str">
        <f t="shared" si="26"/>
        <v/>
      </c>
      <c r="O40" s="138" t="str">
        <f t="shared" si="26"/>
        <v/>
      </c>
      <c r="P40" s="138" t="str">
        <f t="shared" si="26"/>
        <v/>
      </c>
      <c r="Q40" s="138" t="str">
        <f t="shared" si="26"/>
        <v/>
      </c>
      <c r="R40" s="138" t="str">
        <f t="shared" si="26"/>
        <v/>
      </c>
      <c r="S40" s="138" t="str">
        <f t="shared" si="26"/>
        <v/>
      </c>
      <c r="T40" s="138" t="str">
        <f t="shared" si="26"/>
        <v/>
      </c>
      <c r="U40" s="138" t="str">
        <f t="shared" si="26"/>
        <v/>
      </c>
      <c r="V40" s="138" t="str">
        <f t="shared" si="26"/>
        <v/>
      </c>
      <c r="W40" s="138" t="str">
        <f t="shared" si="26"/>
        <v/>
      </c>
      <c r="X40" s="138" t="str">
        <f t="shared" si="26"/>
        <v/>
      </c>
      <c r="Y40" s="138" t="str">
        <f t="shared" si="26"/>
        <v/>
      </c>
      <c r="Z40" s="138" t="str">
        <f t="shared" si="26"/>
        <v/>
      </c>
      <c r="AA40" s="138" t="str">
        <f t="shared" si="26"/>
        <v/>
      </c>
      <c r="AB40" s="138" t="str">
        <f t="shared" si="26"/>
        <v/>
      </c>
      <c r="AC40" s="138" t="str">
        <f t="shared" si="26"/>
        <v/>
      </c>
      <c r="AD40" s="138" t="str">
        <f t="shared" si="26"/>
        <v/>
      </c>
      <c r="AE40" s="138" t="str">
        <f t="shared" si="26"/>
        <v/>
      </c>
      <c r="AF40" s="138" t="str">
        <f t="shared" si="26"/>
        <v/>
      </c>
      <c r="AG40" s="138" t="str">
        <f t="shared" si="26"/>
        <v/>
      </c>
      <c r="AH40" s="138" t="str">
        <f t="shared" si="26"/>
        <v/>
      </c>
      <c r="AI40" s="139" t="str">
        <f t="shared" si="26"/>
        <v/>
      </c>
      <c r="AJ40" s="101"/>
      <c r="AK40" s="102"/>
      <c r="AL40" s="103"/>
      <c r="AM40" s="103"/>
      <c r="AN40" s="103"/>
      <c r="AO40" s="103"/>
      <c r="AP40" s="103"/>
      <c r="AQ40" s="103"/>
      <c r="AR40" s="103"/>
      <c r="AS40" s="103"/>
      <c r="AT40" s="103"/>
      <c r="AU40" s="103"/>
      <c r="AV40" s="103"/>
      <c r="AW40" s="103"/>
      <c r="AX40" s="103"/>
      <c r="AY40" s="103"/>
      <c r="AZ40" s="103"/>
    </row>
    <row r="41" ht="18.0" customHeight="1">
      <c r="A41" s="115"/>
      <c r="B41" s="116" t="s">
        <v>117</v>
      </c>
      <c r="C41" s="117" t="str">
        <f t="shared" ref="C41:AI41" si="27">IFERROR(C38/$AI$38,"")</f>
        <v/>
      </c>
      <c r="D41" s="117" t="str">
        <f t="shared" si="27"/>
        <v/>
      </c>
      <c r="E41" s="117" t="str">
        <f t="shared" si="27"/>
        <v/>
      </c>
      <c r="F41" s="117" t="str">
        <f t="shared" si="27"/>
        <v/>
      </c>
      <c r="G41" s="117" t="str">
        <f t="shared" si="27"/>
        <v/>
      </c>
      <c r="H41" s="117" t="str">
        <f t="shared" si="27"/>
        <v/>
      </c>
      <c r="I41" s="117" t="str">
        <f t="shared" si="27"/>
        <v/>
      </c>
      <c r="J41" s="117" t="str">
        <f t="shared" si="27"/>
        <v/>
      </c>
      <c r="K41" s="117" t="str">
        <f t="shared" si="27"/>
        <v/>
      </c>
      <c r="L41" s="117" t="str">
        <f t="shared" si="27"/>
        <v/>
      </c>
      <c r="M41" s="117" t="str">
        <f t="shared" si="27"/>
        <v/>
      </c>
      <c r="N41" s="117" t="str">
        <f t="shared" si="27"/>
        <v/>
      </c>
      <c r="O41" s="117" t="str">
        <f t="shared" si="27"/>
        <v/>
      </c>
      <c r="P41" s="117" t="str">
        <f t="shared" si="27"/>
        <v/>
      </c>
      <c r="Q41" s="117" t="str">
        <f t="shared" si="27"/>
        <v/>
      </c>
      <c r="R41" s="117" t="str">
        <f t="shared" si="27"/>
        <v/>
      </c>
      <c r="S41" s="117" t="str">
        <f t="shared" si="27"/>
        <v/>
      </c>
      <c r="T41" s="117" t="str">
        <f t="shared" si="27"/>
        <v/>
      </c>
      <c r="U41" s="117" t="str">
        <f t="shared" si="27"/>
        <v/>
      </c>
      <c r="V41" s="117" t="str">
        <f t="shared" si="27"/>
        <v/>
      </c>
      <c r="W41" s="117" t="str">
        <f t="shared" si="27"/>
        <v/>
      </c>
      <c r="X41" s="117" t="str">
        <f t="shared" si="27"/>
        <v/>
      </c>
      <c r="Y41" s="117" t="str">
        <f t="shared" si="27"/>
        <v/>
      </c>
      <c r="Z41" s="117" t="str">
        <f t="shared" si="27"/>
        <v/>
      </c>
      <c r="AA41" s="117" t="str">
        <f t="shared" si="27"/>
        <v/>
      </c>
      <c r="AB41" s="117" t="str">
        <f t="shared" si="27"/>
        <v/>
      </c>
      <c r="AC41" s="117" t="str">
        <f t="shared" si="27"/>
        <v/>
      </c>
      <c r="AD41" s="117" t="str">
        <f t="shared" si="27"/>
        <v/>
      </c>
      <c r="AE41" s="117" t="str">
        <f t="shared" si="27"/>
        <v/>
      </c>
      <c r="AF41" s="117" t="str">
        <f t="shared" si="27"/>
        <v/>
      </c>
      <c r="AG41" s="117" t="str">
        <f t="shared" si="27"/>
        <v/>
      </c>
      <c r="AH41" s="117" t="str">
        <f t="shared" si="27"/>
        <v/>
      </c>
      <c r="AI41" s="118" t="str">
        <f t="shared" si="27"/>
        <v/>
      </c>
      <c r="AJ41" s="119">
        <f>AI38-AI34</f>
        <v>0</v>
      </c>
      <c r="AK41" s="120" t="str">
        <f>AI38/AI34-1</f>
        <v>#DIV/0!</v>
      </c>
      <c r="AL41" s="103"/>
      <c r="AM41" s="103"/>
      <c r="AN41" s="103"/>
      <c r="AO41" s="103"/>
      <c r="AP41" s="103"/>
      <c r="AQ41" s="103"/>
      <c r="AR41" s="103"/>
      <c r="AS41" s="103"/>
      <c r="AT41" s="103"/>
      <c r="AU41" s="154"/>
      <c r="AV41" s="155"/>
      <c r="AW41" s="103"/>
      <c r="AX41" s="103"/>
      <c r="AY41" s="103"/>
      <c r="AZ41" s="103"/>
    </row>
    <row r="42" ht="24.75" customHeight="1">
      <c r="A42" s="156">
        <v>45809.0</v>
      </c>
      <c r="B42" s="122" t="s">
        <v>118</v>
      </c>
      <c r="C42" s="123">
        <f t="shared" ref="C42:AH42" si="28">IF(C46="","",C38)</f>
        <v>0</v>
      </c>
      <c r="D42" s="123">
        <f t="shared" si="28"/>
        <v>0</v>
      </c>
      <c r="E42" s="123">
        <f t="shared" si="28"/>
        <v>0</v>
      </c>
      <c r="F42" s="123">
        <f t="shared" si="28"/>
        <v>0</v>
      </c>
      <c r="G42" s="123">
        <f t="shared" si="28"/>
        <v>0</v>
      </c>
      <c r="H42" s="123">
        <f t="shared" si="28"/>
        <v>0</v>
      </c>
      <c r="I42" s="123">
        <f t="shared" si="28"/>
        <v>0</v>
      </c>
      <c r="J42" s="123">
        <f t="shared" si="28"/>
        <v>0</v>
      </c>
      <c r="K42" s="123">
        <f t="shared" si="28"/>
        <v>0</v>
      </c>
      <c r="L42" s="123">
        <f t="shared" si="28"/>
        <v>0</v>
      </c>
      <c r="M42" s="123">
        <f t="shared" si="28"/>
        <v>0</v>
      </c>
      <c r="N42" s="123">
        <f t="shared" si="28"/>
        <v>0</v>
      </c>
      <c r="O42" s="123">
        <f t="shared" si="28"/>
        <v>0</v>
      </c>
      <c r="P42" s="123">
        <f t="shared" si="28"/>
        <v>0</v>
      </c>
      <c r="Q42" s="123">
        <f t="shared" si="28"/>
        <v>0</v>
      </c>
      <c r="R42" s="123">
        <f t="shared" si="28"/>
        <v>0</v>
      </c>
      <c r="S42" s="123">
        <f t="shared" si="28"/>
        <v>0</v>
      </c>
      <c r="T42" s="123">
        <f t="shared" si="28"/>
        <v>0</v>
      </c>
      <c r="U42" s="123">
        <f t="shared" si="28"/>
        <v>0</v>
      </c>
      <c r="V42" s="123">
        <f t="shared" si="28"/>
        <v>0</v>
      </c>
      <c r="W42" s="123">
        <f t="shared" si="28"/>
        <v>0</v>
      </c>
      <c r="X42" s="123">
        <f t="shared" si="28"/>
        <v>0</v>
      </c>
      <c r="Y42" s="123">
        <f t="shared" si="28"/>
        <v>0</v>
      </c>
      <c r="Z42" s="123">
        <f t="shared" si="28"/>
        <v>0</v>
      </c>
      <c r="AA42" s="123">
        <f t="shared" si="28"/>
        <v>0</v>
      </c>
      <c r="AB42" s="123">
        <f t="shared" si="28"/>
        <v>0</v>
      </c>
      <c r="AC42" s="123">
        <f t="shared" si="28"/>
        <v>0</v>
      </c>
      <c r="AD42" s="123">
        <f t="shared" si="28"/>
        <v>0</v>
      </c>
      <c r="AE42" s="123">
        <f t="shared" si="28"/>
        <v>0</v>
      </c>
      <c r="AF42" s="123">
        <f t="shared" si="28"/>
        <v>0</v>
      </c>
      <c r="AG42" s="123">
        <f t="shared" si="28"/>
        <v>0</v>
      </c>
      <c r="AH42" s="123">
        <f t="shared" si="28"/>
        <v>0</v>
      </c>
      <c r="AI42" s="141">
        <f t="shared" ref="AI42:AI46" si="29">SUM(C42:AH42)</f>
        <v>0</v>
      </c>
      <c r="AJ42" s="142"/>
      <c r="AK42" s="143"/>
      <c r="AL42" s="157"/>
      <c r="AM42" s="158"/>
      <c r="AN42" s="159"/>
      <c r="AO42" s="128"/>
      <c r="AP42" s="128"/>
      <c r="AQ42" s="128"/>
      <c r="AR42" s="128"/>
      <c r="AS42" s="128"/>
      <c r="AT42" s="128"/>
      <c r="AU42" s="160"/>
      <c r="AW42" s="128"/>
      <c r="AX42" s="128"/>
      <c r="AY42" s="128"/>
      <c r="AZ42" s="129"/>
    </row>
    <row r="43" ht="23.25" customHeight="1">
      <c r="A43" s="88"/>
      <c r="B43" s="89" t="s">
        <v>110</v>
      </c>
      <c r="C43" s="130">
        <v>0.0</v>
      </c>
      <c r="D43" s="130">
        <v>0.0</v>
      </c>
      <c r="E43" s="130">
        <v>0.0</v>
      </c>
      <c r="F43" s="130">
        <v>0.0</v>
      </c>
      <c r="G43" s="130">
        <v>0.0</v>
      </c>
      <c r="H43" s="130">
        <v>0.0</v>
      </c>
      <c r="I43" s="130">
        <v>0.0</v>
      </c>
      <c r="J43" s="130">
        <v>0.0</v>
      </c>
      <c r="K43" s="130">
        <v>0.0</v>
      </c>
      <c r="L43" s="130">
        <v>0.0</v>
      </c>
      <c r="M43" s="130">
        <v>0.0</v>
      </c>
      <c r="N43" s="130">
        <v>0.0</v>
      </c>
      <c r="O43" s="130">
        <v>0.0</v>
      </c>
      <c r="P43" s="130">
        <v>0.0</v>
      </c>
      <c r="Q43" s="130">
        <v>0.0</v>
      </c>
      <c r="R43" s="130">
        <v>0.0</v>
      </c>
      <c r="S43" s="130">
        <v>0.0</v>
      </c>
      <c r="T43" s="130">
        <v>0.0</v>
      </c>
      <c r="U43" s="130">
        <v>0.0</v>
      </c>
      <c r="V43" s="130">
        <v>0.0</v>
      </c>
      <c r="W43" s="130">
        <v>0.0</v>
      </c>
      <c r="X43" s="130">
        <v>0.0</v>
      </c>
      <c r="Y43" s="130">
        <v>0.0</v>
      </c>
      <c r="Z43" s="130">
        <v>0.0</v>
      </c>
      <c r="AA43" s="130">
        <v>0.0</v>
      </c>
      <c r="AB43" s="130">
        <v>0.0</v>
      </c>
      <c r="AC43" s="130">
        <v>0.0</v>
      </c>
      <c r="AD43" s="130">
        <v>0.0</v>
      </c>
      <c r="AE43" s="130">
        <v>0.0</v>
      </c>
      <c r="AF43" s="130">
        <v>0.0</v>
      </c>
      <c r="AG43" s="130">
        <v>0.0</v>
      </c>
      <c r="AH43" s="130">
        <v>0.0</v>
      </c>
      <c r="AI43" s="107">
        <f t="shared" si="29"/>
        <v>0</v>
      </c>
      <c r="AJ43" s="101"/>
      <c r="AK43" s="102"/>
      <c r="AL43" s="161"/>
      <c r="AM43" s="158"/>
      <c r="AN43" s="159"/>
      <c r="AO43" s="103"/>
      <c r="AP43" s="103"/>
      <c r="AQ43" s="103"/>
      <c r="AR43" s="103"/>
      <c r="AS43" s="103"/>
      <c r="AT43" s="103"/>
      <c r="AU43" s="162"/>
      <c r="AV43" s="163"/>
      <c r="AW43" s="103"/>
      <c r="AX43" s="103"/>
      <c r="AY43" s="103"/>
      <c r="AZ43" s="103"/>
    </row>
    <row r="44" ht="27.0" customHeight="1">
      <c r="A44" s="88"/>
      <c r="B44" s="98" t="s">
        <v>111</v>
      </c>
      <c r="C44" s="130">
        <v>0.0</v>
      </c>
      <c r="D44" s="130">
        <v>0.0</v>
      </c>
      <c r="E44" s="130">
        <v>0.0</v>
      </c>
      <c r="F44" s="130">
        <v>0.0</v>
      </c>
      <c r="G44" s="130">
        <v>0.0</v>
      </c>
      <c r="H44" s="130">
        <v>0.0</v>
      </c>
      <c r="I44" s="130">
        <v>0.0</v>
      </c>
      <c r="J44" s="130">
        <v>0.0</v>
      </c>
      <c r="K44" s="130">
        <v>0.0</v>
      </c>
      <c r="L44" s="130">
        <v>0.0</v>
      </c>
      <c r="M44" s="130">
        <v>0.0</v>
      </c>
      <c r="N44" s="130">
        <v>0.0</v>
      </c>
      <c r="O44" s="130">
        <v>0.0</v>
      </c>
      <c r="P44" s="130">
        <v>0.0</v>
      </c>
      <c r="Q44" s="130">
        <v>0.0</v>
      </c>
      <c r="R44" s="130">
        <v>0.0</v>
      </c>
      <c r="S44" s="130">
        <v>0.0</v>
      </c>
      <c r="T44" s="130">
        <v>0.0</v>
      </c>
      <c r="U44" s="130">
        <v>0.0</v>
      </c>
      <c r="V44" s="130">
        <v>0.0</v>
      </c>
      <c r="W44" s="130">
        <v>0.0</v>
      </c>
      <c r="X44" s="130">
        <v>0.0</v>
      </c>
      <c r="Y44" s="130">
        <v>0.0</v>
      </c>
      <c r="Z44" s="130">
        <v>0.0</v>
      </c>
      <c r="AA44" s="130">
        <v>0.0</v>
      </c>
      <c r="AB44" s="130">
        <v>0.0</v>
      </c>
      <c r="AC44" s="130">
        <v>0.0</v>
      </c>
      <c r="AD44" s="130">
        <v>0.0</v>
      </c>
      <c r="AE44" s="130">
        <v>0.0</v>
      </c>
      <c r="AF44" s="130">
        <v>0.0</v>
      </c>
      <c r="AG44" s="130">
        <v>0.0</v>
      </c>
      <c r="AH44" s="130">
        <v>0.0</v>
      </c>
      <c r="AI44" s="107">
        <f t="shared" si="29"/>
        <v>0</v>
      </c>
      <c r="AJ44" s="101"/>
      <c r="AK44" s="102"/>
      <c r="AL44" s="164"/>
      <c r="AM44" s="165"/>
      <c r="AN44" s="166"/>
      <c r="AO44" s="103"/>
      <c r="AP44" s="103"/>
      <c r="AQ44" s="103"/>
      <c r="AR44" s="103"/>
      <c r="AS44" s="103"/>
      <c r="AT44" s="103"/>
      <c r="AU44" s="167"/>
      <c r="AV44" s="167"/>
      <c r="AW44" s="103"/>
      <c r="AX44" s="103"/>
      <c r="AY44" s="103"/>
      <c r="AZ44" s="103"/>
    </row>
    <row r="45" ht="23.25" customHeight="1">
      <c r="A45" s="88"/>
      <c r="B45" s="100" t="s">
        <v>112</v>
      </c>
      <c r="C45" s="130">
        <v>0.0</v>
      </c>
      <c r="D45" s="130">
        <v>0.0</v>
      </c>
      <c r="E45" s="130">
        <v>0.0</v>
      </c>
      <c r="F45" s="130">
        <v>0.0</v>
      </c>
      <c r="G45" s="130">
        <v>0.0</v>
      </c>
      <c r="H45" s="130">
        <v>0.0</v>
      </c>
      <c r="I45" s="130">
        <v>0.0</v>
      </c>
      <c r="J45" s="130">
        <v>0.0</v>
      </c>
      <c r="K45" s="130">
        <v>0.0</v>
      </c>
      <c r="L45" s="130">
        <v>0.0</v>
      </c>
      <c r="M45" s="130">
        <v>0.0</v>
      </c>
      <c r="N45" s="130">
        <v>0.0</v>
      </c>
      <c r="O45" s="130">
        <v>0.0</v>
      </c>
      <c r="P45" s="130">
        <v>0.0</v>
      </c>
      <c r="Q45" s="130">
        <v>0.0</v>
      </c>
      <c r="R45" s="130">
        <v>0.0</v>
      </c>
      <c r="S45" s="130">
        <v>0.0</v>
      </c>
      <c r="T45" s="130">
        <v>0.0</v>
      </c>
      <c r="U45" s="130">
        <v>0.0</v>
      </c>
      <c r="V45" s="130">
        <v>0.0</v>
      </c>
      <c r="W45" s="130">
        <v>0.0</v>
      </c>
      <c r="X45" s="130">
        <v>0.0</v>
      </c>
      <c r="Y45" s="130">
        <v>0.0</v>
      </c>
      <c r="Z45" s="130">
        <v>0.0</v>
      </c>
      <c r="AA45" s="130">
        <v>0.0</v>
      </c>
      <c r="AB45" s="130">
        <v>0.0</v>
      </c>
      <c r="AC45" s="130">
        <v>0.0</v>
      </c>
      <c r="AD45" s="130">
        <v>0.0</v>
      </c>
      <c r="AE45" s="130">
        <v>0.0</v>
      </c>
      <c r="AF45" s="130">
        <v>0.0</v>
      </c>
      <c r="AG45" s="130">
        <v>0.0</v>
      </c>
      <c r="AH45" s="130">
        <v>0.0</v>
      </c>
      <c r="AI45" s="107">
        <f t="shared" si="29"/>
        <v>0</v>
      </c>
      <c r="AJ45" s="101">
        <f>SUM(AI42:AI44)</f>
        <v>0</v>
      </c>
      <c r="AK45" s="102"/>
      <c r="AL45" s="164"/>
      <c r="AM45" s="165"/>
      <c r="AN45" s="168" t="s">
        <v>119</v>
      </c>
      <c r="AO45" s="169"/>
      <c r="AP45" s="169"/>
      <c r="AQ45" s="170"/>
      <c r="AR45" s="103"/>
      <c r="AS45" s="103"/>
      <c r="AT45" s="103"/>
      <c r="AU45" s="167"/>
      <c r="AV45" s="167"/>
      <c r="AW45" s="103"/>
      <c r="AX45" s="103"/>
      <c r="AY45" s="103"/>
      <c r="AZ45" s="103"/>
    </row>
    <row r="46" ht="25.5" customHeight="1">
      <c r="A46" s="88"/>
      <c r="B46" s="106" t="s">
        <v>113</v>
      </c>
      <c r="C46" s="130">
        <v>0.0</v>
      </c>
      <c r="D46" s="130">
        <v>0.0</v>
      </c>
      <c r="E46" s="130">
        <v>0.0</v>
      </c>
      <c r="F46" s="130">
        <v>0.0</v>
      </c>
      <c r="G46" s="130">
        <v>0.0</v>
      </c>
      <c r="H46" s="130">
        <v>0.0</v>
      </c>
      <c r="I46" s="130">
        <v>0.0</v>
      </c>
      <c r="J46" s="130">
        <v>0.0</v>
      </c>
      <c r="K46" s="130">
        <v>0.0</v>
      </c>
      <c r="L46" s="130">
        <v>0.0</v>
      </c>
      <c r="M46" s="130">
        <v>0.0</v>
      </c>
      <c r="N46" s="130">
        <v>0.0</v>
      </c>
      <c r="O46" s="130">
        <v>0.0</v>
      </c>
      <c r="P46" s="130">
        <v>0.0</v>
      </c>
      <c r="Q46" s="130">
        <v>0.0</v>
      </c>
      <c r="R46" s="130">
        <v>0.0</v>
      </c>
      <c r="S46" s="130">
        <v>0.0</v>
      </c>
      <c r="T46" s="130">
        <v>0.0</v>
      </c>
      <c r="U46" s="130">
        <v>0.0</v>
      </c>
      <c r="V46" s="130">
        <v>0.0</v>
      </c>
      <c r="W46" s="130">
        <v>0.0</v>
      </c>
      <c r="X46" s="130">
        <v>0.0</v>
      </c>
      <c r="Y46" s="130">
        <v>0.0</v>
      </c>
      <c r="Z46" s="130">
        <v>0.0</v>
      </c>
      <c r="AA46" s="130">
        <v>0.0</v>
      </c>
      <c r="AB46" s="130">
        <v>0.0</v>
      </c>
      <c r="AC46" s="130">
        <v>0.0</v>
      </c>
      <c r="AD46" s="130">
        <v>0.0</v>
      </c>
      <c r="AE46" s="130">
        <v>0.0</v>
      </c>
      <c r="AF46" s="130">
        <v>0.0</v>
      </c>
      <c r="AG46" s="130">
        <v>0.0</v>
      </c>
      <c r="AH46" s="130">
        <v>0.0</v>
      </c>
      <c r="AI46" s="107">
        <f t="shared" si="29"/>
        <v>0</v>
      </c>
      <c r="AJ46" s="101">
        <f>AJ45-AI46</f>
        <v>0</v>
      </c>
      <c r="AK46" s="102"/>
      <c r="AL46" s="164"/>
      <c r="AM46" s="165"/>
      <c r="AN46" s="171"/>
      <c r="AO46" s="172"/>
      <c r="AP46" s="172"/>
      <c r="AQ46" s="173"/>
      <c r="AR46" s="103"/>
      <c r="AS46" s="103"/>
      <c r="AT46" s="103"/>
      <c r="AU46" s="162"/>
      <c r="AV46" s="174"/>
      <c r="AW46" s="103"/>
      <c r="AX46" s="103"/>
      <c r="AY46" s="103"/>
      <c r="AZ46" s="103"/>
    </row>
    <row r="47" ht="23.25" customHeight="1">
      <c r="A47" s="88"/>
      <c r="B47" s="109" t="s">
        <v>115</v>
      </c>
      <c r="C47" s="110" t="str">
        <f t="shared" ref="C47:AI47" si="30">IFERROR(IF(C46=0,(-C44/C42)-1,C48),"")</f>
        <v/>
      </c>
      <c r="D47" s="110" t="str">
        <f t="shared" si="30"/>
        <v/>
      </c>
      <c r="E47" s="110" t="str">
        <f t="shared" si="30"/>
        <v/>
      </c>
      <c r="F47" s="110" t="str">
        <f t="shared" si="30"/>
        <v/>
      </c>
      <c r="G47" s="110" t="str">
        <f t="shared" si="30"/>
        <v/>
      </c>
      <c r="H47" s="110" t="str">
        <f t="shared" si="30"/>
        <v/>
      </c>
      <c r="I47" s="110" t="str">
        <f t="shared" si="30"/>
        <v/>
      </c>
      <c r="J47" s="110" t="str">
        <f t="shared" si="30"/>
        <v/>
      </c>
      <c r="K47" s="110" t="str">
        <f t="shared" si="30"/>
        <v/>
      </c>
      <c r="L47" s="110" t="str">
        <f t="shared" si="30"/>
        <v/>
      </c>
      <c r="M47" s="110" t="str">
        <f t="shared" si="30"/>
        <v/>
      </c>
      <c r="N47" s="110" t="str">
        <f t="shared" si="30"/>
        <v/>
      </c>
      <c r="O47" s="110" t="str">
        <f t="shared" si="30"/>
        <v/>
      </c>
      <c r="P47" s="110" t="str">
        <f t="shared" si="30"/>
        <v/>
      </c>
      <c r="Q47" s="110" t="str">
        <f t="shared" si="30"/>
        <v/>
      </c>
      <c r="R47" s="110" t="str">
        <f t="shared" si="30"/>
        <v/>
      </c>
      <c r="S47" s="110" t="str">
        <f t="shared" si="30"/>
        <v/>
      </c>
      <c r="T47" s="110" t="str">
        <f t="shared" si="30"/>
        <v/>
      </c>
      <c r="U47" s="110" t="str">
        <f t="shared" si="30"/>
        <v/>
      </c>
      <c r="V47" s="110" t="str">
        <f t="shared" si="30"/>
        <v/>
      </c>
      <c r="W47" s="110" t="str">
        <f t="shared" si="30"/>
        <v/>
      </c>
      <c r="X47" s="110" t="str">
        <f t="shared" si="30"/>
        <v/>
      </c>
      <c r="Y47" s="110" t="str">
        <f t="shared" si="30"/>
        <v/>
      </c>
      <c r="Z47" s="110" t="str">
        <f t="shared" si="30"/>
        <v/>
      </c>
      <c r="AA47" s="110" t="str">
        <f t="shared" si="30"/>
        <v/>
      </c>
      <c r="AB47" s="110" t="str">
        <f t="shared" si="30"/>
        <v/>
      </c>
      <c r="AC47" s="110" t="str">
        <f t="shared" si="30"/>
        <v/>
      </c>
      <c r="AD47" s="110" t="str">
        <f t="shared" si="30"/>
        <v/>
      </c>
      <c r="AE47" s="110" t="str">
        <f t="shared" si="30"/>
        <v/>
      </c>
      <c r="AF47" s="110" t="str">
        <f t="shared" si="30"/>
        <v/>
      </c>
      <c r="AG47" s="110" t="str">
        <f t="shared" si="30"/>
        <v/>
      </c>
      <c r="AH47" s="110" t="str">
        <f t="shared" si="30"/>
        <v/>
      </c>
      <c r="AI47" s="112" t="str">
        <f t="shared" si="30"/>
        <v/>
      </c>
      <c r="AJ47" s="101">
        <f>AI46*AI47</f>
        <v>0</v>
      </c>
      <c r="AK47" s="102"/>
      <c r="AL47" s="164"/>
      <c r="AM47" s="165"/>
      <c r="AN47" s="175" t="s">
        <v>120</v>
      </c>
      <c r="AO47" s="176"/>
      <c r="AP47" s="177">
        <f>IF(AI94=0,IF(AI86=0,IF(AI78=0,IF(AI70=0,IF(AI62=0,IF(AI54=0,IF(AI46=0,IF(AI38=0,IF(AI30=0,IF(AI22=0,IF(AI14=0,AI6,AI14),AI22),AI30),AI38),AI46),AI54),AI62),AI70),AI78),AI86),AI94)</f>
        <v>3374341.84</v>
      </c>
      <c r="AQ47" s="178"/>
      <c r="AR47" s="103"/>
      <c r="AS47" s="103"/>
      <c r="AT47" s="103"/>
      <c r="AU47" s="167"/>
      <c r="AV47" s="167"/>
      <c r="AW47" s="103"/>
      <c r="AX47" s="103"/>
      <c r="AY47" s="103"/>
      <c r="AZ47" s="103"/>
    </row>
    <row r="48" ht="1.5" hidden="1" customHeight="1">
      <c r="A48" s="88"/>
      <c r="B48" s="113" t="s">
        <v>116</v>
      </c>
      <c r="C48" s="138" t="str">
        <f t="shared" ref="C48:AI48" si="31">IFERROR(IF(AND(C42&lt;&gt;0,C46=""),"",(C46/(C42+C43+C44+C45))-1),"")</f>
        <v/>
      </c>
      <c r="D48" s="138" t="str">
        <f t="shared" si="31"/>
        <v/>
      </c>
      <c r="E48" s="138" t="str">
        <f t="shared" si="31"/>
        <v/>
      </c>
      <c r="F48" s="138" t="str">
        <f t="shared" si="31"/>
        <v/>
      </c>
      <c r="G48" s="138" t="str">
        <f t="shared" si="31"/>
        <v/>
      </c>
      <c r="H48" s="138" t="str">
        <f t="shared" si="31"/>
        <v/>
      </c>
      <c r="I48" s="138" t="str">
        <f t="shared" si="31"/>
        <v/>
      </c>
      <c r="J48" s="138" t="str">
        <f t="shared" si="31"/>
        <v/>
      </c>
      <c r="K48" s="138" t="str">
        <f t="shared" si="31"/>
        <v/>
      </c>
      <c r="L48" s="138" t="str">
        <f t="shared" si="31"/>
        <v/>
      </c>
      <c r="M48" s="138" t="str">
        <f t="shared" si="31"/>
        <v/>
      </c>
      <c r="N48" s="138" t="str">
        <f t="shared" si="31"/>
        <v/>
      </c>
      <c r="O48" s="138" t="str">
        <f t="shared" si="31"/>
        <v/>
      </c>
      <c r="P48" s="138" t="str">
        <f t="shared" si="31"/>
        <v/>
      </c>
      <c r="Q48" s="138" t="str">
        <f t="shared" si="31"/>
        <v/>
      </c>
      <c r="R48" s="138" t="str">
        <f t="shared" si="31"/>
        <v/>
      </c>
      <c r="S48" s="138" t="str">
        <f t="shared" si="31"/>
        <v/>
      </c>
      <c r="T48" s="138" t="str">
        <f t="shared" si="31"/>
        <v/>
      </c>
      <c r="U48" s="138" t="str">
        <f t="shared" si="31"/>
        <v/>
      </c>
      <c r="V48" s="138" t="str">
        <f t="shared" si="31"/>
        <v/>
      </c>
      <c r="W48" s="138" t="str">
        <f t="shared" si="31"/>
        <v/>
      </c>
      <c r="X48" s="138" t="str">
        <f t="shared" si="31"/>
        <v/>
      </c>
      <c r="Y48" s="138" t="str">
        <f t="shared" si="31"/>
        <v/>
      </c>
      <c r="Z48" s="138" t="str">
        <f t="shared" si="31"/>
        <v/>
      </c>
      <c r="AA48" s="138" t="str">
        <f t="shared" si="31"/>
        <v/>
      </c>
      <c r="AB48" s="138" t="str">
        <f t="shared" si="31"/>
        <v/>
      </c>
      <c r="AC48" s="138" t="str">
        <f t="shared" si="31"/>
        <v/>
      </c>
      <c r="AD48" s="138" t="str">
        <f t="shared" si="31"/>
        <v/>
      </c>
      <c r="AE48" s="138" t="str">
        <f t="shared" si="31"/>
        <v/>
      </c>
      <c r="AF48" s="138" t="str">
        <f t="shared" si="31"/>
        <v/>
      </c>
      <c r="AG48" s="138" t="str">
        <f t="shared" si="31"/>
        <v/>
      </c>
      <c r="AH48" s="138" t="str">
        <f t="shared" si="31"/>
        <v/>
      </c>
      <c r="AI48" s="139" t="str">
        <f t="shared" si="31"/>
        <v/>
      </c>
      <c r="AJ48" s="101"/>
      <c r="AK48" s="102"/>
      <c r="AL48" s="164"/>
      <c r="AM48" s="165"/>
      <c r="AN48" s="179"/>
      <c r="AO48" s="180"/>
      <c r="AP48" s="181"/>
      <c r="AQ48" s="182"/>
      <c r="AR48" s="183"/>
      <c r="AS48" s="103"/>
      <c r="AT48" s="103"/>
      <c r="AU48" s="184"/>
      <c r="AV48" s="185"/>
      <c r="AW48" s="103"/>
      <c r="AX48" s="103"/>
      <c r="AY48" s="103"/>
      <c r="AZ48" s="103"/>
    </row>
    <row r="49" ht="24.75" customHeight="1">
      <c r="A49" s="115"/>
      <c r="B49" s="116" t="s">
        <v>117</v>
      </c>
      <c r="C49" s="117" t="str">
        <f t="shared" ref="C49:AI49" si="32">IFERROR(C46/$AI$46,"")</f>
        <v/>
      </c>
      <c r="D49" s="117" t="str">
        <f t="shared" si="32"/>
        <v/>
      </c>
      <c r="E49" s="117" t="str">
        <f t="shared" si="32"/>
        <v/>
      </c>
      <c r="F49" s="117" t="str">
        <f t="shared" si="32"/>
        <v/>
      </c>
      <c r="G49" s="117" t="str">
        <f t="shared" si="32"/>
        <v/>
      </c>
      <c r="H49" s="117" t="str">
        <f t="shared" si="32"/>
        <v/>
      </c>
      <c r="I49" s="117" t="str">
        <f t="shared" si="32"/>
        <v/>
      </c>
      <c r="J49" s="117" t="str">
        <f t="shared" si="32"/>
        <v/>
      </c>
      <c r="K49" s="117" t="str">
        <f t="shared" si="32"/>
        <v/>
      </c>
      <c r="L49" s="117" t="str">
        <f t="shared" si="32"/>
        <v/>
      </c>
      <c r="M49" s="117" t="str">
        <f t="shared" si="32"/>
        <v/>
      </c>
      <c r="N49" s="117" t="str">
        <f t="shared" si="32"/>
        <v/>
      </c>
      <c r="O49" s="117" t="str">
        <f t="shared" si="32"/>
        <v/>
      </c>
      <c r="P49" s="117" t="str">
        <f t="shared" si="32"/>
        <v/>
      </c>
      <c r="Q49" s="117" t="str">
        <f t="shared" si="32"/>
        <v/>
      </c>
      <c r="R49" s="117" t="str">
        <f t="shared" si="32"/>
        <v/>
      </c>
      <c r="S49" s="117" t="str">
        <f t="shared" si="32"/>
        <v/>
      </c>
      <c r="T49" s="117" t="str">
        <f t="shared" si="32"/>
        <v/>
      </c>
      <c r="U49" s="117" t="str">
        <f t="shared" si="32"/>
        <v/>
      </c>
      <c r="V49" s="117" t="str">
        <f t="shared" si="32"/>
        <v/>
      </c>
      <c r="W49" s="117" t="str">
        <f t="shared" si="32"/>
        <v/>
      </c>
      <c r="X49" s="117" t="str">
        <f t="shared" si="32"/>
        <v/>
      </c>
      <c r="Y49" s="117" t="str">
        <f t="shared" si="32"/>
        <v/>
      </c>
      <c r="Z49" s="117" t="str">
        <f t="shared" si="32"/>
        <v/>
      </c>
      <c r="AA49" s="117" t="str">
        <f t="shared" si="32"/>
        <v/>
      </c>
      <c r="AB49" s="117" t="str">
        <f t="shared" si="32"/>
        <v/>
      </c>
      <c r="AC49" s="117" t="str">
        <f t="shared" si="32"/>
        <v/>
      </c>
      <c r="AD49" s="117" t="str">
        <f t="shared" si="32"/>
        <v/>
      </c>
      <c r="AE49" s="117" t="str">
        <f t="shared" si="32"/>
        <v/>
      </c>
      <c r="AF49" s="117" t="str">
        <f t="shared" si="32"/>
        <v/>
      </c>
      <c r="AG49" s="117" t="str">
        <f t="shared" si="32"/>
        <v/>
      </c>
      <c r="AH49" s="117" t="str">
        <f t="shared" si="32"/>
        <v/>
      </c>
      <c r="AI49" s="186" t="str">
        <f t="shared" si="32"/>
        <v/>
      </c>
      <c r="AJ49" s="119">
        <f>AI46-AI42</f>
        <v>0</v>
      </c>
      <c r="AK49" s="120" t="str">
        <f>AI46/AI42-1</f>
        <v>#DIV/0!</v>
      </c>
      <c r="AL49" s="164"/>
      <c r="AM49" s="165"/>
      <c r="AN49" s="179"/>
      <c r="AO49" s="180"/>
      <c r="AP49" s="181"/>
      <c r="AQ49" s="182"/>
      <c r="AR49" s="187"/>
      <c r="AS49" s="103"/>
      <c r="AT49" s="103"/>
      <c r="AU49" s="103"/>
      <c r="AV49" s="103"/>
      <c r="AW49" s="103"/>
      <c r="AX49" s="103"/>
      <c r="AY49" s="103"/>
      <c r="AZ49" s="103"/>
    </row>
    <row r="50" ht="24.0" customHeight="1">
      <c r="A50" s="121">
        <v>45839.0</v>
      </c>
      <c r="B50" s="122" t="s">
        <v>118</v>
      </c>
      <c r="C50" s="123">
        <f t="shared" ref="C50:AH50" si="33">IF(C54="","",C46)</f>
        <v>0</v>
      </c>
      <c r="D50" s="123">
        <f t="shared" si="33"/>
        <v>0</v>
      </c>
      <c r="E50" s="123">
        <f t="shared" si="33"/>
        <v>0</v>
      </c>
      <c r="F50" s="123">
        <f t="shared" si="33"/>
        <v>0</v>
      </c>
      <c r="G50" s="123">
        <f t="shared" si="33"/>
        <v>0</v>
      </c>
      <c r="H50" s="123">
        <f t="shared" si="33"/>
        <v>0</v>
      </c>
      <c r="I50" s="123">
        <f t="shared" si="33"/>
        <v>0</v>
      </c>
      <c r="J50" s="123">
        <f t="shared" si="33"/>
        <v>0</v>
      </c>
      <c r="K50" s="123">
        <f t="shared" si="33"/>
        <v>0</v>
      </c>
      <c r="L50" s="123">
        <f t="shared" si="33"/>
        <v>0</v>
      </c>
      <c r="M50" s="123">
        <f t="shared" si="33"/>
        <v>0</v>
      </c>
      <c r="N50" s="123">
        <f t="shared" si="33"/>
        <v>0</v>
      </c>
      <c r="O50" s="123">
        <f t="shared" si="33"/>
        <v>0</v>
      </c>
      <c r="P50" s="123">
        <f t="shared" si="33"/>
        <v>0</v>
      </c>
      <c r="Q50" s="123">
        <f t="shared" si="33"/>
        <v>0</v>
      </c>
      <c r="R50" s="123">
        <f t="shared" si="33"/>
        <v>0</v>
      </c>
      <c r="S50" s="123">
        <f t="shared" si="33"/>
        <v>0</v>
      </c>
      <c r="T50" s="123">
        <f t="shared" si="33"/>
        <v>0</v>
      </c>
      <c r="U50" s="123">
        <f t="shared" si="33"/>
        <v>0</v>
      </c>
      <c r="V50" s="123">
        <f t="shared" si="33"/>
        <v>0</v>
      </c>
      <c r="W50" s="123">
        <f t="shared" si="33"/>
        <v>0</v>
      </c>
      <c r="X50" s="123">
        <f t="shared" si="33"/>
        <v>0</v>
      </c>
      <c r="Y50" s="123">
        <f t="shared" si="33"/>
        <v>0</v>
      </c>
      <c r="Z50" s="123">
        <f t="shared" si="33"/>
        <v>0</v>
      </c>
      <c r="AA50" s="123">
        <f t="shared" si="33"/>
        <v>0</v>
      </c>
      <c r="AB50" s="123">
        <f t="shared" si="33"/>
        <v>0</v>
      </c>
      <c r="AC50" s="123">
        <f t="shared" si="33"/>
        <v>0</v>
      </c>
      <c r="AD50" s="123">
        <f t="shared" si="33"/>
        <v>0</v>
      </c>
      <c r="AE50" s="123">
        <f t="shared" si="33"/>
        <v>0</v>
      </c>
      <c r="AF50" s="123">
        <f t="shared" si="33"/>
        <v>0</v>
      </c>
      <c r="AG50" s="123">
        <f t="shared" si="33"/>
        <v>0</v>
      </c>
      <c r="AH50" s="123">
        <f t="shared" si="33"/>
        <v>0</v>
      </c>
      <c r="AI50" s="141">
        <f t="shared" ref="AI50:AI54" si="34">SUM(C50:AH50)</f>
        <v>0</v>
      </c>
      <c r="AJ50" s="142"/>
      <c r="AK50" s="143"/>
      <c r="AL50" s="188"/>
      <c r="AM50" s="189"/>
      <c r="AN50" s="171"/>
      <c r="AO50" s="190"/>
      <c r="AP50" s="191"/>
      <c r="AQ50" s="173"/>
      <c r="AR50" s="192"/>
      <c r="AS50" s="127"/>
      <c r="AT50" s="128"/>
      <c r="AU50" s="128"/>
      <c r="AV50" s="128"/>
      <c r="AW50" s="128"/>
      <c r="AX50" s="128"/>
      <c r="AY50" s="128"/>
      <c r="AZ50" s="129"/>
    </row>
    <row r="51" ht="24.0" customHeight="1">
      <c r="A51" s="88"/>
      <c r="B51" s="89" t="s">
        <v>110</v>
      </c>
      <c r="C51" s="130">
        <v>0.0</v>
      </c>
      <c r="D51" s="130">
        <v>0.0</v>
      </c>
      <c r="E51" s="130">
        <v>0.0</v>
      </c>
      <c r="F51" s="130">
        <v>0.0</v>
      </c>
      <c r="G51" s="130">
        <v>0.0</v>
      </c>
      <c r="H51" s="130">
        <v>0.0</v>
      </c>
      <c r="I51" s="130">
        <v>0.0</v>
      </c>
      <c r="J51" s="130">
        <v>0.0</v>
      </c>
      <c r="K51" s="130">
        <v>0.0</v>
      </c>
      <c r="L51" s="130">
        <v>0.0</v>
      </c>
      <c r="M51" s="130">
        <v>0.0</v>
      </c>
      <c r="N51" s="130">
        <v>0.0</v>
      </c>
      <c r="O51" s="130">
        <v>0.0</v>
      </c>
      <c r="P51" s="130">
        <v>0.0</v>
      </c>
      <c r="Q51" s="130">
        <v>0.0</v>
      </c>
      <c r="R51" s="130">
        <v>0.0</v>
      </c>
      <c r="S51" s="130">
        <v>0.0</v>
      </c>
      <c r="T51" s="130">
        <v>0.0</v>
      </c>
      <c r="U51" s="130">
        <v>0.0</v>
      </c>
      <c r="V51" s="130">
        <v>0.0</v>
      </c>
      <c r="W51" s="130">
        <v>0.0</v>
      </c>
      <c r="X51" s="130">
        <v>0.0</v>
      </c>
      <c r="Y51" s="130">
        <v>0.0</v>
      </c>
      <c r="Z51" s="130">
        <v>0.0</v>
      </c>
      <c r="AA51" s="130">
        <v>0.0</v>
      </c>
      <c r="AB51" s="130">
        <v>0.0</v>
      </c>
      <c r="AC51" s="130">
        <v>0.0</v>
      </c>
      <c r="AD51" s="130">
        <v>0.0</v>
      </c>
      <c r="AE51" s="130">
        <v>0.0</v>
      </c>
      <c r="AF51" s="130">
        <v>0.0</v>
      </c>
      <c r="AG51" s="130">
        <v>0.0</v>
      </c>
      <c r="AH51" s="130">
        <v>0.0</v>
      </c>
      <c r="AI51" s="107">
        <f t="shared" si="34"/>
        <v>0</v>
      </c>
      <c r="AJ51" s="101"/>
      <c r="AK51" s="134"/>
      <c r="AL51" s="193"/>
      <c r="AM51" s="158"/>
      <c r="AN51" s="175" t="s">
        <v>121</v>
      </c>
      <c r="AO51" s="176"/>
      <c r="AP51" s="194">
        <f>AN74</f>
        <v>-0.0007303741801</v>
      </c>
      <c r="AQ51" s="178"/>
      <c r="AR51" s="103"/>
      <c r="AS51" s="103"/>
      <c r="AT51" s="103"/>
      <c r="AU51" s="103"/>
      <c r="AV51" s="103"/>
      <c r="AW51" s="103"/>
      <c r="AX51" s="103"/>
      <c r="AY51" s="103"/>
      <c r="AZ51" s="103"/>
    </row>
    <row r="52" ht="24.0" customHeight="1">
      <c r="A52" s="88"/>
      <c r="B52" s="98" t="s">
        <v>111</v>
      </c>
      <c r="C52" s="130">
        <v>0.0</v>
      </c>
      <c r="D52" s="130">
        <v>0.0</v>
      </c>
      <c r="E52" s="130">
        <v>0.0</v>
      </c>
      <c r="F52" s="130">
        <v>0.0</v>
      </c>
      <c r="G52" s="130">
        <v>0.0</v>
      </c>
      <c r="H52" s="130">
        <v>0.0</v>
      </c>
      <c r="I52" s="130">
        <v>0.0</v>
      </c>
      <c r="J52" s="130">
        <v>0.0</v>
      </c>
      <c r="K52" s="130">
        <v>0.0</v>
      </c>
      <c r="L52" s="130">
        <v>0.0</v>
      </c>
      <c r="M52" s="130">
        <v>0.0</v>
      </c>
      <c r="N52" s="130">
        <v>0.0</v>
      </c>
      <c r="O52" s="130">
        <v>0.0</v>
      </c>
      <c r="P52" s="130">
        <v>0.0</v>
      </c>
      <c r="Q52" s="130">
        <v>0.0</v>
      </c>
      <c r="R52" s="130">
        <v>0.0</v>
      </c>
      <c r="S52" s="130">
        <v>0.0</v>
      </c>
      <c r="T52" s="130">
        <v>0.0</v>
      </c>
      <c r="U52" s="130">
        <v>0.0</v>
      </c>
      <c r="V52" s="130">
        <v>0.0</v>
      </c>
      <c r="W52" s="130">
        <v>0.0</v>
      </c>
      <c r="X52" s="130">
        <v>0.0</v>
      </c>
      <c r="Y52" s="130">
        <v>0.0</v>
      </c>
      <c r="Z52" s="130">
        <v>0.0</v>
      </c>
      <c r="AA52" s="130">
        <v>0.0</v>
      </c>
      <c r="AB52" s="130">
        <v>0.0</v>
      </c>
      <c r="AC52" s="130">
        <v>0.0</v>
      </c>
      <c r="AD52" s="130">
        <v>0.0</v>
      </c>
      <c r="AE52" s="130">
        <v>0.0</v>
      </c>
      <c r="AF52" s="130">
        <v>0.0</v>
      </c>
      <c r="AG52" s="130">
        <v>0.0</v>
      </c>
      <c r="AH52" s="130">
        <v>0.0</v>
      </c>
      <c r="AI52" s="107">
        <f t="shared" si="34"/>
        <v>0</v>
      </c>
      <c r="AJ52" s="101"/>
      <c r="AK52" s="134"/>
      <c r="AL52" s="193"/>
      <c r="AM52" s="158"/>
      <c r="AN52" s="195"/>
      <c r="AO52" s="196"/>
      <c r="AP52" s="197"/>
      <c r="AQ52" s="198"/>
      <c r="AR52" s="199">
        <f>AP47*AP51</f>
        <v>-2464.532155</v>
      </c>
      <c r="AS52" s="103"/>
      <c r="AT52" s="103"/>
      <c r="AU52" s="103"/>
      <c r="AV52" s="103"/>
      <c r="AW52" s="103"/>
      <c r="AX52" s="103"/>
      <c r="AY52" s="103"/>
      <c r="AZ52" s="103"/>
    </row>
    <row r="53" ht="24.0" customHeight="1">
      <c r="A53" s="88"/>
      <c r="B53" s="100" t="s">
        <v>112</v>
      </c>
      <c r="C53" s="130">
        <v>0.0</v>
      </c>
      <c r="D53" s="130">
        <v>0.0</v>
      </c>
      <c r="E53" s="130">
        <v>0.0</v>
      </c>
      <c r="F53" s="130">
        <v>0.0</v>
      </c>
      <c r="G53" s="130">
        <v>0.0</v>
      </c>
      <c r="H53" s="130">
        <v>0.0</v>
      </c>
      <c r="I53" s="130">
        <v>0.0</v>
      </c>
      <c r="J53" s="130">
        <v>0.0</v>
      </c>
      <c r="K53" s="130">
        <v>0.0</v>
      </c>
      <c r="L53" s="130">
        <v>0.0</v>
      </c>
      <c r="M53" s="130">
        <v>0.0</v>
      </c>
      <c r="N53" s="130">
        <v>0.0</v>
      </c>
      <c r="O53" s="130">
        <v>0.0</v>
      </c>
      <c r="P53" s="130">
        <v>0.0</v>
      </c>
      <c r="Q53" s="130">
        <v>0.0</v>
      </c>
      <c r="R53" s="130">
        <v>0.0</v>
      </c>
      <c r="S53" s="130">
        <v>0.0</v>
      </c>
      <c r="T53" s="130">
        <v>0.0</v>
      </c>
      <c r="U53" s="130">
        <v>0.0</v>
      </c>
      <c r="V53" s="130">
        <v>0.0</v>
      </c>
      <c r="W53" s="130">
        <v>0.0</v>
      </c>
      <c r="X53" s="130">
        <v>0.0</v>
      </c>
      <c r="Y53" s="130">
        <v>0.0</v>
      </c>
      <c r="Z53" s="130">
        <v>0.0</v>
      </c>
      <c r="AA53" s="130">
        <v>0.0</v>
      </c>
      <c r="AB53" s="130">
        <v>0.0</v>
      </c>
      <c r="AC53" s="130">
        <v>0.0</v>
      </c>
      <c r="AD53" s="130">
        <v>0.0</v>
      </c>
      <c r="AE53" s="130">
        <v>0.0</v>
      </c>
      <c r="AF53" s="130">
        <v>0.0</v>
      </c>
      <c r="AG53" s="130">
        <v>0.0</v>
      </c>
      <c r="AH53" s="130">
        <v>0.0</v>
      </c>
      <c r="AI53" s="107">
        <f t="shared" si="34"/>
        <v>0</v>
      </c>
      <c r="AJ53" s="101">
        <f>SUM(AI50:AI53)</f>
        <v>0</v>
      </c>
      <c r="AK53" s="134"/>
      <c r="AL53" s="200"/>
      <c r="AM53" s="201"/>
      <c r="AN53" s="202"/>
      <c r="AO53" s="203"/>
      <c r="AP53" s="204"/>
      <c r="AQ53" s="103"/>
      <c r="AR53" s="103"/>
      <c r="AS53" s="103"/>
      <c r="AT53" s="103"/>
      <c r="AU53" s="103"/>
      <c r="AV53" s="103"/>
      <c r="AW53" s="103"/>
      <c r="AX53" s="103"/>
      <c r="AY53" s="103"/>
      <c r="AZ53" s="103"/>
    </row>
    <row r="54" ht="24.0" customHeight="1">
      <c r="A54" s="88"/>
      <c r="B54" s="106" t="s">
        <v>113</v>
      </c>
      <c r="C54" s="130">
        <v>0.0</v>
      </c>
      <c r="D54" s="130">
        <v>0.0</v>
      </c>
      <c r="E54" s="130">
        <v>0.0</v>
      </c>
      <c r="F54" s="130">
        <v>0.0</v>
      </c>
      <c r="G54" s="130">
        <v>0.0</v>
      </c>
      <c r="H54" s="130">
        <v>0.0</v>
      </c>
      <c r="I54" s="130">
        <v>0.0</v>
      </c>
      <c r="J54" s="130">
        <v>0.0</v>
      </c>
      <c r="K54" s="130">
        <v>0.0</v>
      </c>
      <c r="L54" s="130">
        <v>0.0</v>
      </c>
      <c r="M54" s="130">
        <v>0.0</v>
      </c>
      <c r="N54" s="130">
        <v>0.0</v>
      </c>
      <c r="O54" s="130">
        <v>0.0</v>
      </c>
      <c r="P54" s="130">
        <v>0.0</v>
      </c>
      <c r="Q54" s="130">
        <v>0.0</v>
      </c>
      <c r="R54" s="130">
        <v>0.0</v>
      </c>
      <c r="S54" s="130">
        <v>0.0</v>
      </c>
      <c r="T54" s="130">
        <v>0.0</v>
      </c>
      <c r="U54" s="130">
        <v>0.0</v>
      </c>
      <c r="V54" s="130">
        <v>0.0</v>
      </c>
      <c r="W54" s="130">
        <v>0.0</v>
      </c>
      <c r="X54" s="130">
        <v>0.0</v>
      </c>
      <c r="Y54" s="130">
        <v>0.0</v>
      </c>
      <c r="Z54" s="130">
        <v>0.0</v>
      </c>
      <c r="AA54" s="130">
        <v>0.0</v>
      </c>
      <c r="AB54" s="130">
        <v>0.0</v>
      </c>
      <c r="AC54" s="130">
        <v>0.0</v>
      </c>
      <c r="AD54" s="130">
        <v>0.0</v>
      </c>
      <c r="AE54" s="130">
        <v>0.0</v>
      </c>
      <c r="AF54" s="130">
        <v>0.0</v>
      </c>
      <c r="AG54" s="130">
        <v>0.0</v>
      </c>
      <c r="AH54" s="130">
        <v>0.0</v>
      </c>
      <c r="AI54" s="107">
        <f t="shared" si="34"/>
        <v>0</v>
      </c>
      <c r="AJ54" s="101">
        <f>AJ53-AI54</f>
        <v>0</v>
      </c>
      <c r="AK54" s="134"/>
      <c r="AL54" s="200"/>
      <c r="AM54" s="205"/>
      <c r="AN54" s="160"/>
      <c r="AO54" s="206"/>
      <c r="AP54" s="207"/>
      <c r="AQ54" s="103"/>
      <c r="AR54" s="103"/>
      <c r="AS54" s="103"/>
      <c r="AT54" s="103"/>
      <c r="AU54" s="103"/>
      <c r="AV54" s="103"/>
      <c r="AW54" s="103"/>
      <c r="AX54" s="103"/>
      <c r="AY54" s="103"/>
      <c r="AZ54" s="103"/>
    </row>
    <row r="55" ht="24.0" customHeight="1">
      <c r="A55" s="88"/>
      <c r="B55" s="109" t="s">
        <v>115</v>
      </c>
      <c r="C55" s="110" t="str">
        <f t="shared" ref="C55:AI55" si="35">IFERROR(IF(C54=0,(-C52/C50)-1,C56),"")</f>
        <v/>
      </c>
      <c r="D55" s="110" t="str">
        <f t="shared" si="35"/>
        <v/>
      </c>
      <c r="E55" s="110" t="str">
        <f t="shared" si="35"/>
        <v/>
      </c>
      <c r="F55" s="110" t="str">
        <f t="shared" si="35"/>
        <v/>
      </c>
      <c r="G55" s="110" t="str">
        <f t="shared" si="35"/>
        <v/>
      </c>
      <c r="H55" s="110" t="str">
        <f t="shared" si="35"/>
        <v/>
      </c>
      <c r="I55" s="110" t="str">
        <f t="shared" si="35"/>
        <v/>
      </c>
      <c r="J55" s="110" t="str">
        <f t="shared" si="35"/>
        <v/>
      </c>
      <c r="K55" s="110" t="str">
        <f t="shared" si="35"/>
        <v/>
      </c>
      <c r="L55" s="110" t="str">
        <f t="shared" si="35"/>
        <v/>
      </c>
      <c r="M55" s="110" t="str">
        <f t="shared" si="35"/>
        <v/>
      </c>
      <c r="N55" s="110" t="str">
        <f t="shared" si="35"/>
        <v/>
      </c>
      <c r="O55" s="110" t="str">
        <f t="shared" si="35"/>
        <v/>
      </c>
      <c r="P55" s="110" t="str">
        <f t="shared" si="35"/>
        <v/>
      </c>
      <c r="Q55" s="110" t="str">
        <f t="shared" si="35"/>
        <v/>
      </c>
      <c r="R55" s="110" t="str">
        <f t="shared" si="35"/>
        <v/>
      </c>
      <c r="S55" s="110" t="str">
        <f t="shared" si="35"/>
        <v/>
      </c>
      <c r="T55" s="110" t="str">
        <f t="shared" si="35"/>
        <v/>
      </c>
      <c r="U55" s="110" t="str">
        <f t="shared" si="35"/>
        <v/>
      </c>
      <c r="V55" s="110" t="str">
        <f t="shared" si="35"/>
        <v/>
      </c>
      <c r="W55" s="110" t="str">
        <f t="shared" si="35"/>
        <v/>
      </c>
      <c r="X55" s="110" t="str">
        <f t="shared" si="35"/>
        <v/>
      </c>
      <c r="Y55" s="110" t="str">
        <f t="shared" si="35"/>
        <v/>
      </c>
      <c r="Z55" s="110" t="str">
        <f t="shared" si="35"/>
        <v/>
      </c>
      <c r="AA55" s="110" t="str">
        <f t="shared" si="35"/>
        <v/>
      </c>
      <c r="AB55" s="110" t="str">
        <f t="shared" si="35"/>
        <v/>
      </c>
      <c r="AC55" s="110" t="str">
        <f t="shared" si="35"/>
        <v/>
      </c>
      <c r="AD55" s="110" t="str">
        <f t="shared" si="35"/>
        <v/>
      </c>
      <c r="AE55" s="110" t="str">
        <f t="shared" si="35"/>
        <v/>
      </c>
      <c r="AF55" s="110" t="str">
        <f t="shared" si="35"/>
        <v/>
      </c>
      <c r="AG55" s="110" t="str">
        <f t="shared" si="35"/>
        <v/>
      </c>
      <c r="AH55" s="110" t="str">
        <f t="shared" si="35"/>
        <v/>
      </c>
      <c r="AI55" s="112" t="str">
        <f t="shared" si="35"/>
        <v/>
      </c>
      <c r="AJ55" s="101">
        <f>AI54*AI55</f>
        <v>0</v>
      </c>
      <c r="AK55" s="134"/>
      <c r="AL55" s="200"/>
      <c r="AM55" s="205"/>
      <c r="AN55" s="160"/>
      <c r="AO55" s="103"/>
      <c r="AP55" s="103"/>
      <c r="AQ55" s="103"/>
      <c r="AR55" s="103"/>
      <c r="AS55" s="103"/>
      <c r="AT55" s="103"/>
      <c r="AU55" s="103"/>
      <c r="AV55" s="103"/>
      <c r="AW55" s="103"/>
      <c r="AX55" s="103"/>
      <c r="AY55" s="103"/>
      <c r="AZ55" s="103"/>
    </row>
    <row r="56" ht="24.0" hidden="1" customHeight="1">
      <c r="A56" s="88"/>
      <c r="B56" s="113" t="s">
        <v>116</v>
      </c>
      <c r="C56" s="138" t="str">
        <f t="shared" ref="C56:AI56" si="36">IFERROR(IF(AND(C50&lt;&gt;0,C54=""),"",(C54/(C50+C51+C52+C53))-1),"")</f>
        <v/>
      </c>
      <c r="D56" s="138" t="str">
        <f t="shared" si="36"/>
        <v/>
      </c>
      <c r="E56" s="138" t="str">
        <f t="shared" si="36"/>
        <v/>
      </c>
      <c r="F56" s="138" t="str">
        <f t="shared" si="36"/>
        <v/>
      </c>
      <c r="G56" s="138" t="str">
        <f t="shared" si="36"/>
        <v/>
      </c>
      <c r="H56" s="138" t="str">
        <f t="shared" si="36"/>
        <v/>
      </c>
      <c r="I56" s="138" t="str">
        <f t="shared" si="36"/>
        <v/>
      </c>
      <c r="J56" s="138" t="str">
        <f t="shared" si="36"/>
        <v/>
      </c>
      <c r="K56" s="138" t="str">
        <f t="shared" si="36"/>
        <v/>
      </c>
      <c r="L56" s="138" t="str">
        <f t="shared" si="36"/>
        <v/>
      </c>
      <c r="M56" s="138" t="str">
        <f t="shared" si="36"/>
        <v/>
      </c>
      <c r="N56" s="138" t="str">
        <f t="shared" si="36"/>
        <v/>
      </c>
      <c r="O56" s="138" t="str">
        <f t="shared" si="36"/>
        <v/>
      </c>
      <c r="P56" s="138" t="str">
        <f t="shared" si="36"/>
        <v/>
      </c>
      <c r="Q56" s="138" t="str">
        <f t="shared" si="36"/>
        <v/>
      </c>
      <c r="R56" s="138" t="str">
        <f t="shared" si="36"/>
        <v/>
      </c>
      <c r="S56" s="138" t="str">
        <f t="shared" si="36"/>
        <v/>
      </c>
      <c r="T56" s="138" t="str">
        <f t="shared" si="36"/>
        <v/>
      </c>
      <c r="U56" s="138" t="str">
        <f t="shared" si="36"/>
        <v/>
      </c>
      <c r="V56" s="138" t="str">
        <f t="shared" si="36"/>
        <v/>
      </c>
      <c r="W56" s="138" t="str">
        <f t="shared" si="36"/>
        <v/>
      </c>
      <c r="X56" s="138" t="str">
        <f t="shared" si="36"/>
        <v/>
      </c>
      <c r="Y56" s="138" t="str">
        <f t="shared" si="36"/>
        <v/>
      </c>
      <c r="Z56" s="138" t="str">
        <f t="shared" si="36"/>
        <v/>
      </c>
      <c r="AA56" s="138" t="str">
        <f t="shared" si="36"/>
        <v/>
      </c>
      <c r="AB56" s="138" t="str">
        <f t="shared" si="36"/>
        <v/>
      </c>
      <c r="AC56" s="138" t="str">
        <f t="shared" si="36"/>
        <v/>
      </c>
      <c r="AD56" s="138" t="str">
        <f t="shared" si="36"/>
        <v/>
      </c>
      <c r="AE56" s="138" t="str">
        <f t="shared" si="36"/>
        <v/>
      </c>
      <c r="AF56" s="138" t="str">
        <f t="shared" si="36"/>
        <v/>
      </c>
      <c r="AG56" s="138" t="str">
        <f t="shared" si="36"/>
        <v/>
      </c>
      <c r="AH56" s="138" t="str">
        <f t="shared" si="36"/>
        <v/>
      </c>
      <c r="AI56" s="139" t="str">
        <f t="shared" si="36"/>
        <v/>
      </c>
      <c r="AJ56" s="101"/>
      <c r="AK56" s="134"/>
      <c r="AL56" s="208"/>
      <c r="AM56" s="209"/>
      <c r="AN56" s="185"/>
      <c r="AO56" s="103"/>
      <c r="AP56" s="103"/>
      <c r="AQ56" s="103"/>
      <c r="AR56" s="103"/>
      <c r="AS56" s="103"/>
      <c r="AT56" s="103"/>
      <c r="AU56" s="103"/>
      <c r="AV56" s="103"/>
      <c r="AW56" s="103"/>
      <c r="AX56" s="103"/>
      <c r="AY56" s="103"/>
      <c r="AZ56" s="103"/>
    </row>
    <row r="57" ht="24.0" customHeight="1">
      <c r="A57" s="115"/>
      <c r="B57" s="116" t="s">
        <v>117</v>
      </c>
      <c r="C57" s="117" t="str">
        <f t="shared" ref="C57:AI57" si="37">IFERROR(C54/$AI$54,"")</f>
        <v/>
      </c>
      <c r="D57" s="117" t="str">
        <f t="shared" si="37"/>
        <v/>
      </c>
      <c r="E57" s="117" t="str">
        <f t="shared" si="37"/>
        <v/>
      </c>
      <c r="F57" s="117" t="str">
        <f t="shared" si="37"/>
        <v/>
      </c>
      <c r="G57" s="117" t="str">
        <f t="shared" si="37"/>
        <v/>
      </c>
      <c r="H57" s="117" t="str">
        <f t="shared" si="37"/>
        <v/>
      </c>
      <c r="I57" s="117" t="str">
        <f t="shared" si="37"/>
        <v/>
      </c>
      <c r="J57" s="117" t="str">
        <f t="shared" si="37"/>
        <v/>
      </c>
      <c r="K57" s="117" t="str">
        <f t="shared" si="37"/>
        <v/>
      </c>
      <c r="L57" s="117" t="str">
        <f t="shared" si="37"/>
        <v/>
      </c>
      <c r="M57" s="117" t="str">
        <f t="shared" si="37"/>
        <v/>
      </c>
      <c r="N57" s="117" t="str">
        <f t="shared" si="37"/>
        <v/>
      </c>
      <c r="O57" s="117" t="str">
        <f t="shared" si="37"/>
        <v/>
      </c>
      <c r="P57" s="117" t="str">
        <f t="shared" si="37"/>
        <v/>
      </c>
      <c r="Q57" s="117" t="str">
        <f t="shared" si="37"/>
        <v/>
      </c>
      <c r="R57" s="117" t="str">
        <f t="shared" si="37"/>
        <v/>
      </c>
      <c r="S57" s="117" t="str">
        <f t="shared" si="37"/>
        <v/>
      </c>
      <c r="T57" s="117" t="str">
        <f t="shared" si="37"/>
        <v/>
      </c>
      <c r="U57" s="117" t="str">
        <f t="shared" si="37"/>
        <v/>
      </c>
      <c r="V57" s="117" t="str">
        <f t="shared" si="37"/>
        <v/>
      </c>
      <c r="W57" s="117" t="str">
        <f t="shared" si="37"/>
        <v/>
      </c>
      <c r="X57" s="117" t="str">
        <f t="shared" si="37"/>
        <v/>
      </c>
      <c r="Y57" s="117" t="str">
        <f t="shared" si="37"/>
        <v/>
      </c>
      <c r="Z57" s="117" t="str">
        <f t="shared" si="37"/>
        <v/>
      </c>
      <c r="AA57" s="117" t="str">
        <f t="shared" si="37"/>
        <v/>
      </c>
      <c r="AB57" s="117" t="str">
        <f t="shared" si="37"/>
        <v/>
      </c>
      <c r="AC57" s="117" t="str">
        <f t="shared" si="37"/>
        <v/>
      </c>
      <c r="AD57" s="117" t="str">
        <f t="shared" si="37"/>
        <v/>
      </c>
      <c r="AE57" s="117" t="str">
        <f t="shared" si="37"/>
        <v/>
      </c>
      <c r="AF57" s="117" t="str">
        <f t="shared" si="37"/>
        <v/>
      </c>
      <c r="AG57" s="117" t="str">
        <f t="shared" si="37"/>
        <v/>
      </c>
      <c r="AH57" s="117" t="str">
        <f t="shared" si="37"/>
        <v/>
      </c>
      <c r="AI57" s="118" t="str">
        <f t="shared" si="37"/>
        <v/>
      </c>
      <c r="AJ57" s="119">
        <f>AI54-AI50</f>
        <v>0</v>
      </c>
      <c r="AK57" s="210" t="str">
        <f>AI54/AI50-1</f>
        <v>#DIV/0!</v>
      </c>
      <c r="AL57" s="200"/>
      <c r="AM57" s="201"/>
      <c r="AN57" s="174"/>
      <c r="AO57" s="103"/>
      <c r="AP57" s="103"/>
      <c r="AQ57" s="103"/>
      <c r="AR57" s="103"/>
      <c r="AS57" s="103"/>
      <c r="AT57" s="103"/>
      <c r="AU57" s="103"/>
      <c r="AV57" s="103"/>
      <c r="AW57" s="103"/>
      <c r="AX57" s="103"/>
      <c r="AY57" s="103"/>
      <c r="AZ57" s="103"/>
    </row>
    <row r="58" ht="24.0" customHeight="1">
      <c r="A58" s="121">
        <v>45870.0</v>
      </c>
      <c r="B58" s="122" t="s">
        <v>118</v>
      </c>
      <c r="C58" s="123">
        <f t="shared" ref="C58:AH58" si="38">IF(C62="","",C54)</f>
        <v>0</v>
      </c>
      <c r="D58" s="123">
        <f t="shared" si="38"/>
        <v>0</v>
      </c>
      <c r="E58" s="123">
        <f t="shared" si="38"/>
        <v>0</v>
      </c>
      <c r="F58" s="123">
        <f t="shared" si="38"/>
        <v>0</v>
      </c>
      <c r="G58" s="123">
        <f t="shared" si="38"/>
        <v>0</v>
      </c>
      <c r="H58" s="123">
        <f t="shared" si="38"/>
        <v>0</v>
      </c>
      <c r="I58" s="123">
        <f t="shared" si="38"/>
        <v>0</v>
      </c>
      <c r="J58" s="123">
        <f t="shared" si="38"/>
        <v>0</v>
      </c>
      <c r="K58" s="123">
        <f t="shared" si="38"/>
        <v>0</v>
      </c>
      <c r="L58" s="123">
        <f t="shared" si="38"/>
        <v>0</v>
      </c>
      <c r="M58" s="123">
        <f t="shared" si="38"/>
        <v>0</v>
      </c>
      <c r="N58" s="123">
        <f t="shared" si="38"/>
        <v>0</v>
      </c>
      <c r="O58" s="123">
        <f t="shared" si="38"/>
        <v>0</v>
      </c>
      <c r="P58" s="123">
        <f t="shared" si="38"/>
        <v>0</v>
      </c>
      <c r="Q58" s="123">
        <f t="shared" si="38"/>
        <v>0</v>
      </c>
      <c r="R58" s="123">
        <f t="shared" si="38"/>
        <v>0</v>
      </c>
      <c r="S58" s="123">
        <f t="shared" si="38"/>
        <v>0</v>
      </c>
      <c r="T58" s="123">
        <f t="shared" si="38"/>
        <v>0</v>
      </c>
      <c r="U58" s="123">
        <f t="shared" si="38"/>
        <v>0</v>
      </c>
      <c r="V58" s="123">
        <f t="shared" si="38"/>
        <v>0</v>
      </c>
      <c r="W58" s="123">
        <f t="shared" si="38"/>
        <v>0</v>
      </c>
      <c r="X58" s="123">
        <f t="shared" si="38"/>
        <v>0</v>
      </c>
      <c r="Y58" s="123">
        <f t="shared" si="38"/>
        <v>0</v>
      </c>
      <c r="Z58" s="123">
        <f t="shared" si="38"/>
        <v>0</v>
      </c>
      <c r="AA58" s="123">
        <f t="shared" si="38"/>
        <v>0</v>
      </c>
      <c r="AB58" s="123">
        <f t="shared" si="38"/>
        <v>0</v>
      </c>
      <c r="AC58" s="123">
        <f t="shared" si="38"/>
        <v>0</v>
      </c>
      <c r="AD58" s="123">
        <f t="shared" si="38"/>
        <v>0</v>
      </c>
      <c r="AE58" s="123">
        <f t="shared" si="38"/>
        <v>0</v>
      </c>
      <c r="AF58" s="123">
        <f t="shared" si="38"/>
        <v>0</v>
      </c>
      <c r="AG58" s="123">
        <f t="shared" si="38"/>
        <v>0</v>
      </c>
      <c r="AH58" s="123">
        <f t="shared" si="38"/>
        <v>0</v>
      </c>
      <c r="AI58" s="141">
        <f t="shared" ref="AI58:AI62" si="39">SUM(C58:AH58)</f>
        <v>0</v>
      </c>
      <c r="AJ58" s="142"/>
      <c r="AK58" s="143"/>
      <c r="AL58" s="211"/>
      <c r="AM58" s="205"/>
      <c r="AN58" s="167"/>
      <c r="AO58" s="128"/>
      <c r="AP58" s="128"/>
      <c r="AQ58" s="128"/>
      <c r="AR58" s="128"/>
      <c r="AS58" s="128"/>
      <c r="AT58" s="128"/>
      <c r="AU58" s="128"/>
      <c r="AV58" s="128"/>
      <c r="AW58" s="128"/>
      <c r="AX58" s="128"/>
      <c r="AY58" s="128"/>
      <c r="AZ58" s="129"/>
    </row>
    <row r="59" ht="24.0" customHeight="1">
      <c r="A59" s="88"/>
      <c r="B59" s="89" t="s">
        <v>110</v>
      </c>
      <c r="C59" s="130">
        <v>0.0</v>
      </c>
      <c r="D59" s="130">
        <v>0.0</v>
      </c>
      <c r="E59" s="130">
        <v>0.0</v>
      </c>
      <c r="F59" s="130">
        <v>0.0</v>
      </c>
      <c r="G59" s="130">
        <v>0.0</v>
      </c>
      <c r="H59" s="130">
        <v>0.0</v>
      </c>
      <c r="I59" s="130">
        <v>0.0</v>
      </c>
      <c r="J59" s="130">
        <v>0.0</v>
      </c>
      <c r="K59" s="130">
        <v>0.0</v>
      </c>
      <c r="L59" s="130">
        <v>0.0</v>
      </c>
      <c r="M59" s="130">
        <v>0.0</v>
      </c>
      <c r="N59" s="130">
        <v>0.0</v>
      </c>
      <c r="O59" s="130">
        <v>0.0</v>
      </c>
      <c r="P59" s="130">
        <v>0.0</v>
      </c>
      <c r="Q59" s="130">
        <v>0.0</v>
      </c>
      <c r="R59" s="130">
        <v>0.0</v>
      </c>
      <c r="S59" s="130">
        <v>0.0</v>
      </c>
      <c r="T59" s="130">
        <v>0.0</v>
      </c>
      <c r="U59" s="130">
        <v>0.0</v>
      </c>
      <c r="V59" s="130">
        <v>0.0</v>
      </c>
      <c r="W59" s="130">
        <v>0.0</v>
      </c>
      <c r="X59" s="130">
        <v>0.0</v>
      </c>
      <c r="Y59" s="130">
        <v>0.0</v>
      </c>
      <c r="Z59" s="130">
        <v>0.0</v>
      </c>
      <c r="AA59" s="130">
        <v>0.0</v>
      </c>
      <c r="AB59" s="130">
        <v>0.0</v>
      </c>
      <c r="AC59" s="130">
        <v>0.0</v>
      </c>
      <c r="AD59" s="130">
        <v>0.0</v>
      </c>
      <c r="AE59" s="130">
        <v>0.0</v>
      </c>
      <c r="AF59" s="130">
        <v>0.0</v>
      </c>
      <c r="AG59" s="130">
        <v>0.0</v>
      </c>
      <c r="AH59" s="130">
        <v>0.0</v>
      </c>
      <c r="AI59" s="107">
        <f t="shared" si="39"/>
        <v>0</v>
      </c>
      <c r="AJ59" s="101"/>
      <c r="AK59" s="102"/>
      <c r="AL59" s="212"/>
      <c r="AM59" s="213"/>
      <c r="AN59" s="3"/>
      <c r="AO59" s="3" t="s">
        <v>122</v>
      </c>
      <c r="AP59" s="103"/>
      <c r="AQ59" s="103"/>
      <c r="AR59" s="103"/>
      <c r="AS59" s="103"/>
      <c r="AT59" s="103"/>
      <c r="AU59" s="103"/>
      <c r="AV59" s="103"/>
      <c r="AW59" s="103"/>
      <c r="AX59" s="103"/>
      <c r="AY59" s="103"/>
      <c r="AZ59" s="103"/>
    </row>
    <row r="60" ht="24.0" customHeight="1">
      <c r="A60" s="88"/>
      <c r="B60" s="98" t="s">
        <v>111</v>
      </c>
      <c r="C60" s="130">
        <v>0.0</v>
      </c>
      <c r="D60" s="130">
        <v>0.0</v>
      </c>
      <c r="E60" s="130">
        <v>0.0</v>
      </c>
      <c r="F60" s="130">
        <v>0.0</v>
      </c>
      <c r="G60" s="130">
        <v>0.0</v>
      </c>
      <c r="H60" s="130">
        <v>0.0</v>
      </c>
      <c r="I60" s="130">
        <v>0.0</v>
      </c>
      <c r="J60" s="130">
        <v>0.0</v>
      </c>
      <c r="K60" s="130">
        <v>0.0</v>
      </c>
      <c r="L60" s="130">
        <v>0.0</v>
      </c>
      <c r="M60" s="130">
        <v>0.0</v>
      </c>
      <c r="N60" s="130">
        <v>0.0</v>
      </c>
      <c r="O60" s="130">
        <v>0.0</v>
      </c>
      <c r="P60" s="130">
        <v>0.0</v>
      </c>
      <c r="Q60" s="130">
        <v>0.0</v>
      </c>
      <c r="R60" s="130">
        <v>0.0</v>
      </c>
      <c r="S60" s="130">
        <v>0.0</v>
      </c>
      <c r="T60" s="130">
        <v>0.0</v>
      </c>
      <c r="U60" s="130">
        <v>0.0</v>
      </c>
      <c r="V60" s="130">
        <v>0.0</v>
      </c>
      <c r="W60" s="130">
        <v>0.0</v>
      </c>
      <c r="X60" s="130">
        <v>0.0</v>
      </c>
      <c r="Y60" s="130">
        <v>0.0</v>
      </c>
      <c r="Z60" s="130">
        <v>0.0</v>
      </c>
      <c r="AA60" s="130">
        <v>0.0</v>
      </c>
      <c r="AB60" s="130">
        <v>0.0</v>
      </c>
      <c r="AC60" s="130">
        <v>0.0</v>
      </c>
      <c r="AD60" s="130">
        <v>0.0</v>
      </c>
      <c r="AE60" s="130">
        <v>0.0</v>
      </c>
      <c r="AF60" s="130">
        <v>0.0</v>
      </c>
      <c r="AG60" s="130">
        <v>0.0</v>
      </c>
      <c r="AH60" s="130">
        <v>0.0</v>
      </c>
      <c r="AI60" s="107">
        <f t="shared" si="39"/>
        <v>0</v>
      </c>
      <c r="AJ60" s="101"/>
      <c r="AK60" s="102"/>
      <c r="AL60" s="103"/>
      <c r="AM60" s="103"/>
      <c r="AN60" s="103"/>
      <c r="AO60" s="103"/>
      <c r="AP60" s="103"/>
      <c r="AQ60" s="103"/>
      <c r="AR60" s="103"/>
      <c r="AS60" s="103"/>
      <c r="AT60" s="103"/>
      <c r="AU60" s="103"/>
      <c r="AV60" s="103"/>
      <c r="AW60" s="103"/>
      <c r="AX60" s="103"/>
      <c r="AY60" s="103"/>
      <c r="AZ60" s="103"/>
    </row>
    <row r="61" ht="24.0" customHeight="1">
      <c r="A61" s="88"/>
      <c r="B61" s="100" t="s">
        <v>112</v>
      </c>
      <c r="C61" s="130">
        <v>0.0</v>
      </c>
      <c r="D61" s="130">
        <v>0.0</v>
      </c>
      <c r="E61" s="130">
        <v>0.0</v>
      </c>
      <c r="F61" s="130">
        <v>0.0</v>
      </c>
      <c r="G61" s="130">
        <v>0.0</v>
      </c>
      <c r="H61" s="130">
        <v>0.0</v>
      </c>
      <c r="I61" s="130">
        <v>0.0</v>
      </c>
      <c r="J61" s="130">
        <v>0.0</v>
      </c>
      <c r="K61" s="130">
        <v>0.0</v>
      </c>
      <c r="L61" s="130">
        <v>0.0</v>
      </c>
      <c r="M61" s="130">
        <v>0.0</v>
      </c>
      <c r="N61" s="130">
        <v>0.0</v>
      </c>
      <c r="O61" s="130">
        <v>0.0</v>
      </c>
      <c r="P61" s="130">
        <v>0.0</v>
      </c>
      <c r="Q61" s="130">
        <v>0.0</v>
      </c>
      <c r="R61" s="130">
        <v>0.0</v>
      </c>
      <c r="S61" s="130">
        <v>0.0</v>
      </c>
      <c r="T61" s="130">
        <v>0.0</v>
      </c>
      <c r="U61" s="130">
        <v>0.0</v>
      </c>
      <c r="V61" s="130">
        <v>0.0</v>
      </c>
      <c r="W61" s="130">
        <v>0.0</v>
      </c>
      <c r="X61" s="130">
        <v>0.0</v>
      </c>
      <c r="Y61" s="130">
        <v>0.0</v>
      </c>
      <c r="Z61" s="130">
        <v>0.0</v>
      </c>
      <c r="AA61" s="130">
        <v>0.0</v>
      </c>
      <c r="AB61" s="130">
        <v>0.0</v>
      </c>
      <c r="AC61" s="130">
        <v>0.0</v>
      </c>
      <c r="AD61" s="130">
        <v>0.0</v>
      </c>
      <c r="AE61" s="130">
        <v>0.0</v>
      </c>
      <c r="AF61" s="130">
        <v>0.0</v>
      </c>
      <c r="AG61" s="130">
        <v>0.0</v>
      </c>
      <c r="AH61" s="130">
        <v>0.0</v>
      </c>
      <c r="AI61" s="107">
        <f t="shared" si="39"/>
        <v>0</v>
      </c>
      <c r="AJ61" s="101">
        <f>SUM(AI58:AI61)</f>
        <v>0</v>
      </c>
      <c r="AK61" s="102"/>
      <c r="AL61" s="103"/>
      <c r="AM61" s="103"/>
      <c r="AN61" s="103"/>
      <c r="AO61" s="103"/>
      <c r="AP61" s="103"/>
      <c r="AQ61" s="103"/>
      <c r="AR61" s="103"/>
      <c r="AS61" s="103"/>
      <c r="AT61" s="103"/>
      <c r="AU61" s="103"/>
      <c r="AV61" s="103"/>
      <c r="AW61" s="103"/>
      <c r="AX61" s="103"/>
      <c r="AY61" s="103"/>
      <c r="AZ61" s="103"/>
    </row>
    <row r="62" ht="24.0" customHeight="1">
      <c r="A62" s="88"/>
      <c r="B62" s="106" t="s">
        <v>113</v>
      </c>
      <c r="C62" s="130">
        <v>0.0</v>
      </c>
      <c r="D62" s="130">
        <v>0.0</v>
      </c>
      <c r="E62" s="130">
        <v>0.0</v>
      </c>
      <c r="F62" s="130">
        <v>0.0</v>
      </c>
      <c r="G62" s="130">
        <v>0.0</v>
      </c>
      <c r="H62" s="130">
        <v>0.0</v>
      </c>
      <c r="I62" s="130">
        <v>0.0</v>
      </c>
      <c r="J62" s="130">
        <v>0.0</v>
      </c>
      <c r="K62" s="130">
        <v>0.0</v>
      </c>
      <c r="L62" s="130">
        <v>0.0</v>
      </c>
      <c r="M62" s="130">
        <v>0.0</v>
      </c>
      <c r="N62" s="130">
        <v>0.0</v>
      </c>
      <c r="O62" s="130">
        <v>0.0</v>
      </c>
      <c r="P62" s="130">
        <v>0.0</v>
      </c>
      <c r="Q62" s="130">
        <v>0.0</v>
      </c>
      <c r="R62" s="130">
        <v>0.0</v>
      </c>
      <c r="S62" s="130">
        <v>0.0</v>
      </c>
      <c r="T62" s="130">
        <v>0.0</v>
      </c>
      <c r="U62" s="130">
        <v>0.0</v>
      </c>
      <c r="V62" s="130">
        <v>0.0</v>
      </c>
      <c r="W62" s="130">
        <v>0.0</v>
      </c>
      <c r="X62" s="130">
        <v>0.0</v>
      </c>
      <c r="Y62" s="130">
        <v>0.0</v>
      </c>
      <c r="Z62" s="130">
        <v>0.0</v>
      </c>
      <c r="AA62" s="130">
        <v>0.0</v>
      </c>
      <c r="AB62" s="130">
        <v>0.0</v>
      </c>
      <c r="AC62" s="130">
        <v>0.0</v>
      </c>
      <c r="AD62" s="130">
        <v>0.0</v>
      </c>
      <c r="AE62" s="130">
        <v>0.0</v>
      </c>
      <c r="AF62" s="130">
        <v>0.0</v>
      </c>
      <c r="AG62" s="130">
        <v>0.0</v>
      </c>
      <c r="AH62" s="130">
        <v>0.0</v>
      </c>
      <c r="AI62" s="107">
        <f t="shared" si="39"/>
        <v>0</v>
      </c>
      <c r="AJ62" s="101">
        <f>AJ61-AI62</f>
        <v>0</v>
      </c>
      <c r="AK62" s="102"/>
      <c r="AL62" s="129"/>
      <c r="AM62" s="103"/>
      <c r="AN62" s="103"/>
      <c r="AO62" s="103"/>
      <c r="AP62" s="103"/>
      <c r="AQ62" s="103"/>
      <c r="AR62" s="103"/>
      <c r="AS62" s="103"/>
      <c r="AT62" s="103"/>
      <c r="AU62" s="103"/>
      <c r="AV62" s="103"/>
      <c r="AW62" s="103"/>
      <c r="AX62" s="103"/>
      <c r="AY62" s="103"/>
      <c r="AZ62" s="103"/>
    </row>
    <row r="63" ht="24.0" customHeight="1">
      <c r="A63" s="88"/>
      <c r="B63" s="109" t="s">
        <v>115</v>
      </c>
      <c r="C63" s="110" t="str">
        <f t="shared" ref="C63:AI63" si="40">IFERROR(IF(C62=0,(-C60/C58)-1,C64),"")</f>
        <v/>
      </c>
      <c r="D63" s="110" t="str">
        <f t="shared" si="40"/>
        <v/>
      </c>
      <c r="E63" s="110" t="str">
        <f t="shared" si="40"/>
        <v/>
      </c>
      <c r="F63" s="110" t="str">
        <f t="shared" si="40"/>
        <v/>
      </c>
      <c r="G63" s="110" t="str">
        <f t="shared" si="40"/>
        <v/>
      </c>
      <c r="H63" s="110" t="str">
        <f t="shared" si="40"/>
        <v/>
      </c>
      <c r="I63" s="110" t="str">
        <f t="shared" si="40"/>
        <v/>
      </c>
      <c r="J63" s="110" t="str">
        <f t="shared" si="40"/>
        <v/>
      </c>
      <c r="K63" s="110" t="str">
        <f t="shared" si="40"/>
        <v/>
      </c>
      <c r="L63" s="110" t="str">
        <f t="shared" si="40"/>
        <v/>
      </c>
      <c r="M63" s="110" t="str">
        <f t="shared" si="40"/>
        <v/>
      </c>
      <c r="N63" s="110" t="str">
        <f t="shared" si="40"/>
        <v/>
      </c>
      <c r="O63" s="110" t="str">
        <f t="shared" si="40"/>
        <v/>
      </c>
      <c r="P63" s="110" t="str">
        <f t="shared" si="40"/>
        <v/>
      </c>
      <c r="Q63" s="110" t="str">
        <f t="shared" si="40"/>
        <v/>
      </c>
      <c r="R63" s="110" t="str">
        <f t="shared" si="40"/>
        <v/>
      </c>
      <c r="S63" s="110" t="str">
        <f t="shared" si="40"/>
        <v/>
      </c>
      <c r="T63" s="110" t="str">
        <f t="shared" si="40"/>
        <v/>
      </c>
      <c r="U63" s="110" t="str">
        <f t="shared" si="40"/>
        <v/>
      </c>
      <c r="V63" s="110" t="str">
        <f t="shared" si="40"/>
        <v/>
      </c>
      <c r="W63" s="110" t="str">
        <f t="shared" si="40"/>
        <v/>
      </c>
      <c r="X63" s="110" t="str">
        <f t="shared" si="40"/>
        <v/>
      </c>
      <c r="Y63" s="110" t="str">
        <f t="shared" si="40"/>
        <v/>
      </c>
      <c r="Z63" s="110" t="str">
        <f t="shared" si="40"/>
        <v/>
      </c>
      <c r="AA63" s="110" t="str">
        <f t="shared" si="40"/>
        <v/>
      </c>
      <c r="AB63" s="110" t="str">
        <f t="shared" si="40"/>
        <v/>
      </c>
      <c r="AC63" s="110" t="str">
        <f t="shared" si="40"/>
        <v/>
      </c>
      <c r="AD63" s="110" t="str">
        <f t="shared" si="40"/>
        <v/>
      </c>
      <c r="AE63" s="110" t="str">
        <f t="shared" si="40"/>
        <v/>
      </c>
      <c r="AF63" s="110" t="str">
        <f t="shared" si="40"/>
        <v/>
      </c>
      <c r="AG63" s="110" t="str">
        <f t="shared" si="40"/>
        <v/>
      </c>
      <c r="AH63" s="110" t="str">
        <f t="shared" si="40"/>
        <v/>
      </c>
      <c r="AI63" s="112" t="str">
        <f t="shared" si="40"/>
        <v/>
      </c>
      <c r="AJ63" s="101">
        <f>AI62*AI63</f>
        <v>0</v>
      </c>
      <c r="AK63" s="102"/>
      <c r="AL63" s="214"/>
      <c r="AM63" s="215" t="s">
        <v>123</v>
      </c>
      <c r="AN63" s="170"/>
      <c r="AO63" s="103"/>
      <c r="AP63" s="103"/>
      <c r="AQ63" s="103"/>
      <c r="AR63" s="103"/>
      <c r="AS63" s="103"/>
      <c r="AT63" s="103"/>
      <c r="AU63" s="103"/>
      <c r="AV63" s="103"/>
      <c r="AW63" s="103"/>
      <c r="AX63" s="103"/>
      <c r="AY63" s="103"/>
      <c r="AZ63" s="103"/>
    </row>
    <row r="64" ht="24.0" hidden="1" customHeight="1">
      <c r="A64" s="88"/>
      <c r="B64" s="113" t="s">
        <v>116</v>
      </c>
      <c r="C64" s="138" t="str">
        <f t="shared" ref="C64:AI64" si="41">IFERROR(IF(AND(C58&lt;&gt;0,C62=""),"",(C62/(C58+C59+C60+C61))-1),"")</f>
        <v/>
      </c>
      <c r="D64" s="138" t="str">
        <f t="shared" si="41"/>
        <v/>
      </c>
      <c r="E64" s="138" t="str">
        <f t="shared" si="41"/>
        <v/>
      </c>
      <c r="F64" s="138" t="str">
        <f t="shared" si="41"/>
        <v/>
      </c>
      <c r="G64" s="138" t="str">
        <f t="shared" si="41"/>
        <v/>
      </c>
      <c r="H64" s="138" t="str">
        <f t="shared" si="41"/>
        <v/>
      </c>
      <c r="I64" s="138" t="str">
        <f t="shared" si="41"/>
        <v/>
      </c>
      <c r="J64" s="138" t="str">
        <f t="shared" si="41"/>
        <v/>
      </c>
      <c r="K64" s="138" t="str">
        <f t="shared" si="41"/>
        <v/>
      </c>
      <c r="L64" s="138" t="str">
        <f t="shared" si="41"/>
        <v/>
      </c>
      <c r="M64" s="138" t="str">
        <f t="shared" si="41"/>
        <v/>
      </c>
      <c r="N64" s="138" t="str">
        <f t="shared" si="41"/>
        <v/>
      </c>
      <c r="O64" s="138" t="str">
        <f t="shared" si="41"/>
        <v/>
      </c>
      <c r="P64" s="138" t="str">
        <f t="shared" si="41"/>
        <v/>
      </c>
      <c r="Q64" s="138" t="str">
        <f t="shared" si="41"/>
        <v/>
      </c>
      <c r="R64" s="138" t="str">
        <f t="shared" si="41"/>
        <v/>
      </c>
      <c r="S64" s="138" t="str">
        <f t="shared" si="41"/>
        <v/>
      </c>
      <c r="T64" s="138" t="str">
        <f t="shared" si="41"/>
        <v/>
      </c>
      <c r="U64" s="138" t="str">
        <f t="shared" si="41"/>
        <v/>
      </c>
      <c r="V64" s="138" t="str">
        <f t="shared" si="41"/>
        <v/>
      </c>
      <c r="W64" s="138" t="str">
        <f t="shared" si="41"/>
        <v/>
      </c>
      <c r="X64" s="138" t="str">
        <f t="shared" si="41"/>
        <v/>
      </c>
      <c r="Y64" s="138" t="str">
        <f t="shared" si="41"/>
        <v/>
      </c>
      <c r="Z64" s="138" t="str">
        <f t="shared" si="41"/>
        <v/>
      </c>
      <c r="AA64" s="138" t="str">
        <f t="shared" si="41"/>
        <v/>
      </c>
      <c r="AB64" s="138" t="str">
        <f t="shared" si="41"/>
        <v/>
      </c>
      <c r="AC64" s="138" t="str">
        <f t="shared" si="41"/>
        <v/>
      </c>
      <c r="AD64" s="138" t="str">
        <f t="shared" si="41"/>
        <v/>
      </c>
      <c r="AE64" s="138" t="str">
        <f t="shared" si="41"/>
        <v/>
      </c>
      <c r="AF64" s="138" t="str">
        <f t="shared" si="41"/>
        <v/>
      </c>
      <c r="AG64" s="138" t="str">
        <f t="shared" si="41"/>
        <v/>
      </c>
      <c r="AH64" s="138" t="str">
        <f t="shared" si="41"/>
        <v/>
      </c>
      <c r="AI64" s="139" t="str">
        <f t="shared" si="41"/>
        <v/>
      </c>
      <c r="AJ64" s="101"/>
      <c r="AK64" s="102"/>
      <c r="AL64" s="214"/>
      <c r="AN64" s="182"/>
      <c r="AO64" s="103"/>
      <c r="AP64" s="103"/>
      <c r="AQ64" s="103"/>
      <c r="AR64" s="103"/>
      <c r="AS64" s="103"/>
      <c r="AT64" s="103"/>
      <c r="AU64" s="103"/>
      <c r="AV64" s="103"/>
      <c r="AW64" s="103"/>
      <c r="AX64" s="103"/>
      <c r="AY64" s="103"/>
      <c r="AZ64" s="103"/>
    </row>
    <row r="65" ht="24.0" customHeight="1">
      <c r="A65" s="115"/>
      <c r="B65" s="116" t="s">
        <v>117</v>
      </c>
      <c r="C65" s="117" t="str">
        <f t="shared" ref="C65:AI65" si="42">IFERROR(C62/$AI$62,"")</f>
        <v/>
      </c>
      <c r="D65" s="117" t="str">
        <f t="shared" si="42"/>
        <v/>
      </c>
      <c r="E65" s="117" t="str">
        <f t="shared" si="42"/>
        <v/>
      </c>
      <c r="F65" s="117" t="str">
        <f t="shared" si="42"/>
        <v/>
      </c>
      <c r="G65" s="117" t="str">
        <f t="shared" si="42"/>
        <v/>
      </c>
      <c r="H65" s="117" t="str">
        <f t="shared" si="42"/>
        <v/>
      </c>
      <c r="I65" s="117" t="str">
        <f t="shared" si="42"/>
        <v/>
      </c>
      <c r="J65" s="117" t="str">
        <f t="shared" si="42"/>
        <v/>
      </c>
      <c r="K65" s="117" t="str">
        <f t="shared" si="42"/>
        <v/>
      </c>
      <c r="L65" s="117" t="str">
        <f t="shared" si="42"/>
        <v/>
      </c>
      <c r="M65" s="117" t="str">
        <f t="shared" si="42"/>
        <v/>
      </c>
      <c r="N65" s="117" t="str">
        <f t="shared" si="42"/>
        <v/>
      </c>
      <c r="O65" s="117" t="str">
        <f t="shared" si="42"/>
        <v/>
      </c>
      <c r="P65" s="117" t="str">
        <f t="shared" si="42"/>
        <v/>
      </c>
      <c r="Q65" s="117" t="str">
        <f t="shared" si="42"/>
        <v/>
      </c>
      <c r="R65" s="117" t="str">
        <f t="shared" si="42"/>
        <v/>
      </c>
      <c r="S65" s="117" t="str">
        <f t="shared" si="42"/>
        <v/>
      </c>
      <c r="T65" s="117" t="str">
        <f t="shared" si="42"/>
        <v/>
      </c>
      <c r="U65" s="117" t="str">
        <f t="shared" si="42"/>
        <v/>
      </c>
      <c r="V65" s="117" t="str">
        <f t="shared" si="42"/>
        <v/>
      </c>
      <c r="W65" s="117" t="str">
        <f t="shared" si="42"/>
        <v/>
      </c>
      <c r="X65" s="117" t="str">
        <f t="shared" si="42"/>
        <v/>
      </c>
      <c r="Y65" s="117" t="str">
        <f t="shared" si="42"/>
        <v/>
      </c>
      <c r="Z65" s="117" t="str">
        <f t="shared" si="42"/>
        <v/>
      </c>
      <c r="AA65" s="117" t="str">
        <f t="shared" si="42"/>
        <v/>
      </c>
      <c r="AB65" s="117" t="str">
        <f t="shared" si="42"/>
        <v/>
      </c>
      <c r="AC65" s="117" t="str">
        <f t="shared" si="42"/>
        <v/>
      </c>
      <c r="AD65" s="117" t="str">
        <f t="shared" si="42"/>
        <v/>
      </c>
      <c r="AE65" s="117" t="str">
        <f t="shared" si="42"/>
        <v/>
      </c>
      <c r="AF65" s="117" t="str">
        <f t="shared" si="42"/>
        <v/>
      </c>
      <c r="AG65" s="117" t="str">
        <f t="shared" si="42"/>
        <v/>
      </c>
      <c r="AH65" s="117" t="str">
        <f t="shared" si="42"/>
        <v/>
      </c>
      <c r="AI65" s="118" t="str">
        <f t="shared" si="42"/>
        <v/>
      </c>
      <c r="AJ65" s="119">
        <f>AI62-AI58</f>
        <v>0</v>
      </c>
      <c r="AK65" s="120" t="str">
        <f>AI62/AI58-1</f>
        <v>#DIV/0!</v>
      </c>
      <c r="AL65" s="214"/>
      <c r="AN65" s="182"/>
      <c r="AO65" s="103"/>
      <c r="AP65" s="103"/>
      <c r="AQ65" s="103"/>
      <c r="AR65" s="103"/>
      <c r="AS65" s="103"/>
      <c r="AT65" s="103"/>
      <c r="AU65" s="103"/>
      <c r="AV65" s="103"/>
      <c r="AW65" s="103"/>
      <c r="AX65" s="103"/>
      <c r="AY65" s="103"/>
      <c r="AZ65" s="103"/>
    </row>
    <row r="66" ht="24.0" customHeight="1">
      <c r="A66" s="121">
        <v>45901.0</v>
      </c>
      <c r="B66" s="122" t="s">
        <v>118</v>
      </c>
      <c r="C66" s="123">
        <f t="shared" ref="C66:AH66" si="43">IF(C70="","",C62)</f>
        <v>0</v>
      </c>
      <c r="D66" s="123">
        <f t="shared" si="43"/>
        <v>0</v>
      </c>
      <c r="E66" s="123">
        <f t="shared" si="43"/>
        <v>0</v>
      </c>
      <c r="F66" s="123">
        <f t="shared" si="43"/>
        <v>0</v>
      </c>
      <c r="G66" s="123">
        <f t="shared" si="43"/>
        <v>0</v>
      </c>
      <c r="H66" s="123">
        <f t="shared" si="43"/>
        <v>0</v>
      </c>
      <c r="I66" s="123">
        <f t="shared" si="43"/>
        <v>0</v>
      </c>
      <c r="J66" s="123">
        <f t="shared" si="43"/>
        <v>0</v>
      </c>
      <c r="K66" s="123">
        <f t="shared" si="43"/>
        <v>0</v>
      </c>
      <c r="L66" s="123">
        <f t="shared" si="43"/>
        <v>0</v>
      </c>
      <c r="M66" s="123">
        <f t="shared" si="43"/>
        <v>0</v>
      </c>
      <c r="N66" s="123">
        <f t="shared" si="43"/>
        <v>0</v>
      </c>
      <c r="O66" s="123">
        <f t="shared" si="43"/>
        <v>0</v>
      </c>
      <c r="P66" s="123">
        <f t="shared" si="43"/>
        <v>0</v>
      </c>
      <c r="Q66" s="123">
        <f t="shared" si="43"/>
        <v>0</v>
      </c>
      <c r="R66" s="123">
        <f t="shared" si="43"/>
        <v>0</v>
      </c>
      <c r="S66" s="123">
        <f t="shared" si="43"/>
        <v>0</v>
      </c>
      <c r="T66" s="123">
        <f t="shared" si="43"/>
        <v>0</v>
      </c>
      <c r="U66" s="123">
        <f t="shared" si="43"/>
        <v>0</v>
      </c>
      <c r="V66" s="123">
        <f t="shared" si="43"/>
        <v>0</v>
      </c>
      <c r="W66" s="123">
        <f t="shared" si="43"/>
        <v>0</v>
      </c>
      <c r="X66" s="123">
        <f t="shared" si="43"/>
        <v>0</v>
      </c>
      <c r="Y66" s="123">
        <f t="shared" si="43"/>
        <v>0</v>
      </c>
      <c r="Z66" s="123">
        <f t="shared" si="43"/>
        <v>0</v>
      </c>
      <c r="AA66" s="123">
        <f t="shared" si="43"/>
        <v>0</v>
      </c>
      <c r="AB66" s="123">
        <f t="shared" si="43"/>
        <v>0</v>
      </c>
      <c r="AC66" s="123">
        <f t="shared" si="43"/>
        <v>0</v>
      </c>
      <c r="AD66" s="123">
        <f t="shared" si="43"/>
        <v>0</v>
      </c>
      <c r="AE66" s="123">
        <f t="shared" si="43"/>
        <v>0</v>
      </c>
      <c r="AF66" s="123">
        <f t="shared" si="43"/>
        <v>0</v>
      </c>
      <c r="AG66" s="123">
        <f t="shared" si="43"/>
        <v>0</v>
      </c>
      <c r="AH66" s="123">
        <f t="shared" si="43"/>
        <v>0</v>
      </c>
      <c r="AI66" s="141">
        <f t="shared" ref="AI66:AI70" si="44">SUM(C66:AH66)</f>
        <v>0</v>
      </c>
      <c r="AJ66" s="142"/>
      <c r="AK66" s="143"/>
      <c r="AL66" s="216"/>
      <c r="AM66" s="217">
        <f>IF(AM67="","",A2)</f>
        <v>45658</v>
      </c>
      <c r="AN66" s="217">
        <f>IF(AN67="","",A10)</f>
        <v>45689</v>
      </c>
      <c r="AO66" s="217">
        <f>IF(AO67="","",A18)</f>
        <v>45717</v>
      </c>
      <c r="AP66" s="217" t="str">
        <f>IF(AP67="","",A26)</f>
        <v/>
      </c>
      <c r="AQ66" s="217" t="str">
        <f>IF(AQ67="","",A34)</f>
        <v/>
      </c>
      <c r="AR66" s="217" t="str">
        <f>IF(AR67="","",A42)</f>
        <v/>
      </c>
      <c r="AS66" s="217" t="str">
        <f>IF(AS67="","",A50)</f>
        <v/>
      </c>
      <c r="AT66" s="217" t="str">
        <f>IF(AT67="","",A58)</f>
        <v/>
      </c>
      <c r="AU66" s="217" t="str">
        <f>IF(AU67="","",A66)</f>
        <v/>
      </c>
      <c r="AV66" s="217" t="str">
        <f>IF(AV67="","",A74)</f>
        <v/>
      </c>
      <c r="AW66" s="217" t="str">
        <f>IF(AW67="","",A82)</f>
        <v/>
      </c>
      <c r="AX66" s="218" t="str">
        <f>IF(AX67="","",A90)</f>
        <v/>
      </c>
      <c r="AY66" s="128"/>
      <c r="AZ66" s="129"/>
    </row>
    <row r="67" ht="24.0" customHeight="1">
      <c r="A67" s="88"/>
      <c r="B67" s="89" t="s">
        <v>110</v>
      </c>
      <c r="C67" s="130">
        <v>0.0</v>
      </c>
      <c r="D67" s="130">
        <v>0.0</v>
      </c>
      <c r="E67" s="130">
        <v>0.0</v>
      </c>
      <c r="F67" s="130">
        <v>0.0</v>
      </c>
      <c r="G67" s="130">
        <v>0.0</v>
      </c>
      <c r="H67" s="130">
        <v>0.0</v>
      </c>
      <c r="I67" s="130">
        <v>0.0</v>
      </c>
      <c r="J67" s="130">
        <v>0.0</v>
      </c>
      <c r="K67" s="130">
        <v>0.0</v>
      </c>
      <c r="L67" s="130">
        <v>0.0</v>
      </c>
      <c r="M67" s="130">
        <v>0.0</v>
      </c>
      <c r="N67" s="130">
        <v>0.0</v>
      </c>
      <c r="O67" s="130">
        <v>0.0</v>
      </c>
      <c r="P67" s="130">
        <v>0.0</v>
      </c>
      <c r="Q67" s="130">
        <v>0.0</v>
      </c>
      <c r="R67" s="130">
        <v>0.0</v>
      </c>
      <c r="S67" s="130">
        <v>0.0</v>
      </c>
      <c r="T67" s="130">
        <v>0.0</v>
      </c>
      <c r="U67" s="130">
        <v>0.0</v>
      </c>
      <c r="V67" s="130">
        <v>0.0</v>
      </c>
      <c r="W67" s="130">
        <v>0.0</v>
      </c>
      <c r="X67" s="130">
        <v>0.0</v>
      </c>
      <c r="Y67" s="130">
        <v>0.0</v>
      </c>
      <c r="Z67" s="130">
        <v>0.0</v>
      </c>
      <c r="AA67" s="130">
        <v>0.0</v>
      </c>
      <c r="AB67" s="130">
        <v>0.0</v>
      </c>
      <c r="AC67" s="130">
        <v>0.0</v>
      </c>
      <c r="AD67" s="130">
        <v>0.0</v>
      </c>
      <c r="AE67" s="130">
        <v>0.0</v>
      </c>
      <c r="AF67" s="130">
        <v>0.0</v>
      </c>
      <c r="AG67" s="130">
        <v>0.0</v>
      </c>
      <c r="AH67" s="130">
        <v>0.0</v>
      </c>
      <c r="AI67" s="107">
        <f t="shared" si="44"/>
        <v>0</v>
      </c>
      <c r="AJ67" s="101"/>
      <c r="AK67" s="102"/>
      <c r="AL67" s="219"/>
      <c r="AM67" s="220">
        <f>AI7</f>
        <v>0.008248927706</v>
      </c>
      <c r="AN67" s="117">
        <f>AI15</f>
        <v>-0.00890583827</v>
      </c>
      <c r="AO67" s="117">
        <f>AI23</f>
        <v>-1</v>
      </c>
      <c r="AP67" s="117" t="str">
        <f>AI31</f>
        <v/>
      </c>
      <c r="AQ67" s="117" t="str">
        <f>AI39</f>
        <v/>
      </c>
      <c r="AR67" s="117" t="str">
        <f>AI47</f>
        <v/>
      </c>
      <c r="AS67" s="117" t="str">
        <f>AI55</f>
        <v/>
      </c>
      <c r="AT67" s="117" t="str">
        <f>AI63</f>
        <v/>
      </c>
      <c r="AU67" s="117" t="str">
        <f>AI71</f>
        <v/>
      </c>
      <c r="AV67" s="117" t="str">
        <f>AI79</f>
        <v/>
      </c>
      <c r="AW67" s="117" t="str">
        <f>AI87</f>
        <v/>
      </c>
      <c r="AX67" s="221" t="str">
        <f>AI95</f>
        <v/>
      </c>
      <c r="AY67" s="103"/>
      <c r="AZ67" s="103"/>
    </row>
    <row r="68" ht="24.0" customHeight="1">
      <c r="A68" s="88"/>
      <c r="B68" s="98" t="s">
        <v>111</v>
      </c>
      <c r="C68" s="130">
        <v>0.0</v>
      </c>
      <c r="D68" s="130">
        <v>0.0</v>
      </c>
      <c r="E68" s="130">
        <v>0.0</v>
      </c>
      <c r="F68" s="130">
        <v>0.0</v>
      </c>
      <c r="G68" s="130">
        <v>0.0</v>
      </c>
      <c r="H68" s="130">
        <v>0.0</v>
      </c>
      <c r="I68" s="130">
        <v>0.0</v>
      </c>
      <c r="J68" s="130">
        <v>0.0</v>
      </c>
      <c r="K68" s="130">
        <v>0.0</v>
      </c>
      <c r="L68" s="130">
        <v>0.0</v>
      </c>
      <c r="M68" s="130">
        <v>0.0</v>
      </c>
      <c r="N68" s="130">
        <v>0.0</v>
      </c>
      <c r="O68" s="130">
        <v>0.0</v>
      </c>
      <c r="P68" s="130">
        <v>0.0</v>
      </c>
      <c r="Q68" s="130">
        <v>0.0</v>
      </c>
      <c r="R68" s="130">
        <v>0.0</v>
      </c>
      <c r="S68" s="130">
        <v>0.0</v>
      </c>
      <c r="T68" s="130">
        <v>0.0</v>
      </c>
      <c r="U68" s="130">
        <v>0.0</v>
      </c>
      <c r="V68" s="130">
        <v>0.0</v>
      </c>
      <c r="W68" s="130">
        <v>0.0</v>
      </c>
      <c r="X68" s="130">
        <v>0.0</v>
      </c>
      <c r="Y68" s="130">
        <v>0.0</v>
      </c>
      <c r="Z68" s="130">
        <v>0.0</v>
      </c>
      <c r="AA68" s="130">
        <v>0.0</v>
      </c>
      <c r="AB68" s="130">
        <v>0.0</v>
      </c>
      <c r="AC68" s="130">
        <v>0.0</v>
      </c>
      <c r="AD68" s="130">
        <v>0.0</v>
      </c>
      <c r="AE68" s="130">
        <v>0.0</v>
      </c>
      <c r="AF68" s="130">
        <v>0.0</v>
      </c>
      <c r="AG68" s="130">
        <v>0.0</v>
      </c>
      <c r="AH68" s="130">
        <v>0.0</v>
      </c>
      <c r="AI68" s="107">
        <f t="shared" si="44"/>
        <v>0</v>
      </c>
      <c r="AJ68" s="146"/>
      <c r="AK68" s="134"/>
      <c r="AL68" s="222"/>
      <c r="AM68" s="223">
        <f>AI6*AI7</f>
        <v>26025.13305</v>
      </c>
      <c r="AN68" s="223">
        <f>AI14*AI15</f>
        <v>-30051.34269</v>
      </c>
      <c r="AO68" s="223">
        <f>AI22*AI23</f>
        <v>0</v>
      </c>
      <c r="AP68" s="223">
        <f>AI31*AI30</f>
        <v>0</v>
      </c>
      <c r="AQ68" s="223">
        <f>AI38*AI39</f>
        <v>0</v>
      </c>
      <c r="AR68" s="223">
        <f>AI46*AI47</f>
        <v>0</v>
      </c>
      <c r="AS68" s="223">
        <f>AI54*AI55</f>
        <v>0</v>
      </c>
      <c r="AT68" s="223">
        <f>AI62*AI63</f>
        <v>0</v>
      </c>
      <c r="AU68" s="223">
        <f>AI70*AI71</f>
        <v>0</v>
      </c>
      <c r="AV68" s="223">
        <f>AJ79</f>
        <v>0</v>
      </c>
      <c r="AW68" s="223">
        <f>AJ87</f>
        <v>0</v>
      </c>
      <c r="AX68" s="223">
        <f>AJ95</f>
        <v>0</v>
      </c>
      <c r="AY68" s="103"/>
      <c r="AZ68" s="103"/>
    </row>
    <row r="69" ht="24.0" customHeight="1">
      <c r="A69" s="88"/>
      <c r="B69" s="100" t="s">
        <v>112</v>
      </c>
      <c r="C69" s="130">
        <v>0.0</v>
      </c>
      <c r="D69" s="130">
        <v>0.0</v>
      </c>
      <c r="E69" s="130">
        <v>0.0</v>
      </c>
      <c r="F69" s="130">
        <v>0.0</v>
      </c>
      <c r="G69" s="130">
        <v>0.0</v>
      </c>
      <c r="H69" s="130">
        <v>0.0</v>
      </c>
      <c r="I69" s="130">
        <v>0.0</v>
      </c>
      <c r="J69" s="130">
        <v>0.0</v>
      </c>
      <c r="K69" s="130">
        <v>0.0</v>
      </c>
      <c r="L69" s="130">
        <v>0.0</v>
      </c>
      <c r="M69" s="130">
        <v>0.0</v>
      </c>
      <c r="N69" s="130">
        <v>0.0</v>
      </c>
      <c r="O69" s="130">
        <v>0.0</v>
      </c>
      <c r="P69" s="130">
        <v>0.0</v>
      </c>
      <c r="Q69" s="130">
        <v>0.0</v>
      </c>
      <c r="R69" s="130">
        <v>0.0</v>
      </c>
      <c r="S69" s="130">
        <v>0.0</v>
      </c>
      <c r="T69" s="130">
        <v>0.0</v>
      </c>
      <c r="U69" s="130">
        <v>0.0</v>
      </c>
      <c r="V69" s="130">
        <v>0.0</v>
      </c>
      <c r="W69" s="130">
        <v>0.0</v>
      </c>
      <c r="X69" s="130">
        <v>0.0</v>
      </c>
      <c r="Y69" s="130">
        <v>0.0</v>
      </c>
      <c r="Z69" s="130">
        <v>0.0</v>
      </c>
      <c r="AA69" s="130">
        <v>0.0</v>
      </c>
      <c r="AB69" s="130">
        <v>0.0</v>
      </c>
      <c r="AC69" s="130">
        <v>0.0</v>
      </c>
      <c r="AD69" s="130">
        <v>0.0</v>
      </c>
      <c r="AE69" s="130">
        <v>0.0</v>
      </c>
      <c r="AF69" s="130">
        <v>0.0</v>
      </c>
      <c r="AG69" s="130">
        <v>0.0</v>
      </c>
      <c r="AH69" s="130">
        <v>0.0</v>
      </c>
      <c r="AI69" s="107">
        <f t="shared" si="44"/>
        <v>0</v>
      </c>
      <c r="AJ69" s="101">
        <f>SUM(AI66:AI69)</f>
        <v>0</v>
      </c>
      <c r="AK69" s="102"/>
      <c r="AL69" s="224"/>
      <c r="AM69" s="225" t="s">
        <v>124</v>
      </c>
      <c r="AN69" s="170"/>
      <c r="AO69" s="187">
        <f>AO67</f>
        <v>-1</v>
      </c>
      <c r="AP69" s="187">
        <v>0.0</v>
      </c>
      <c r="AQ69" s="187" t="str">
        <f>AQ67</f>
        <v/>
      </c>
      <c r="AR69" s="187"/>
      <c r="AS69" s="187" t="str">
        <f t="shared" ref="AS69:AX69" si="45">AS67</f>
        <v/>
      </c>
      <c r="AT69" s="187" t="str">
        <f t="shared" si="45"/>
        <v/>
      </c>
      <c r="AU69" s="187" t="str">
        <f t="shared" si="45"/>
        <v/>
      </c>
      <c r="AV69" s="187" t="str">
        <f t="shared" si="45"/>
        <v/>
      </c>
      <c r="AW69" s="187" t="str">
        <f t="shared" si="45"/>
        <v/>
      </c>
      <c r="AX69" s="187" t="str">
        <f t="shared" si="45"/>
        <v/>
      </c>
      <c r="AY69" s="103"/>
      <c r="AZ69" s="103"/>
    </row>
    <row r="70" ht="24.0" customHeight="1">
      <c r="A70" s="88"/>
      <c r="B70" s="106" t="s">
        <v>113</v>
      </c>
      <c r="C70" s="130">
        <v>0.0</v>
      </c>
      <c r="D70" s="130">
        <v>0.0</v>
      </c>
      <c r="E70" s="130">
        <v>0.0</v>
      </c>
      <c r="F70" s="130">
        <v>0.0</v>
      </c>
      <c r="G70" s="130">
        <v>0.0</v>
      </c>
      <c r="H70" s="130">
        <v>0.0</v>
      </c>
      <c r="I70" s="130">
        <v>0.0</v>
      </c>
      <c r="J70" s="130">
        <v>0.0</v>
      </c>
      <c r="K70" s="130">
        <v>0.0</v>
      </c>
      <c r="L70" s="130">
        <v>0.0</v>
      </c>
      <c r="M70" s="130">
        <v>0.0</v>
      </c>
      <c r="N70" s="130">
        <v>0.0</v>
      </c>
      <c r="O70" s="130">
        <v>0.0</v>
      </c>
      <c r="P70" s="130">
        <v>0.0</v>
      </c>
      <c r="Q70" s="130">
        <v>0.0</v>
      </c>
      <c r="R70" s="130">
        <v>0.0</v>
      </c>
      <c r="S70" s="130">
        <v>0.0</v>
      </c>
      <c r="T70" s="130">
        <v>0.0</v>
      </c>
      <c r="U70" s="130">
        <v>0.0</v>
      </c>
      <c r="V70" s="130">
        <v>0.0</v>
      </c>
      <c r="W70" s="130">
        <v>0.0</v>
      </c>
      <c r="X70" s="130">
        <v>0.0</v>
      </c>
      <c r="Y70" s="130">
        <v>0.0</v>
      </c>
      <c r="Z70" s="130">
        <v>0.0</v>
      </c>
      <c r="AA70" s="130">
        <v>0.0</v>
      </c>
      <c r="AB70" s="130">
        <v>0.0</v>
      </c>
      <c r="AC70" s="130">
        <v>0.0</v>
      </c>
      <c r="AD70" s="130">
        <v>0.0</v>
      </c>
      <c r="AE70" s="130">
        <v>0.0</v>
      </c>
      <c r="AF70" s="130">
        <v>0.0</v>
      </c>
      <c r="AG70" s="130">
        <v>0.0</v>
      </c>
      <c r="AH70" s="130">
        <v>0.0</v>
      </c>
      <c r="AI70" s="107">
        <f t="shared" si="44"/>
        <v>0</v>
      </c>
      <c r="AJ70" s="101">
        <f>AJ69-AI70</f>
        <v>0</v>
      </c>
      <c r="AK70" s="102"/>
      <c r="AL70" s="224"/>
      <c r="AM70" s="226"/>
      <c r="AN70" s="198"/>
      <c r="AO70" s="103"/>
      <c r="AP70" s="103"/>
      <c r="AQ70" s="103"/>
      <c r="AR70" s="103"/>
      <c r="AS70" s="103"/>
      <c r="AT70" s="103"/>
      <c r="AU70" s="103"/>
      <c r="AV70" s="103"/>
      <c r="AW70" s="103"/>
      <c r="AX70" s="103"/>
      <c r="AY70" s="103"/>
      <c r="AZ70" s="103"/>
    </row>
    <row r="71" ht="24.0" customHeight="1">
      <c r="A71" s="88"/>
      <c r="B71" s="109" t="s">
        <v>115</v>
      </c>
      <c r="C71" s="110" t="str">
        <f t="shared" ref="C71:AI71" si="46">IFERROR(IF(C70=0,(-C68/C66)-1,C72),"")</f>
        <v/>
      </c>
      <c r="D71" s="110" t="str">
        <f t="shared" si="46"/>
        <v/>
      </c>
      <c r="E71" s="110" t="str">
        <f t="shared" si="46"/>
        <v/>
      </c>
      <c r="F71" s="110" t="str">
        <f t="shared" si="46"/>
        <v/>
      </c>
      <c r="G71" s="110" t="str">
        <f t="shared" si="46"/>
        <v/>
      </c>
      <c r="H71" s="110" t="str">
        <f t="shared" si="46"/>
        <v/>
      </c>
      <c r="I71" s="110" t="str">
        <f t="shared" si="46"/>
        <v/>
      </c>
      <c r="J71" s="110" t="str">
        <f t="shared" si="46"/>
        <v/>
      </c>
      <c r="K71" s="110" t="str">
        <f t="shared" si="46"/>
        <v/>
      </c>
      <c r="L71" s="110" t="str">
        <f t="shared" si="46"/>
        <v/>
      </c>
      <c r="M71" s="110" t="str">
        <f t="shared" si="46"/>
        <v/>
      </c>
      <c r="N71" s="110" t="str">
        <f t="shared" si="46"/>
        <v/>
      </c>
      <c r="O71" s="110" t="str">
        <f t="shared" si="46"/>
        <v/>
      </c>
      <c r="P71" s="110" t="str">
        <f t="shared" si="46"/>
        <v/>
      </c>
      <c r="Q71" s="110" t="str">
        <f t="shared" si="46"/>
        <v/>
      </c>
      <c r="R71" s="110" t="str">
        <f t="shared" si="46"/>
        <v/>
      </c>
      <c r="S71" s="110" t="str">
        <f t="shared" si="46"/>
        <v/>
      </c>
      <c r="T71" s="110" t="str">
        <f t="shared" si="46"/>
        <v/>
      </c>
      <c r="U71" s="110" t="str">
        <f t="shared" si="46"/>
        <v/>
      </c>
      <c r="V71" s="110" t="str">
        <f t="shared" si="46"/>
        <v/>
      </c>
      <c r="W71" s="110" t="str">
        <f t="shared" si="46"/>
        <v/>
      </c>
      <c r="X71" s="110" t="str">
        <f t="shared" si="46"/>
        <v/>
      </c>
      <c r="Y71" s="110" t="str">
        <f t="shared" si="46"/>
        <v/>
      </c>
      <c r="Z71" s="110" t="str">
        <f t="shared" si="46"/>
        <v/>
      </c>
      <c r="AA71" s="110" t="str">
        <f t="shared" si="46"/>
        <v/>
      </c>
      <c r="AB71" s="110" t="str">
        <f t="shared" si="46"/>
        <v/>
      </c>
      <c r="AC71" s="110" t="str">
        <f t="shared" si="46"/>
        <v/>
      </c>
      <c r="AD71" s="110" t="str">
        <f t="shared" si="46"/>
        <v/>
      </c>
      <c r="AE71" s="110" t="str">
        <f t="shared" si="46"/>
        <v/>
      </c>
      <c r="AF71" s="110" t="str">
        <f t="shared" si="46"/>
        <v/>
      </c>
      <c r="AG71" s="110" t="str">
        <f t="shared" si="46"/>
        <v/>
      </c>
      <c r="AH71" s="110" t="str">
        <f t="shared" si="46"/>
        <v/>
      </c>
      <c r="AI71" s="112" t="str">
        <f t="shared" si="46"/>
        <v/>
      </c>
      <c r="AJ71" s="101">
        <f>(AI70*AI71)</f>
        <v>0</v>
      </c>
      <c r="AK71" s="102"/>
      <c r="AL71" s="227"/>
      <c r="AM71" s="228">
        <f t="shared" ref="AM71:AX71" si="47">AM66</f>
        <v>45658</v>
      </c>
      <c r="AN71" s="229">
        <f t="shared" si="47"/>
        <v>45689</v>
      </c>
      <c r="AO71" s="229">
        <f t="shared" si="47"/>
        <v>45717</v>
      </c>
      <c r="AP71" s="230" t="str">
        <f t="shared" si="47"/>
        <v/>
      </c>
      <c r="AQ71" s="229" t="str">
        <f t="shared" si="47"/>
        <v/>
      </c>
      <c r="AR71" s="229" t="str">
        <f t="shared" si="47"/>
        <v/>
      </c>
      <c r="AS71" s="229" t="str">
        <f t="shared" si="47"/>
        <v/>
      </c>
      <c r="AT71" s="229" t="str">
        <f t="shared" si="47"/>
        <v/>
      </c>
      <c r="AU71" s="229" t="str">
        <f t="shared" si="47"/>
        <v/>
      </c>
      <c r="AV71" s="229" t="str">
        <f t="shared" si="47"/>
        <v/>
      </c>
      <c r="AW71" s="229" t="str">
        <f t="shared" si="47"/>
        <v/>
      </c>
      <c r="AX71" s="231" t="str">
        <f t="shared" si="47"/>
        <v/>
      </c>
      <c r="AY71" s="103"/>
      <c r="AZ71" s="103"/>
    </row>
    <row r="72" ht="24.0" hidden="1" customHeight="1">
      <c r="A72" s="88"/>
      <c r="B72" s="113" t="s">
        <v>116</v>
      </c>
      <c r="C72" s="138" t="str">
        <f t="shared" ref="C72:AI72" si="48">IFERROR(IF(AND(C66&lt;&gt;0,C70=""),"",(C70/(C66+C67+C68+C69))-1),"")</f>
        <v/>
      </c>
      <c r="D72" s="138" t="str">
        <f t="shared" si="48"/>
        <v/>
      </c>
      <c r="E72" s="138" t="str">
        <f t="shared" si="48"/>
        <v/>
      </c>
      <c r="F72" s="138" t="str">
        <f t="shared" si="48"/>
        <v/>
      </c>
      <c r="G72" s="138" t="str">
        <f t="shared" si="48"/>
        <v/>
      </c>
      <c r="H72" s="138" t="str">
        <f t="shared" si="48"/>
        <v/>
      </c>
      <c r="I72" s="138" t="str">
        <f t="shared" si="48"/>
        <v/>
      </c>
      <c r="J72" s="138" t="str">
        <f t="shared" si="48"/>
        <v/>
      </c>
      <c r="K72" s="138" t="str">
        <f t="shared" si="48"/>
        <v/>
      </c>
      <c r="L72" s="138" t="str">
        <f t="shared" si="48"/>
        <v/>
      </c>
      <c r="M72" s="138" t="str">
        <f t="shared" si="48"/>
        <v/>
      </c>
      <c r="N72" s="138" t="str">
        <f t="shared" si="48"/>
        <v/>
      </c>
      <c r="O72" s="138" t="str">
        <f t="shared" si="48"/>
        <v/>
      </c>
      <c r="P72" s="138" t="str">
        <f t="shared" si="48"/>
        <v/>
      </c>
      <c r="Q72" s="138" t="str">
        <f t="shared" si="48"/>
        <v/>
      </c>
      <c r="R72" s="138" t="str">
        <f t="shared" si="48"/>
        <v/>
      </c>
      <c r="S72" s="138" t="str">
        <f t="shared" si="48"/>
        <v/>
      </c>
      <c r="T72" s="138" t="str">
        <f t="shared" si="48"/>
        <v/>
      </c>
      <c r="U72" s="138" t="str">
        <f t="shared" si="48"/>
        <v/>
      </c>
      <c r="V72" s="138" t="str">
        <f t="shared" si="48"/>
        <v/>
      </c>
      <c r="W72" s="138" t="str">
        <f t="shared" si="48"/>
        <v/>
      </c>
      <c r="X72" s="138" t="str">
        <f t="shared" si="48"/>
        <v/>
      </c>
      <c r="Y72" s="138" t="str">
        <f t="shared" si="48"/>
        <v/>
      </c>
      <c r="Z72" s="138" t="str">
        <f t="shared" si="48"/>
        <v/>
      </c>
      <c r="AA72" s="138" t="str">
        <f t="shared" si="48"/>
        <v/>
      </c>
      <c r="AB72" s="138" t="str">
        <f t="shared" si="48"/>
        <v/>
      </c>
      <c r="AC72" s="138" t="str">
        <f t="shared" si="48"/>
        <v/>
      </c>
      <c r="AD72" s="138" t="str">
        <f t="shared" si="48"/>
        <v/>
      </c>
      <c r="AE72" s="138" t="str">
        <f t="shared" si="48"/>
        <v/>
      </c>
      <c r="AF72" s="138" t="str">
        <f t="shared" si="48"/>
        <v/>
      </c>
      <c r="AG72" s="138" t="str">
        <f t="shared" si="48"/>
        <v/>
      </c>
      <c r="AH72" s="138" t="str">
        <f t="shared" si="48"/>
        <v/>
      </c>
      <c r="AI72" s="139" t="str">
        <f t="shared" si="48"/>
        <v/>
      </c>
      <c r="AJ72" s="101"/>
      <c r="AK72" s="232"/>
      <c r="AL72" s="227"/>
      <c r="AM72" s="233"/>
      <c r="AN72" s="234"/>
      <c r="AO72" s="234"/>
      <c r="AP72" s="234"/>
      <c r="AQ72" s="234"/>
      <c r="AR72" s="234"/>
      <c r="AS72" s="234"/>
      <c r="AT72" s="234"/>
      <c r="AU72" s="234"/>
      <c r="AV72" s="234"/>
      <c r="AW72" s="234"/>
      <c r="AX72" s="235"/>
      <c r="AY72" s="103"/>
      <c r="AZ72" s="103"/>
    </row>
    <row r="73" ht="24.0" customHeight="1">
      <c r="A73" s="115"/>
      <c r="B73" s="116" t="s">
        <v>117</v>
      </c>
      <c r="C73" s="117" t="str">
        <f t="shared" ref="C73:AI73" si="49">IFERROR(C70/$AI$70,"")</f>
        <v/>
      </c>
      <c r="D73" s="117" t="str">
        <f t="shared" si="49"/>
        <v/>
      </c>
      <c r="E73" s="117" t="str">
        <f t="shared" si="49"/>
        <v/>
      </c>
      <c r="F73" s="117" t="str">
        <f t="shared" si="49"/>
        <v/>
      </c>
      <c r="G73" s="117" t="str">
        <f t="shared" si="49"/>
        <v/>
      </c>
      <c r="H73" s="117" t="str">
        <f t="shared" si="49"/>
        <v/>
      </c>
      <c r="I73" s="117" t="str">
        <f t="shared" si="49"/>
        <v/>
      </c>
      <c r="J73" s="117" t="str">
        <f t="shared" si="49"/>
        <v/>
      </c>
      <c r="K73" s="117" t="str">
        <f t="shared" si="49"/>
        <v/>
      </c>
      <c r="L73" s="117" t="str">
        <f t="shared" si="49"/>
        <v/>
      </c>
      <c r="M73" s="117" t="str">
        <f t="shared" si="49"/>
        <v/>
      </c>
      <c r="N73" s="117" t="str">
        <f t="shared" si="49"/>
        <v/>
      </c>
      <c r="O73" s="117" t="str">
        <f t="shared" si="49"/>
        <v/>
      </c>
      <c r="P73" s="117" t="str">
        <f t="shared" si="49"/>
        <v/>
      </c>
      <c r="Q73" s="117" t="str">
        <f t="shared" si="49"/>
        <v/>
      </c>
      <c r="R73" s="117" t="str">
        <f t="shared" si="49"/>
        <v/>
      </c>
      <c r="S73" s="117" t="str">
        <f t="shared" si="49"/>
        <v/>
      </c>
      <c r="T73" s="117" t="str">
        <f t="shared" si="49"/>
        <v/>
      </c>
      <c r="U73" s="117" t="str">
        <f t="shared" si="49"/>
        <v/>
      </c>
      <c r="V73" s="117" t="str">
        <f t="shared" si="49"/>
        <v/>
      </c>
      <c r="W73" s="117" t="str">
        <f t="shared" si="49"/>
        <v/>
      </c>
      <c r="X73" s="117" t="str">
        <f t="shared" si="49"/>
        <v/>
      </c>
      <c r="Y73" s="117" t="str">
        <f t="shared" si="49"/>
        <v/>
      </c>
      <c r="Z73" s="117" t="str">
        <f t="shared" si="49"/>
        <v/>
      </c>
      <c r="AA73" s="117" t="str">
        <f t="shared" si="49"/>
        <v/>
      </c>
      <c r="AB73" s="117" t="str">
        <f t="shared" si="49"/>
        <v/>
      </c>
      <c r="AC73" s="117" t="str">
        <f t="shared" si="49"/>
        <v/>
      </c>
      <c r="AD73" s="117" t="str">
        <f t="shared" si="49"/>
        <v/>
      </c>
      <c r="AE73" s="117" t="str">
        <f t="shared" si="49"/>
        <v/>
      </c>
      <c r="AF73" s="117" t="str">
        <f t="shared" si="49"/>
        <v/>
      </c>
      <c r="AG73" s="117" t="str">
        <f t="shared" si="49"/>
        <v/>
      </c>
      <c r="AH73" s="117" t="str">
        <f t="shared" si="49"/>
        <v/>
      </c>
      <c r="AI73" s="118" t="str">
        <f t="shared" si="49"/>
        <v/>
      </c>
      <c r="AJ73" s="119">
        <f>AI70-AI66</f>
        <v>0</v>
      </c>
      <c r="AK73" s="120" t="str">
        <f>AI70/AI66-1</f>
        <v>#DIV/0!</v>
      </c>
      <c r="AL73" s="97"/>
      <c r="AM73" s="110">
        <f t="shared" ref="AM73:AX73" si="50">IFERROR(IF(AM67&lt;&gt;0,(1+AL73)*(1+AM67)-1,""),"")</f>
        <v>0.008248927706</v>
      </c>
      <c r="AN73" s="117">
        <f t="shared" si="50"/>
        <v>-0.0007303741801</v>
      </c>
      <c r="AO73" s="117">
        <f t="shared" si="50"/>
        <v>-1</v>
      </c>
      <c r="AP73" s="117">
        <f t="shared" si="50"/>
        <v>-1</v>
      </c>
      <c r="AQ73" s="117">
        <f t="shared" si="50"/>
        <v>-1</v>
      </c>
      <c r="AR73" s="117">
        <f t="shared" si="50"/>
        <v>-1</v>
      </c>
      <c r="AS73" s="117">
        <f t="shared" si="50"/>
        <v>-1</v>
      </c>
      <c r="AT73" s="117">
        <f t="shared" si="50"/>
        <v>-1</v>
      </c>
      <c r="AU73" s="117">
        <f t="shared" si="50"/>
        <v>-1</v>
      </c>
      <c r="AV73" s="117">
        <f t="shared" si="50"/>
        <v>-1</v>
      </c>
      <c r="AW73" s="117">
        <f t="shared" si="50"/>
        <v>-1</v>
      </c>
      <c r="AX73" s="117">
        <f t="shared" si="50"/>
        <v>-1</v>
      </c>
      <c r="AY73" s="103"/>
      <c r="AZ73" s="103"/>
    </row>
    <row r="74" ht="24.0" customHeight="1">
      <c r="A74" s="236">
        <v>45931.0</v>
      </c>
      <c r="B74" s="122" t="s">
        <v>118</v>
      </c>
      <c r="C74" s="123">
        <f t="shared" ref="C74:AH74" si="51">IF(C78="","",C70)</f>
        <v>0</v>
      </c>
      <c r="D74" s="123">
        <f t="shared" si="51"/>
        <v>0</v>
      </c>
      <c r="E74" s="123">
        <f t="shared" si="51"/>
        <v>0</v>
      </c>
      <c r="F74" s="123">
        <f t="shared" si="51"/>
        <v>0</v>
      </c>
      <c r="G74" s="123">
        <f t="shared" si="51"/>
        <v>0</v>
      </c>
      <c r="H74" s="123">
        <f t="shared" si="51"/>
        <v>0</v>
      </c>
      <c r="I74" s="123">
        <f t="shared" si="51"/>
        <v>0</v>
      </c>
      <c r="J74" s="123">
        <f t="shared" si="51"/>
        <v>0</v>
      </c>
      <c r="K74" s="123">
        <f t="shared" si="51"/>
        <v>0</v>
      </c>
      <c r="L74" s="123">
        <f t="shared" si="51"/>
        <v>0</v>
      </c>
      <c r="M74" s="123">
        <f t="shared" si="51"/>
        <v>0</v>
      </c>
      <c r="N74" s="123">
        <f t="shared" si="51"/>
        <v>0</v>
      </c>
      <c r="O74" s="123">
        <f t="shared" si="51"/>
        <v>0</v>
      </c>
      <c r="P74" s="123">
        <f t="shared" si="51"/>
        <v>0</v>
      </c>
      <c r="Q74" s="123">
        <f t="shared" si="51"/>
        <v>0</v>
      </c>
      <c r="R74" s="123">
        <f t="shared" si="51"/>
        <v>0</v>
      </c>
      <c r="S74" s="123">
        <f t="shared" si="51"/>
        <v>0</v>
      </c>
      <c r="T74" s="123">
        <f t="shared" si="51"/>
        <v>0</v>
      </c>
      <c r="U74" s="123">
        <f t="shared" si="51"/>
        <v>0</v>
      </c>
      <c r="V74" s="123">
        <f t="shared" si="51"/>
        <v>0</v>
      </c>
      <c r="W74" s="123">
        <f t="shared" si="51"/>
        <v>0</v>
      </c>
      <c r="X74" s="123">
        <f t="shared" si="51"/>
        <v>0</v>
      </c>
      <c r="Y74" s="123">
        <f t="shared" si="51"/>
        <v>0</v>
      </c>
      <c r="Z74" s="123">
        <f t="shared" si="51"/>
        <v>0</v>
      </c>
      <c r="AA74" s="123">
        <f t="shared" si="51"/>
        <v>0</v>
      </c>
      <c r="AB74" s="123">
        <f t="shared" si="51"/>
        <v>0</v>
      </c>
      <c r="AC74" s="123">
        <f t="shared" si="51"/>
        <v>0</v>
      </c>
      <c r="AD74" s="123">
        <f t="shared" si="51"/>
        <v>0</v>
      </c>
      <c r="AE74" s="123">
        <f t="shared" si="51"/>
        <v>0</v>
      </c>
      <c r="AF74" s="123">
        <f t="shared" si="51"/>
        <v>0</v>
      </c>
      <c r="AG74" s="123">
        <f t="shared" si="51"/>
        <v>0</v>
      </c>
      <c r="AH74" s="123">
        <f t="shared" si="51"/>
        <v>0</v>
      </c>
      <c r="AI74" s="141">
        <f t="shared" ref="AI74:AI78" si="53">SUM(C74:AH74)</f>
        <v>0</v>
      </c>
      <c r="AJ74" s="142"/>
      <c r="AK74" s="143"/>
      <c r="AL74" s="144"/>
      <c r="AM74" s="237">
        <f t="shared" ref="AM74:AN74" si="52">AM73</f>
        <v>0.008248927706</v>
      </c>
      <c r="AN74" s="238">
        <f t="shared" si="52"/>
        <v>-0.0007303741801</v>
      </c>
      <c r="AO74" s="238">
        <v>0.0</v>
      </c>
      <c r="AP74" s="238">
        <v>0.0</v>
      </c>
      <c r="AQ74" s="238">
        <v>0.0</v>
      </c>
      <c r="AR74" s="238">
        <v>0.0</v>
      </c>
      <c r="AS74" s="238">
        <v>0.0</v>
      </c>
      <c r="AT74" s="238">
        <v>0.0</v>
      </c>
      <c r="AU74" s="238">
        <v>0.0</v>
      </c>
      <c r="AV74" s="238">
        <v>0.0</v>
      </c>
      <c r="AW74" s="238">
        <v>0.0</v>
      </c>
      <c r="AX74" s="238">
        <v>0.0</v>
      </c>
      <c r="AY74" s="128"/>
      <c r="AZ74" s="129"/>
    </row>
    <row r="75" ht="24.0" customHeight="1">
      <c r="A75" s="88"/>
      <c r="B75" s="89" t="s">
        <v>110</v>
      </c>
      <c r="C75" s="130">
        <v>0.0</v>
      </c>
      <c r="D75" s="130">
        <v>0.0</v>
      </c>
      <c r="E75" s="130">
        <v>0.0</v>
      </c>
      <c r="F75" s="130">
        <v>0.0</v>
      </c>
      <c r="G75" s="130">
        <v>0.0</v>
      </c>
      <c r="H75" s="130">
        <v>0.0</v>
      </c>
      <c r="I75" s="130">
        <v>0.0</v>
      </c>
      <c r="J75" s="130">
        <v>0.0</v>
      </c>
      <c r="K75" s="130">
        <v>0.0</v>
      </c>
      <c r="L75" s="130">
        <v>0.0</v>
      </c>
      <c r="M75" s="130">
        <v>0.0</v>
      </c>
      <c r="N75" s="130">
        <v>0.0</v>
      </c>
      <c r="O75" s="130">
        <v>0.0</v>
      </c>
      <c r="P75" s="130">
        <v>0.0</v>
      </c>
      <c r="Q75" s="130">
        <v>0.0</v>
      </c>
      <c r="R75" s="130">
        <v>0.0</v>
      </c>
      <c r="S75" s="130">
        <v>0.0</v>
      </c>
      <c r="T75" s="131">
        <v>0.0</v>
      </c>
      <c r="U75" s="131">
        <v>0.0</v>
      </c>
      <c r="V75" s="131">
        <v>0.0</v>
      </c>
      <c r="W75" s="131">
        <v>0.0</v>
      </c>
      <c r="X75" s="131">
        <v>0.0</v>
      </c>
      <c r="Y75" s="131">
        <v>0.0</v>
      </c>
      <c r="Z75" s="131">
        <v>0.0</v>
      </c>
      <c r="AA75" s="131">
        <v>0.0</v>
      </c>
      <c r="AB75" s="131">
        <v>0.0</v>
      </c>
      <c r="AC75" s="131">
        <v>0.0</v>
      </c>
      <c r="AD75" s="131">
        <v>0.0</v>
      </c>
      <c r="AE75" s="131">
        <v>0.0</v>
      </c>
      <c r="AF75" s="131">
        <v>0.0</v>
      </c>
      <c r="AG75" s="131">
        <v>0.0</v>
      </c>
      <c r="AH75" s="131">
        <v>0.0</v>
      </c>
      <c r="AI75" s="107">
        <f t="shared" si="53"/>
        <v>0</v>
      </c>
      <c r="AJ75" s="101"/>
      <c r="AK75" s="102"/>
      <c r="AL75" s="129"/>
      <c r="AM75" s="103"/>
      <c r="AN75" s="103"/>
      <c r="AO75" s="103"/>
      <c r="AP75" s="103"/>
      <c r="AQ75" s="103"/>
      <c r="AR75" s="103"/>
      <c r="AS75" s="103"/>
      <c r="AT75" s="103"/>
      <c r="AU75" s="103"/>
      <c r="AV75" s="103"/>
      <c r="AW75" s="103"/>
      <c r="AX75" s="103"/>
      <c r="AY75" s="103"/>
      <c r="AZ75" s="103"/>
    </row>
    <row r="76" ht="24.0" customHeight="1">
      <c r="A76" s="88"/>
      <c r="B76" s="98" t="s">
        <v>111</v>
      </c>
      <c r="C76" s="130">
        <v>0.0</v>
      </c>
      <c r="D76" s="130">
        <v>0.0</v>
      </c>
      <c r="E76" s="130">
        <v>0.0</v>
      </c>
      <c r="F76" s="130">
        <v>0.0</v>
      </c>
      <c r="G76" s="130">
        <v>0.0</v>
      </c>
      <c r="H76" s="130">
        <v>0.0</v>
      </c>
      <c r="I76" s="130">
        <v>0.0</v>
      </c>
      <c r="J76" s="130">
        <v>0.0</v>
      </c>
      <c r="K76" s="130">
        <v>0.0</v>
      </c>
      <c r="L76" s="130">
        <v>0.0</v>
      </c>
      <c r="M76" s="130">
        <v>0.0</v>
      </c>
      <c r="N76" s="130">
        <v>0.0</v>
      </c>
      <c r="O76" s="130">
        <v>0.0</v>
      </c>
      <c r="P76" s="130">
        <v>0.0</v>
      </c>
      <c r="Q76" s="130">
        <v>0.0</v>
      </c>
      <c r="R76" s="130">
        <v>0.0</v>
      </c>
      <c r="S76" s="130">
        <v>0.0</v>
      </c>
      <c r="T76" s="131">
        <v>0.0</v>
      </c>
      <c r="U76" s="131">
        <v>0.0</v>
      </c>
      <c r="V76" s="131">
        <v>0.0</v>
      </c>
      <c r="W76" s="131">
        <v>0.0</v>
      </c>
      <c r="X76" s="131">
        <v>0.0</v>
      </c>
      <c r="Y76" s="131">
        <v>0.0</v>
      </c>
      <c r="Z76" s="131">
        <v>0.0</v>
      </c>
      <c r="AA76" s="131">
        <v>0.0</v>
      </c>
      <c r="AB76" s="131">
        <v>0.0</v>
      </c>
      <c r="AC76" s="131">
        <v>0.0</v>
      </c>
      <c r="AD76" s="131">
        <v>0.0</v>
      </c>
      <c r="AE76" s="131">
        <v>0.0</v>
      </c>
      <c r="AF76" s="131">
        <v>0.0</v>
      </c>
      <c r="AG76" s="131">
        <v>0.0</v>
      </c>
      <c r="AH76" s="131">
        <v>0.0</v>
      </c>
      <c r="AI76" s="107">
        <f t="shared" si="53"/>
        <v>0</v>
      </c>
      <c r="AJ76" s="101"/>
      <c r="AK76" s="102"/>
      <c r="AL76" s="129"/>
      <c r="AM76" s="103"/>
      <c r="AN76" s="103"/>
      <c r="AO76" s="103"/>
      <c r="AP76" s="103"/>
      <c r="AQ76" s="103"/>
      <c r="AR76" s="103"/>
      <c r="AS76" s="103"/>
      <c r="AT76" s="103"/>
      <c r="AU76" s="103"/>
      <c r="AV76" s="103"/>
      <c r="AW76" s="103"/>
      <c r="AX76" s="103"/>
      <c r="AY76" s="103"/>
      <c r="AZ76" s="103"/>
    </row>
    <row r="77" ht="24.0" customHeight="1">
      <c r="A77" s="88"/>
      <c r="B77" s="100" t="s">
        <v>112</v>
      </c>
      <c r="C77" s="130">
        <v>0.0</v>
      </c>
      <c r="D77" s="130">
        <v>0.0</v>
      </c>
      <c r="E77" s="130">
        <v>0.0</v>
      </c>
      <c r="F77" s="130">
        <v>0.0</v>
      </c>
      <c r="G77" s="130">
        <v>0.0</v>
      </c>
      <c r="H77" s="130">
        <v>0.0</v>
      </c>
      <c r="I77" s="130">
        <v>0.0</v>
      </c>
      <c r="J77" s="130">
        <v>0.0</v>
      </c>
      <c r="K77" s="130">
        <v>0.0</v>
      </c>
      <c r="L77" s="130">
        <v>0.0</v>
      </c>
      <c r="M77" s="130">
        <v>0.0</v>
      </c>
      <c r="N77" s="130">
        <v>0.0</v>
      </c>
      <c r="O77" s="130">
        <v>0.0</v>
      </c>
      <c r="P77" s="130">
        <v>0.0</v>
      </c>
      <c r="Q77" s="130">
        <v>0.0</v>
      </c>
      <c r="R77" s="130">
        <v>0.0</v>
      </c>
      <c r="S77" s="130">
        <v>0.0</v>
      </c>
      <c r="T77" s="131">
        <v>0.0</v>
      </c>
      <c r="U77" s="131">
        <v>0.0</v>
      </c>
      <c r="V77" s="131">
        <v>0.0</v>
      </c>
      <c r="W77" s="131">
        <v>0.0</v>
      </c>
      <c r="X77" s="131">
        <v>0.0</v>
      </c>
      <c r="Y77" s="131">
        <v>0.0</v>
      </c>
      <c r="Z77" s="131">
        <v>0.0</v>
      </c>
      <c r="AA77" s="131">
        <v>0.0</v>
      </c>
      <c r="AB77" s="131">
        <v>0.0</v>
      </c>
      <c r="AC77" s="131">
        <v>0.0</v>
      </c>
      <c r="AD77" s="131">
        <v>0.0</v>
      </c>
      <c r="AE77" s="131">
        <v>0.0</v>
      </c>
      <c r="AF77" s="131">
        <v>0.0</v>
      </c>
      <c r="AG77" s="131">
        <v>0.0</v>
      </c>
      <c r="AH77" s="131">
        <v>0.0</v>
      </c>
      <c r="AI77" s="107">
        <f t="shared" si="53"/>
        <v>0</v>
      </c>
      <c r="AJ77" s="101">
        <f>SUM(AI74:AI77)</f>
        <v>0</v>
      </c>
      <c r="AK77" s="102"/>
      <c r="AL77" s="103"/>
      <c r="AM77" s="103"/>
      <c r="AN77" s="103"/>
      <c r="AO77" s="103"/>
      <c r="AP77" s="103"/>
      <c r="AQ77" s="103"/>
      <c r="AR77" s="103"/>
      <c r="AS77" s="103"/>
      <c r="AT77" s="103"/>
      <c r="AU77" s="103"/>
      <c r="AV77" s="103"/>
      <c r="AW77" s="103"/>
      <c r="AX77" s="103"/>
      <c r="AY77" s="103"/>
      <c r="AZ77" s="103"/>
    </row>
    <row r="78" ht="24.0" customHeight="1">
      <c r="A78" s="88"/>
      <c r="B78" s="106" t="s">
        <v>113</v>
      </c>
      <c r="C78" s="130">
        <v>0.0</v>
      </c>
      <c r="D78" s="130">
        <v>0.0</v>
      </c>
      <c r="E78" s="130">
        <v>0.0</v>
      </c>
      <c r="F78" s="130">
        <v>0.0</v>
      </c>
      <c r="G78" s="130">
        <v>0.0</v>
      </c>
      <c r="H78" s="130">
        <v>0.0</v>
      </c>
      <c r="I78" s="130">
        <v>0.0</v>
      </c>
      <c r="J78" s="130">
        <v>0.0</v>
      </c>
      <c r="K78" s="130">
        <v>0.0</v>
      </c>
      <c r="L78" s="130">
        <v>0.0</v>
      </c>
      <c r="M78" s="130">
        <v>0.0</v>
      </c>
      <c r="N78" s="130">
        <v>0.0</v>
      </c>
      <c r="O78" s="130">
        <v>0.0</v>
      </c>
      <c r="P78" s="130">
        <v>0.0</v>
      </c>
      <c r="Q78" s="130">
        <v>0.0</v>
      </c>
      <c r="R78" s="130">
        <v>0.0</v>
      </c>
      <c r="S78" s="130">
        <v>0.0</v>
      </c>
      <c r="T78" s="131">
        <v>0.0</v>
      </c>
      <c r="U78" s="131">
        <v>0.0</v>
      </c>
      <c r="V78" s="131">
        <v>0.0</v>
      </c>
      <c r="W78" s="131">
        <v>0.0</v>
      </c>
      <c r="X78" s="131">
        <v>0.0</v>
      </c>
      <c r="Y78" s="131">
        <v>0.0</v>
      </c>
      <c r="Z78" s="131">
        <v>0.0</v>
      </c>
      <c r="AA78" s="131">
        <v>0.0</v>
      </c>
      <c r="AB78" s="131">
        <v>0.0</v>
      </c>
      <c r="AC78" s="131">
        <v>0.0</v>
      </c>
      <c r="AD78" s="131">
        <v>0.0</v>
      </c>
      <c r="AE78" s="131">
        <v>0.0</v>
      </c>
      <c r="AF78" s="131">
        <v>0.0</v>
      </c>
      <c r="AG78" s="131">
        <v>0.0</v>
      </c>
      <c r="AH78" s="131">
        <v>0.0</v>
      </c>
      <c r="AI78" s="107">
        <f t="shared" si="53"/>
        <v>0</v>
      </c>
      <c r="AJ78" s="101">
        <f>+AJ77-AI78</f>
        <v>0</v>
      </c>
      <c r="AK78" s="102"/>
      <c r="AL78" s="103"/>
      <c r="AM78" s="103"/>
      <c r="AN78" s="103"/>
      <c r="AO78" s="103"/>
      <c r="AP78" s="103"/>
      <c r="AQ78" s="103"/>
      <c r="AR78" s="103"/>
      <c r="AS78" s="103"/>
      <c r="AT78" s="103"/>
      <c r="AU78" s="103"/>
      <c r="AV78" s="103"/>
      <c r="AW78" s="103"/>
      <c r="AX78" s="103"/>
      <c r="AY78" s="103"/>
      <c r="AZ78" s="103"/>
    </row>
    <row r="79" ht="22.5" customHeight="1">
      <c r="A79" s="88"/>
      <c r="B79" s="109" t="s">
        <v>115</v>
      </c>
      <c r="C79" s="110" t="str">
        <f t="shared" ref="C79:AI79" si="54">IFERROR(IF(C78=0,(-C76/C74)-1,C80),"")</f>
        <v/>
      </c>
      <c r="D79" s="110" t="str">
        <f t="shared" si="54"/>
        <v/>
      </c>
      <c r="E79" s="110" t="str">
        <f t="shared" si="54"/>
        <v/>
      </c>
      <c r="F79" s="110" t="str">
        <f t="shared" si="54"/>
        <v/>
      </c>
      <c r="G79" s="110" t="str">
        <f t="shared" si="54"/>
        <v/>
      </c>
      <c r="H79" s="110" t="str">
        <f t="shared" si="54"/>
        <v/>
      </c>
      <c r="I79" s="110" t="str">
        <f t="shared" si="54"/>
        <v/>
      </c>
      <c r="J79" s="110" t="str">
        <f t="shared" si="54"/>
        <v/>
      </c>
      <c r="K79" s="110" t="str">
        <f t="shared" si="54"/>
        <v/>
      </c>
      <c r="L79" s="110" t="str">
        <f t="shared" si="54"/>
        <v/>
      </c>
      <c r="M79" s="110" t="str">
        <f t="shared" si="54"/>
        <v/>
      </c>
      <c r="N79" s="110" t="str">
        <f t="shared" si="54"/>
        <v/>
      </c>
      <c r="O79" s="110" t="str">
        <f t="shared" si="54"/>
        <v/>
      </c>
      <c r="P79" s="110" t="str">
        <f t="shared" si="54"/>
        <v/>
      </c>
      <c r="Q79" s="110" t="str">
        <f t="shared" si="54"/>
        <v/>
      </c>
      <c r="R79" s="110" t="str">
        <f t="shared" si="54"/>
        <v/>
      </c>
      <c r="S79" s="110" t="str">
        <f t="shared" si="54"/>
        <v/>
      </c>
      <c r="T79" s="110" t="str">
        <f t="shared" si="54"/>
        <v/>
      </c>
      <c r="U79" s="110" t="str">
        <f t="shared" si="54"/>
        <v/>
      </c>
      <c r="V79" s="110" t="str">
        <f t="shared" si="54"/>
        <v/>
      </c>
      <c r="W79" s="110" t="str">
        <f t="shared" si="54"/>
        <v/>
      </c>
      <c r="X79" s="110" t="str">
        <f t="shared" si="54"/>
        <v/>
      </c>
      <c r="Y79" s="110" t="str">
        <f t="shared" si="54"/>
        <v/>
      </c>
      <c r="Z79" s="110" t="str">
        <f t="shared" si="54"/>
        <v/>
      </c>
      <c r="AA79" s="110" t="str">
        <f t="shared" si="54"/>
        <v/>
      </c>
      <c r="AB79" s="110" t="str">
        <f t="shared" si="54"/>
        <v/>
      </c>
      <c r="AC79" s="110" t="str">
        <f t="shared" si="54"/>
        <v/>
      </c>
      <c r="AD79" s="110" t="str">
        <f t="shared" si="54"/>
        <v/>
      </c>
      <c r="AE79" s="110" t="str">
        <f t="shared" si="54"/>
        <v/>
      </c>
      <c r="AF79" s="110" t="str">
        <f t="shared" si="54"/>
        <v/>
      </c>
      <c r="AG79" s="110" t="str">
        <f t="shared" si="54"/>
        <v/>
      </c>
      <c r="AH79" s="110" t="str">
        <f t="shared" si="54"/>
        <v/>
      </c>
      <c r="AI79" s="112" t="str">
        <f t="shared" si="54"/>
        <v/>
      </c>
      <c r="AJ79" s="101">
        <f>AI78*AI79</f>
        <v>0</v>
      </c>
      <c r="AK79" s="102"/>
      <c r="AL79" s="103"/>
      <c r="AM79" s="103"/>
      <c r="AN79" s="103"/>
      <c r="AO79" s="103"/>
      <c r="AP79" s="103"/>
      <c r="AQ79" s="103"/>
      <c r="AR79" s="103"/>
      <c r="AS79" s="103"/>
      <c r="AT79" s="103"/>
      <c r="AU79" s="103"/>
      <c r="AV79" s="103"/>
      <c r="AW79" s="103"/>
      <c r="AX79" s="103"/>
      <c r="AY79" s="103"/>
      <c r="AZ79" s="103"/>
    </row>
    <row r="80" ht="1.5" customHeight="1">
      <c r="A80" s="88"/>
      <c r="B80" s="113" t="s">
        <v>116</v>
      </c>
      <c r="C80" s="138" t="str">
        <f t="shared" ref="C80:AI80" si="55">IFERROR(IF(AND(C74&lt;&gt;0,C78=""),"",(C78/(C74+C75+C76+C77))-1),"")</f>
        <v/>
      </c>
      <c r="D80" s="138" t="str">
        <f t="shared" si="55"/>
        <v/>
      </c>
      <c r="E80" s="138" t="str">
        <f t="shared" si="55"/>
        <v/>
      </c>
      <c r="F80" s="138" t="str">
        <f t="shared" si="55"/>
        <v/>
      </c>
      <c r="G80" s="138" t="str">
        <f t="shared" si="55"/>
        <v/>
      </c>
      <c r="H80" s="138" t="str">
        <f t="shared" si="55"/>
        <v/>
      </c>
      <c r="I80" s="138" t="str">
        <f t="shared" si="55"/>
        <v/>
      </c>
      <c r="J80" s="138" t="str">
        <f t="shared" si="55"/>
        <v/>
      </c>
      <c r="K80" s="138" t="str">
        <f t="shared" si="55"/>
        <v/>
      </c>
      <c r="L80" s="138" t="str">
        <f t="shared" si="55"/>
        <v/>
      </c>
      <c r="M80" s="138" t="str">
        <f t="shared" si="55"/>
        <v/>
      </c>
      <c r="N80" s="138" t="str">
        <f t="shared" si="55"/>
        <v/>
      </c>
      <c r="O80" s="138" t="str">
        <f t="shared" si="55"/>
        <v/>
      </c>
      <c r="P80" s="138" t="str">
        <f t="shared" si="55"/>
        <v/>
      </c>
      <c r="Q80" s="138" t="str">
        <f t="shared" si="55"/>
        <v/>
      </c>
      <c r="R80" s="138" t="str">
        <f t="shared" si="55"/>
        <v/>
      </c>
      <c r="S80" s="138" t="str">
        <f t="shared" si="55"/>
        <v/>
      </c>
      <c r="T80" s="138" t="str">
        <f t="shared" si="55"/>
        <v/>
      </c>
      <c r="U80" s="138" t="str">
        <f t="shared" si="55"/>
        <v/>
      </c>
      <c r="V80" s="138" t="str">
        <f t="shared" si="55"/>
        <v/>
      </c>
      <c r="W80" s="138" t="str">
        <f t="shared" si="55"/>
        <v/>
      </c>
      <c r="X80" s="138" t="str">
        <f t="shared" si="55"/>
        <v/>
      </c>
      <c r="Y80" s="138" t="str">
        <f t="shared" si="55"/>
        <v/>
      </c>
      <c r="Z80" s="138" t="str">
        <f t="shared" si="55"/>
        <v/>
      </c>
      <c r="AA80" s="138" t="str">
        <f t="shared" si="55"/>
        <v/>
      </c>
      <c r="AB80" s="138" t="str">
        <f t="shared" si="55"/>
        <v/>
      </c>
      <c r="AC80" s="138" t="str">
        <f t="shared" si="55"/>
        <v/>
      </c>
      <c r="AD80" s="138" t="str">
        <f t="shared" si="55"/>
        <v/>
      </c>
      <c r="AE80" s="138" t="str">
        <f t="shared" si="55"/>
        <v/>
      </c>
      <c r="AF80" s="138" t="str">
        <f t="shared" si="55"/>
        <v/>
      </c>
      <c r="AG80" s="138" t="str">
        <f t="shared" si="55"/>
        <v/>
      </c>
      <c r="AH80" s="138" t="str">
        <f t="shared" si="55"/>
        <v/>
      </c>
      <c r="AI80" s="139" t="str">
        <f t="shared" si="55"/>
        <v/>
      </c>
      <c r="AJ80" s="101"/>
      <c r="AK80" s="102"/>
      <c r="AL80" s="103"/>
      <c r="AM80" s="103"/>
      <c r="AN80" s="103"/>
      <c r="AO80" s="103"/>
      <c r="AP80" s="103"/>
      <c r="AQ80" s="103"/>
      <c r="AR80" s="103"/>
      <c r="AS80" s="103"/>
      <c r="AT80" s="103"/>
      <c r="AU80" s="103"/>
      <c r="AV80" s="103"/>
      <c r="AW80" s="103"/>
      <c r="AX80" s="103"/>
      <c r="AY80" s="103"/>
      <c r="AZ80" s="103"/>
    </row>
    <row r="81" ht="19.5" customHeight="1">
      <c r="A81" s="115"/>
      <c r="B81" s="116" t="s">
        <v>117</v>
      </c>
      <c r="C81" s="117" t="str">
        <f t="shared" ref="C81:AI81" si="56">IFERROR(C78/$AI$78,"")</f>
        <v/>
      </c>
      <c r="D81" s="117" t="str">
        <f t="shared" si="56"/>
        <v/>
      </c>
      <c r="E81" s="117" t="str">
        <f t="shared" si="56"/>
        <v/>
      </c>
      <c r="F81" s="117" t="str">
        <f t="shared" si="56"/>
        <v/>
      </c>
      <c r="G81" s="117" t="str">
        <f t="shared" si="56"/>
        <v/>
      </c>
      <c r="H81" s="117" t="str">
        <f t="shared" si="56"/>
        <v/>
      </c>
      <c r="I81" s="117" t="str">
        <f t="shared" si="56"/>
        <v/>
      </c>
      <c r="J81" s="117" t="str">
        <f t="shared" si="56"/>
        <v/>
      </c>
      <c r="K81" s="117" t="str">
        <f t="shared" si="56"/>
        <v/>
      </c>
      <c r="L81" s="117" t="str">
        <f t="shared" si="56"/>
        <v/>
      </c>
      <c r="M81" s="117" t="str">
        <f t="shared" si="56"/>
        <v/>
      </c>
      <c r="N81" s="117" t="str">
        <f t="shared" si="56"/>
        <v/>
      </c>
      <c r="O81" s="117" t="str">
        <f t="shared" si="56"/>
        <v/>
      </c>
      <c r="P81" s="117" t="str">
        <f t="shared" si="56"/>
        <v/>
      </c>
      <c r="Q81" s="117" t="str">
        <f t="shared" si="56"/>
        <v/>
      </c>
      <c r="R81" s="117" t="str">
        <f t="shared" si="56"/>
        <v/>
      </c>
      <c r="S81" s="117" t="str">
        <f t="shared" si="56"/>
        <v/>
      </c>
      <c r="T81" s="117" t="str">
        <f t="shared" si="56"/>
        <v/>
      </c>
      <c r="U81" s="117" t="str">
        <f t="shared" si="56"/>
        <v/>
      </c>
      <c r="V81" s="117" t="str">
        <f t="shared" si="56"/>
        <v/>
      </c>
      <c r="W81" s="117" t="str">
        <f t="shared" si="56"/>
        <v/>
      </c>
      <c r="X81" s="117" t="str">
        <f t="shared" si="56"/>
        <v/>
      </c>
      <c r="Y81" s="117" t="str">
        <f t="shared" si="56"/>
        <v/>
      </c>
      <c r="Z81" s="117" t="str">
        <f t="shared" si="56"/>
        <v/>
      </c>
      <c r="AA81" s="117" t="str">
        <f t="shared" si="56"/>
        <v/>
      </c>
      <c r="AB81" s="117" t="str">
        <f t="shared" si="56"/>
        <v/>
      </c>
      <c r="AC81" s="117" t="str">
        <f t="shared" si="56"/>
        <v/>
      </c>
      <c r="AD81" s="117" t="str">
        <f t="shared" si="56"/>
        <v/>
      </c>
      <c r="AE81" s="117" t="str">
        <f t="shared" si="56"/>
        <v/>
      </c>
      <c r="AF81" s="117" t="str">
        <f t="shared" si="56"/>
        <v/>
      </c>
      <c r="AG81" s="117" t="str">
        <f t="shared" si="56"/>
        <v/>
      </c>
      <c r="AH81" s="117" t="str">
        <f t="shared" si="56"/>
        <v/>
      </c>
      <c r="AI81" s="118" t="str">
        <f t="shared" si="56"/>
        <v/>
      </c>
      <c r="AJ81" s="119">
        <f>AI78-AI74</f>
        <v>0</v>
      </c>
      <c r="AK81" s="120" t="str">
        <f>AI78/AI74-1</f>
        <v>#DIV/0!</v>
      </c>
      <c r="AL81" s="103"/>
      <c r="AM81" s="103"/>
      <c r="AN81" s="103"/>
      <c r="AO81" s="103"/>
      <c r="AP81" s="103"/>
      <c r="AQ81" s="103"/>
      <c r="AR81" s="103"/>
      <c r="AS81" s="103"/>
      <c r="AT81" s="103"/>
      <c r="AU81" s="103"/>
      <c r="AV81" s="103"/>
      <c r="AW81" s="103"/>
      <c r="AX81" s="103"/>
      <c r="AY81" s="103"/>
      <c r="AZ81" s="103"/>
    </row>
    <row r="82" ht="24.0" customHeight="1">
      <c r="A82" s="121">
        <v>45962.0</v>
      </c>
      <c r="B82" s="122" t="s">
        <v>118</v>
      </c>
      <c r="C82" s="123">
        <f t="shared" ref="C82:AH82" si="57">IF(C86="","",C78)</f>
        <v>0</v>
      </c>
      <c r="D82" s="123">
        <f t="shared" si="57"/>
        <v>0</v>
      </c>
      <c r="E82" s="123">
        <f t="shared" si="57"/>
        <v>0</v>
      </c>
      <c r="F82" s="123">
        <f t="shared" si="57"/>
        <v>0</v>
      </c>
      <c r="G82" s="123">
        <f t="shared" si="57"/>
        <v>0</v>
      </c>
      <c r="H82" s="123">
        <f t="shared" si="57"/>
        <v>0</v>
      </c>
      <c r="I82" s="123">
        <f t="shared" si="57"/>
        <v>0</v>
      </c>
      <c r="J82" s="123">
        <f t="shared" si="57"/>
        <v>0</v>
      </c>
      <c r="K82" s="123">
        <f t="shared" si="57"/>
        <v>0</v>
      </c>
      <c r="L82" s="123">
        <f t="shared" si="57"/>
        <v>0</v>
      </c>
      <c r="M82" s="123">
        <f t="shared" si="57"/>
        <v>0</v>
      </c>
      <c r="N82" s="123">
        <f t="shared" si="57"/>
        <v>0</v>
      </c>
      <c r="O82" s="123">
        <f t="shared" si="57"/>
        <v>0</v>
      </c>
      <c r="P82" s="123">
        <f t="shared" si="57"/>
        <v>0</v>
      </c>
      <c r="Q82" s="123">
        <f t="shared" si="57"/>
        <v>0</v>
      </c>
      <c r="R82" s="123">
        <f t="shared" si="57"/>
        <v>0</v>
      </c>
      <c r="S82" s="123">
        <f t="shared" si="57"/>
        <v>0</v>
      </c>
      <c r="T82" s="123">
        <f t="shared" si="57"/>
        <v>0</v>
      </c>
      <c r="U82" s="123">
        <f t="shared" si="57"/>
        <v>0</v>
      </c>
      <c r="V82" s="123">
        <f t="shared" si="57"/>
        <v>0</v>
      </c>
      <c r="W82" s="123">
        <f t="shared" si="57"/>
        <v>0</v>
      </c>
      <c r="X82" s="123">
        <f t="shared" si="57"/>
        <v>0</v>
      </c>
      <c r="Y82" s="123">
        <f t="shared" si="57"/>
        <v>0</v>
      </c>
      <c r="Z82" s="123">
        <f t="shared" si="57"/>
        <v>0</v>
      </c>
      <c r="AA82" s="123">
        <f t="shared" si="57"/>
        <v>0</v>
      </c>
      <c r="AB82" s="123">
        <f t="shared" si="57"/>
        <v>0</v>
      </c>
      <c r="AC82" s="123">
        <f t="shared" si="57"/>
        <v>0</v>
      </c>
      <c r="AD82" s="123">
        <f t="shared" si="57"/>
        <v>0</v>
      </c>
      <c r="AE82" s="123">
        <f t="shared" si="57"/>
        <v>0</v>
      </c>
      <c r="AF82" s="123">
        <f t="shared" si="57"/>
        <v>0</v>
      </c>
      <c r="AG82" s="123">
        <f t="shared" si="57"/>
        <v>0</v>
      </c>
      <c r="AH82" s="123">
        <f t="shared" si="57"/>
        <v>0</v>
      </c>
      <c r="AI82" s="141">
        <f t="shared" ref="AI82:AI86" si="58">SUM(C82:AH82)</f>
        <v>0</v>
      </c>
      <c r="AJ82" s="142"/>
      <c r="AK82" s="143"/>
      <c r="AL82" s="144"/>
      <c r="AM82" s="127"/>
      <c r="AN82" s="128"/>
      <c r="AO82" s="128"/>
      <c r="AP82" s="128"/>
      <c r="AQ82" s="128"/>
      <c r="AR82" s="128"/>
      <c r="AS82" s="128"/>
      <c r="AT82" s="128"/>
      <c r="AU82" s="128"/>
      <c r="AV82" s="128"/>
      <c r="AW82" s="128"/>
      <c r="AX82" s="128"/>
      <c r="AY82" s="128"/>
      <c r="AZ82" s="129"/>
    </row>
    <row r="83" ht="24.0" customHeight="1">
      <c r="A83" s="88"/>
      <c r="B83" s="89" t="s">
        <v>110</v>
      </c>
      <c r="C83" s="130">
        <v>0.0</v>
      </c>
      <c r="D83" s="130">
        <v>0.0</v>
      </c>
      <c r="E83" s="130">
        <v>0.0</v>
      </c>
      <c r="F83" s="130">
        <v>0.0</v>
      </c>
      <c r="G83" s="130">
        <v>0.0</v>
      </c>
      <c r="H83" s="130">
        <v>0.0</v>
      </c>
      <c r="I83" s="130">
        <v>0.0</v>
      </c>
      <c r="J83" s="130">
        <v>0.0</v>
      </c>
      <c r="K83" s="130">
        <v>0.0</v>
      </c>
      <c r="L83" s="130">
        <v>0.0</v>
      </c>
      <c r="M83" s="130">
        <v>0.0</v>
      </c>
      <c r="N83" s="130">
        <v>0.0</v>
      </c>
      <c r="O83" s="130">
        <v>0.0</v>
      </c>
      <c r="P83" s="130">
        <v>0.0</v>
      </c>
      <c r="Q83" s="130">
        <v>0.0</v>
      </c>
      <c r="R83" s="130">
        <v>0.0</v>
      </c>
      <c r="S83" s="130">
        <v>0.0</v>
      </c>
      <c r="T83" s="130">
        <v>0.0</v>
      </c>
      <c r="U83" s="130">
        <v>0.0</v>
      </c>
      <c r="V83" s="130">
        <v>0.0</v>
      </c>
      <c r="W83" s="130">
        <v>0.0</v>
      </c>
      <c r="X83" s="130">
        <v>0.0</v>
      </c>
      <c r="Y83" s="130">
        <v>0.0</v>
      </c>
      <c r="Z83" s="130">
        <v>0.0</v>
      </c>
      <c r="AA83" s="130">
        <v>0.0</v>
      </c>
      <c r="AB83" s="130">
        <v>0.0</v>
      </c>
      <c r="AC83" s="130">
        <v>0.0</v>
      </c>
      <c r="AD83" s="130">
        <v>0.0</v>
      </c>
      <c r="AE83" s="130">
        <v>0.0</v>
      </c>
      <c r="AF83" s="130">
        <v>0.0</v>
      </c>
      <c r="AG83" s="130">
        <v>0.0</v>
      </c>
      <c r="AH83" s="130">
        <v>0.0</v>
      </c>
      <c r="AI83" s="107">
        <f t="shared" si="58"/>
        <v>0</v>
      </c>
      <c r="AJ83" s="101"/>
      <c r="AK83" s="102"/>
      <c r="AL83" s="103"/>
      <c r="AM83" s="103"/>
      <c r="AN83" s="103"/>
      <c r="AO83" s="103"/>
      <c r="AP83" s="103"/>
      <c r="AQ83" s="103"/>
      <c r="AR83" s="103"/>
      <c r="AS83" s="103"/>
      <c r="AT83" s="103"/>
      <c r="AU83" s="103"/>
      <c r="AV83" s="103"/>
      <c r="AW83" s="103"/>
      <c r="AX83" s="103"/>
      <c r="AY83" s="103"/>
      <c r="AZ83" s="103"/>
    </row>
    <row r="84" ht="24.0" customHeight="1">
      <c r="A84" s="88"/>
      <c r="B84" s="98" t="s">
        <v>111</v>
      </c>
      <c r="C84" s="130">
        <v>0.0</v>
      </c>
      <c r="D84" s="130">
        <v>0.0</v>
      </c>
      <c r="E84" s="130">
        <v>0.0</v>
      </c>
      <c r="F84" s="130">
        <v>0.0</v>
      </c>
      <c r="G84" s="130">
        <v>0.0</v>
      </c>
      <c r="H84" s="130">
        <v>0.0</v>
      </c>
      <c r="I84" s="130">
        <v>0.0</v>
      </c>
      <c r="J84" s="130">
        <v>0.0</v>
      </c>
      <c r="K84" s="130">
        <v>0.0</v>
      </c>
      <c r="L84" s="130">
        <v>0.0</v>
      </c>
      <c r="M84" s="130">
        <v>0.0</v>
      </c>
      <c r="N84" s="130">
        <v>0.0</v>
      </c>
      <c r="O84" s="130">
        <v>0.0</v>
      </c>
      <c r="P84" s="130">
        <v>0.0</v>
      </c>
      <c r="Q84" s="130">
        <v>0.0</v>
      </c>
      <c r="R84" s="130">
        <v>0.0</v>
      </c>
      <c r="S84" s="130">
        <v>0.0</v>
      </c>
      <c r="T84" s="130">
        <v>0.0</v>
      </c>
      <c r="U84" s="130">
        <v>0.0</v>
      </c>
      <c r="V84" s="130">
        <v>0.0</v>
      </c>
      <c r="W84" s="130">
        <v>0.0</v>
      </c>
      <c r="X84" s="130">
        <v>0.0</v>
      </c>
      <c r="Y84" s="130">
        <v>0.0</v>
      </c>
      <c r="Z84" s="130">
        <v>0.0</v>
      </c>
      <c r="AA84" s="130">
        <v>0.0</v>
      </c>
      <c r="AB84" s="130">
        <v>0.0</v>
      </c>
      <c r="AC84" s="130">
        <v>0.0</v>
      </c>
      <c r="AD84" s="130">
        <v>0.0</v>
      </c>
      <c r="AE84" s="130">
        <v>0.0</v>
      </c>
      <c r="AF84" s="130">
        <v>0.0</v>
      </c>
      <c r="AG84" s="130">
        <v>0.0</v>
      </c>
      <c r="AH84" s="130">
        <v>0.0</v>
      </c>
      <c r="AI84" s="107">
        <f t="shared" si="58"/>
        <v>0</v>
      </c>
      <c r="AJ84" s="101"/>
      <c r="AK84" s="102"/>
      <c r="AL84" s="103"/>
      <c r="AM84" s="103"/>
      <c r="AN84" s="103"/>
      <c r="AO84" s="103"/>
      <c r="AP84" s="103"/>
      <c r="AQ84" s="103"/>
      <c r="AR84" s="103"/>
      <c r="AS84" s="103"/>
      <c r="AT84" s="103"/>
      <c r="AU84" s="103"/>
      <c r="AV84" s="103"/>
      <c r="AW84" s="103"/>
      <c r="AX84" s="103"/>
      <c r="AY84" s="103"/>
      <c r="AZ84" s="103"/>
    </row>
    <row r="85" ht="24.0" customHeight="1">
      <c r="A85" s="88"/>
      <c r="B85" s="100" t="s">
        <v>112</v>
      </c>
      <c r="C85" s="130">
        <v>0.0</v>
      </c>
      <c r="D85" s="130">
        <v>0.0</v>
      </c>
      <c r="E85" s="130">
        <v>0.0</v>
      </c>
      <c r="F85" s="130">
        <v>0.0</v>
      </c>
      <c r="G85" s="130">
        <v>0.0</v>
      </c>
      <c r="H85" s="130">
        <v>0.0</v>
      </c>
      <c r="I85" s="130">
        <v>0.0</v>
      </c>
      <c r="J85" s="130">
        <v>0.0</v>
      </c>
      <c r="K85" s="130">
        <v>0.0</v>
      </c>
      <c r="L85" s="130">
        <v>0.0</v>
      </c>
      <c r="M85" s="130">
        <v>0.0</v>
      </c>
      <c r="N85" s="130">
        <v>0.0</v>
      </c>
      <c r="O85" s="130">
        <v>0.0</v>
      </c>
      <c r="P85" s="130">
        <v>0.0</v>
      </c>
      <c r="Q85" s="130">
        <v>0.0</v>
      </c>
      <c r="R85" s="130">
        <v>0.0</v>
      </c>
      <c r="S85" s="130">
        <v>0.0</v>
      </c>
      <c r="T85" s="130">
        <v>0.0</v>
      </c>
      <c r="U85" s="130">
        <v>0.0</v>
      </c>
      <c r="V85" s="130">
        <v>0.0</v>
      </c>
      <c r="W85" s="130">
        <v>0.0</v>
      </c>
      <c r="X85" s="130">
        <v>0.0</v>
      </c>
      <c r="Y85" s="130">
        <v>0.0</v>
      </c>
      <c r="Z85" s="130">
        <v>0.0</v>
      </c>
      <c r="AA85" s="130">
        <v>0.0</v>
      </c>
      <c r="AB85" s="130">
        <v>0.0</v>
      </c>
      <c r="AC85" s="130">
        <v>0.0</v>
      </c>
      <c r="AD85" s="130">
        <v>0.0</v>
      </c>
      <c r="AE85" s="130">
        <v>0.0</v>
      </c>
      <c r="AF85" s="130">
        <v>0.0</v>
      </c>
      <c r="AG85" s="130">
        <v>0.0</v>
      </c>
      <c r="AH85" s="130">
        <v>0.0</v>
      </c>
      <c r="AI85" s="107">
        <f t="shared" si="58"/>
        <v>0</v>
      </c>
      <c r="AJ85" s="101">
        <f>SUM(AI82:AI85)</f>
        <v>0</v>
      </c>
      <c r="AK85" s="102"/>
      <c r="AL85" s="103"/>
      <c r="AM85" s="103"/>
      <c r="AN85" s="103"/>
      <c r="AO85" s="103"/>
      <c r="AP85" s="103"/>
      <c r="AQ85" s="103"/>
      <c r="AR85" s="103"/>
      <c r="AS85" s="103"/>
      <c r="AT85" s="103"/>
      <c r="AU85" s="103"/>
      <c r="AV85" s="103"/>
      <c r="AW85" s="103"/>
      <c r="AX85" s="103"/>
      <c r="AY85" s="103"/>
      <c r="AZ85" s="103"/>
    </row>
    <row r="86" ht="24.0" customHeight="1">
      <c r="A86" s="88"/>
      <c r="B86" s="106" t="s">
        <v>113</v>
      </c>
      <c r="C86" s="130">
        <v>0.0</v>
      </c>
      <c r="D86" s="130">
        <v>0.0</v>
      </c>
      <c r="E86" s="130">
        <v>0.0</v>
      </c>
      <c r="F86" s="130">
        <v>0.0</v>
      </c>
      <c r="G86" s="130">
        <v>0.0</v>
      </c>
      <c r="H86" s="130">
        <v>0.0</v>
      </c>
      <c r="I86" s="130">
        <v>0.0</v>
      </c>
      <c r="J86" s="130">
        <v>0.0</v>
      </c>
      <c r="K86" s="130">
        <v>0.0</v>
      </c>
      <c r="L86" s="130">
        <v>0.0</v>
      </c>
      <c r="M86" s="130">
        <v>0.0</v>
      </c>
      <c r="N86" s="130">
        <v>0.0</v>
      </c>
      <c r="O86" s="130">
        <v>0.0</v>
      </c>
      <c r="P86" s="130">
        <v>0.0</v>
      </c>
      <c r="Q86" s="130">
        <v>0.0</v>
      </c>
      <c r="R86" s="130">
        <v>0.0</v>
      </c>
      <c r="S86" s="130">
        <v>0.0</v>
      </c>
      <c r="T86" s="130">
        <v>0.0</v>
      </c>
      <c r="U86" s="130">
        <v>0.0</v>
      </c>
      <c r="V86" s="130">
        <v>0.0</v>
      </c>
      <c r="W86" s="130">
        <v>0.0</v>
      </c>
      <c r="X86" s="130">
        <v>0.0</v>
      </c>
      <c r="Y86" s="130">
        <v>0.0</v>
      </c>
      <c r="Z86" s="130">
        <v>0.0</v>
      </c>
      <c r="AA86" s="130">
        <v>0.0</v>
      </c>
      <c r="AB86" s="130">
        <v>0.0</v>
      </c>
      <c r="AC86" s="130">
        <v>0.0</v>
      </c>
      <c r="AD86" s="130">
        <v>0.0</v>
      </c>
      <c r="AE86" s="130">
        <v>0.0</v>
      </c>
      <c r="AF86" s="130">
        <v>0.0</v>
      </c>
      <c r="AG86" s="130">
        <v>0.0</v>
      </c>
      <c r="AH86" s="130">
        <v>0.0</v>
      </c>
      <c r="AI86" s="107">
        <f t="shared" si="58"/>
        <v>0</v>
      </c>
      <c r="AJ86" s="101">
        <f>AJ85-AI86</f>
        <v>0</v>
      </c>
      <c r="AK86" s="102"/>
      <c r="AL86" s="103"/>
      <c r="AM86" s="103"/>
      <c r="AN86" s="103"/>
      <c r="AO86" s="103"/>
      <c r="AP86" s="103"/>
      <c r="AQ86" s="103"/>
      <c r="AR86" s="103"/>
      <c r="AS86" s="103"/>
      <c r="AT86" s="103"/>
      <c r="AU86" s="103"/>
      <c r="AV86" s="103"/>
      <c r="AW86" s="103"/>
      <c r="AX86" s="103"/>
      <c r="AY86" s="103"/>
      <c r="AZ86" s="103"/>
    </row>
    <row r="87" ht="24.0" customHeight="1">
      <c r="A87" s="88"/>
      <c r="B87" s="109" t="s">
        <v>115</v>
      </c>
      <c r="C87" s="110" t="str">
        <f t="shared" ref="C87:AI87" si="59">IFERROR(IF(C86=0,(-C84/C82)-1,C88),"")</f>
        <v/>
      </c>
      <c r="D87" s="110" t="str">
        <f t="shared" si="59"/>
        <v/>
      </c>
      <c r="E87" s="110" t="str">
        <f t="shared" si="59"/>
        <v/>
      </c>
      <c r="F87" s="110" t="str">
        <f t="shared" si="59"/>
        <v/>
      </c>
      <c r="G87" s="110" t="str">
        <f t="shared" si="59"/>
        <v/>
      </c>
      <c r="H87" s="110" t="str">
        <f t="shared" si="59"/>
        <v/>
      </c>
      <c r="I87" s="110" t="str">
        <f t="shared" si="59"/>
        <v/>
      </c>
      <c r="J87" s="110" t="str">
        <f t="shared" si="59"/>
        <v/>
      </c>
      <c r="K87" s="110" t="str">
        <f t="shared" si="59"/>
        <v/>
      </c>
      <c r="L87" s="110" t="str">
        <f t="shared" si="59"/>
        <v/>
      </c>
      <c r="M87" s="110" t="str">
        <f t="shared" si="59"/>
        <v/>
      </c>
      <c r="N87" s="110" t="str">
        <f t="shared" si="59"/>
        <v/>
      </c>
      <c r="O87" s="110" t="str">
        <f t="shared" si="59"/>
        <v/>
      </c>
      <c r="P87" s="110" t="str">
        <f t="shared" si="59"/>
        <v/>
      </c>
      <c r="Q87" s="110" t="str">
        <f t="shared" si="59"/>
        <v/>
      </c>
      <c r="R87" s="110" t="str">
        <f t="shared" si="59"/>
        <v/>
      </c>
      <c r="S87" s="110" t="str">
        <f t="shared" si="59"/>
        <v/>
      </c>
      <c r="T87" s="110" t="str">
        <f t="shared" si="59"/>
        <v/>
      </c>
      <c r="U87" s="110" t="str">
        <f t="shared" si="59"/>
        <v/>
      </c>
      <c r="V87" s="110" t="str">
        <f t="shared" si="59"/>
        <v/>
      </c>
      <c r="W87" s="110" t="str">
        <f t="shared" si="59"/>
        <v/>
      </c>
      <c r="X87" s="110" t="str">
        <f t="shared" si="59"/>
        <v/>
      </c>
      <c r="Y87" s="110" t="str">
        <f t="shared" si="59"/>
        <v/>
      </c>
      <c r="Z87" s="110" t="str">
        <f t="shared" si="59"/>
        <v/>
      </c>
      <c r="AA87" s="110" t="str">
        <f t="shared" si="59"/>
        <v/>
      </c>
      <c r="AB87" s="110" t="str">
        <f t="shared" si="59"/>
        <v/>
      </c>
      <c r="AC87" s="110" t="str">
        <f t="shared" si="59"/>
        <v/>
      </c>
      <c r="AD87" s="110" t="str">
        <f t="shared" si="59"/>
        <v/>
      </c>
      <c r="AE87" s="110" t="str">
        <f t="shared" si="59"/>
        <v/>
      </c>
      <c r="AF87" s="110" t="str">
        <f t="shared" si="59"/>
        <v/>
      </c>
      <c r="AG87" s="110" t="str">
        <f t="shared" si="59"/>
        <v/>
      </c>
      <c r="AH87" s="110" t="str">
        <f t="shared" si="59"/>
        <v/>
      </c>
      <c r="AI87" s="112" t="str">
        <f t="shared" si="59"/>
        <v/>
      </c>
      <c r="AJ87" s="101">
        <f>AI86*AI87</f>
        <v>0</v>
      </c>
      <c r="AK87" s="102"/>
      <c r="AL87" s="103"/>
      <c r="AM87" s="103"/>
      <c r="AN87" s="103"/>
      <c r="AO87" s="103"/>
      <c r="AP87" s="103"/>
      <c r="AQ87" s="103"/>
      <c r="AR87" s="103"/>
      <c r="AS87" s="103"/>
      <c r="AT87" s="103"/>
      <c r="AU87" s="103"/>
      <c r="AV87" s="103"/>
      <c r="AW87" s="103"/>
      <c r="AX87" s="103"/>
      <c r="AY87" s="103"/>
      <c r="AZ87" s="103"/>
    </row>
    <row r="88" ht="1.5" customHeight="1">
      <c r="A88" s="88"/>
      <c r="B88" s="113" t="s">
        <v>116</v>
      </c>
      <c r="C88" s="138" t="str">
        <f t="shared" ref="C88:AI88" si="60">IFERROR(IF(AND(C82&lt;&gt;0,C86=""),"",(C86/(C82+C83+C84+C85))-1),"")</f>
        <v/>
      </c>
      <c r="D88" s="138" t="str">
        <f t="shared" si="60"/>
        <v/>
      </c>
      <c r="E88" s="138" t="str">
        <f t="shared" si="60"/>
        <v/>
      </c>
      <c r="F88" s="138" t="str">
        <f t="shared" si="60"/>
        <v/>
      </c>
      <c r="G88" s="138" t="str">
        <f t="shared" si="60"/>
        <v/>
      </c>
      <c r="H88" s="138" t="str">
        <f t="shared" si="60"/>
        <v/>
      </c>
      <c r="I88" s="138" t="str">
        <f t="shared" si="60"/>
        <v/>
      </c>
      <c r="J88" s="138" t="str">
        <f t="shared" si="60"/>
        <v/>
      </c>
      <c r="K88" s="138" t="str">
        <f t="shared" si="60"/>
        <v/>
      </c>
      <c r="L88" s="138" t="str">
        <f t="shared" si="60"/>
        <v/>
      </c>
      <c r="M88" s="138" t="str">
        <f t="shared" si="60"/>
        <v/>
      </c>
      <c r="N88" s="138" t="str">
        <f t="shared" si="60"/>
        <v/>
      </c>
      <c r="O88" s="138" t="str">
        <f t="shared" si="60"/>
        <v/>
      </c>
      <c r="P88" s="138" t="str">
        <f t="shared" si="60"/>
        <v/>
      </c>
      <c r="Q88" s="138" t="str">
        <f t="shared" si="60"/>
        <v/>
      </c>
      <c r="R88" s="138" t="str">
        <f t="shared" si="60"/>
        <v/>
      </c>
      <c r="S88" s="138" t="str">
        <f t="shared" si="60"/>
        <v/>
      </c>
      <c r="T88" s="138" t="str">
        <f t="shared" si="60"/>
        <v/>
      </c>
      <c r="U88" s="138" t="str">
        <f t="shared" si="60"/>
        <v/>
      </c>
      <c r="V88" s="138" t="str">
        <f t="shared" si="60"/>
        <v/>
      </c>
      <c r="W88" s="138" t="str">
        <f t="shared" si="60"/>
        <v/>
      </c>
      <c r="X88" s="138" t="str">
        <f t="shared" si="60"/>
        <v/>
      </c>
      <c r="Y88" s="138" t="str">
        <f t="shared" si="60"/>
        <v/>
      </c>
      <c r="Z88" s="138" t="str">
        <f t="shared" si="60"/>
        <v/>
      </c>
      <c r="AA88" s="138" t="str">
        <f t="shared" si="60"/>
        <v/>
      </c>
      <c r="AB88" s="138" t="str">
        <f t="shared" si="60"/>
        <v/>
      </c>
      <c r="AC88" s="138" t="str">
        <f t="shared" si="60"/>
        <v/>
      </c>
      <c r="AD88" s="138" t="str">
        <f t="shared" si="60"/>
        <v/>
      </c>
      <c r="AE88" s="138" t="str">
        <f t="shared" si="60"/>
        <v/>
      </c>
      <c r="AF88" s="138" t="str">
        <f t="shared" si="60"/>
        <v/>
      </c>
      <c r="AG88" s="138" t="str">
        <f t="shared" si="60"/>
        <v/>
      </c>
      <c r="AH88" s="138" t="str">
        <f t="shared" si="60"/>
        <v/>
      </c>
      <c r="AI88" s="139" t="str">
        <f t="shared" si="60"/>
        <v/>
      </c>
      <c r="AJ88" s="101"/>
      <c r="AK88" s="102"/>
      <c r="AL88" s="103"/>
      <c r="AM88" s="103"/>
      <c r="AN88" s="103"/>
      <c r="AO88" s="103"/>
      <c r="AP88" s="103"/>
      <c r="AQ88" s="103"/>
      <c r="AR88" s="103"/>
      <c r="AS88" s="103"/>
      <c r="AT88" s="103"/>
      <c r="AU88" s="103"/>
      <c r="AV88" s="103"/>
      <c r="AW88" s="103"/>
      <c r="AX88" s="103"/>
      <c r="AY88" s="103"/>
      <c r="AZ88" s="103"/>
    </row>
    <row r="89" ht="24.0" customHeight="1">
      <c r="A89" s="115"/>
      <c r="B89" s="116" t="s">
        <v>117</v>
      </c>
      <c r="C89" s="117" t="str">
        <f t="shared" ref="C89:AI89" si="61">IFERROR(C86/$AI$86,"")</f>
        <v/>
      </c>
      <c r="D89" s="117" t="str">
        <f t="shared" si="61"/>
        <v/>
      </c>
      <c r="E89" s="117" t="str">
        <f t="shared" si="61"/>
        <v/>
      </c>
      <c r="F89" s="117" t="str">
        <f t="shared" si="61"/>
        <v/>
      </c>
      <c r="G89" s="117" t="str">
        <f t="shared" si="61"/>
        <v/>
      </c>
      <c r="H89" s="117" t="str">
        <f t="shared" si="61"/>
        <v/>
      </c>
      <c r="I89" s="117" t="str">
        <f t="shared" si="61"/>
        <v/>
      </c>
      <c r="J89" s="117" t="str">
        <f t="shared" si="61"/>
        <v/>
      </c>
      <c r="K89" s="117" t="str">
        <f t="shared" si="61"/>
        <v/>
      </c>
      <c r="L89" s="117" t="str">
        <f t="shared" si="61"/>
        <v/>
      </c>
      <c r="M89" s="117" t="str">
        <f t="shared" si="61"/>
        <v/>
      </c>
      <c r="N89" s="117" t="str">
        <f t="shared" si="61"/>
        <v/>
      </c>
      <c r="O89" s="117" t="str">
        <f t="shared" si="61"/>
        <v/>
      </c>
      <c r="P89" s="117" t="str">
        <f t="shared" si="61"/>
        <v/>
      </c>
      <c r="Q89" s="117" t="str">
        <f t="shared" si="61"/>
        <v/>
      </c>
      <c r="R89" s="117" t="str">
        <f t="shared" si="61"/>
        <v/>
      </c>
      <c r="S89" s="117" t="str">
        <f t="shared" si="61"/>
        <v/>
      </c>
      <c r="T89" s="117" t="str">
        <f t="shared" si="61"/>
        <v/>
      </c>
      <c r="U89" s="117" t="str">
        <f t="shared" si="61"/>
        <v/>
      </c>
      <c r="V89" s="117" t="str">
        <f t="shared" si="61"/>
        <v/>
      </c>
      <c r="W89" s="117" t="str">
        <f t="shared" si="61"/>
        <v/>
      </c>
      <c r="X89" s="117" t="str">
        <f t="shared" si="61"/>
        <v/>
      </c>
      <c r="Y89" s="117" t="str">
        <f t="shared" si="61"/>
        <v/>
      </c>
      <c r="Z89" s="117" t="str">
        <f t="shared" si="61"/>
        <v/>
      </c>
      <c r="AA89" s="117" t="str">
        <f t="shared" si="61"/>
        <v/>
      </c>
      <c r="AB89" s="117" t="str">
        <f t="shared" si="61"/>
        <v/>
      </c>
      <c r="AC89" s="117" t="str">
        <f t="shared" si="61"/>
        <v/>
      </c>
      <c r="AD89" s="117" t="str">
        <f t="shared" si="61"/>
        <v/>
      </c>
      <c r="AE89" s="117" t="str">
        <f t="shared" si="61"/>
        <v/>
      </c>
      <c r="AF89" s="117" t="str">
        <f t="shared" si="61"/>
        <v/>
      </c>
      <c r="AG89" s="117" t="str">
        <f t="shared" si="61"/>
        <v/>
      </c>
      <c r="AH89" s="117" t="str">
        <f t="shared" si="61"/>
        <v/>
      </c>
      <c r="AI89" s="118" t="str">
        <f t="shared" si="61"/>
        <v/>
      </c>
      <c r="AJ89" s="119">
        <f>AI86-AI82</f>
        <v>0</v>
      </c>
      <c r="AK89" s="120" t="str">
        <f>AI86/AI82-1</f>
        <v>#DIV/0!</v>
      </c>
      <c r="AL89" s="103"/>
      <c r="AM89" s="103"/>
      <c r="AN89" s="103"/>
      <c r="AO89" s="103"/>
      <c r="AP89" s="103"/>
      <c r="AQ89" s="103"/>
      <c r="AR89" s="103"/>
      <c r="AS89" s="103"/>
      <c r="AT89" s="103"/>
      <c r="AU89" s="103"/>
      <c r="AV89" s="103"/>
      <c r="AW89" s="103"/>
      <c r="AX89" s="103"/>
      <c r="AY89" s="103"/>
      <c r="AZ89" s="103"/>
    </row>
    <row r="90" ht="24.0" customHeight="1">
      <c r="A90" s="121">
        <v>45992.0</v>
      </c>
      <c r="B90" s="122" t="s">
        <v>118</v>
      </c>
      <c r="C90" s="123">
        <f>IF(C94="","",C86)</f>
        <v>0</v>
      </c>
      <c r="D90" s="123">
        <f t="shared" ref="D90:AH90" si="62">IF(D86="","",D86)</f>
        <v>0</v>
      </c>
      <c r="E90" s="123">
        <f t="shared" si="62"/>
        <v>0</v>
      </c>
      <c r="F90" s="123">
        <f t="shared" si="62"/>
        <v>0</v>
      </c>
      <c r="G90" s="123">
        <f t="shared" si="62"/>
        <v>0</v>
      </c>
      <c r="H90" s="123">
        <f t="shared" si="62"/>
        <v>0</v>
      </c>
      <c r="I90" s="123">
        <f t="shared" si="62"/>
        <v>0</v>
      </c>
      <c r="J90" s="123">
        <f t="shared" si="62"/>
        <v>0</v>
      </c>
      <c r="K90" s="123">
        <f t="shared" si="62"/>
        <v>0</v>
      </c>
      <c r="L90" s="123">
        <f t="shared" si="62"/>
        <v>0</v>
      </c>
      <c r="M90" s="123">
        <f t="shared" si="62"/>
        <v>0</v>
      </c>
      <c r="N90" s="123">
        <f t="shared" si="62"/>
        <v>0</v>
      </c>
      <c r="O90" s="123">
        <f t="shared" si="62"/>
        <v>0</v>
      </c>
      <c r="P90" s="123">
        <f t="shared" si="62"/>
        <v>0</v>
      </c>
      <c r="Q90" s="123">
        <f t="shared" si="62"/>
        <v>0</v>
      </c>
      <c r="R90" s="123">
        <f t="shared" si="62"/>
        <v>0</v>
      </c>
      <c r="S90" s="123">
        <f t="shared" si="62"/>
        <v>0</v>
      </c>
      <c r="T90" s="123">
        <f t="shared" si="62"/>
        <v>0</v>
      </c>
      <c r="U90" s="123">
        <f t="shared" si="62"/>
        <v>0</v>
      </c>
      <c r="V90" s="123">
        <f t="shared" si="62"/>
        <v>0</v>
      </c>
      <c r="W90" s="123">
        <f t="shared" si="62"/>
        <v>0</v>
      </c>
      <c r="X90" s="123">
        <f t="shared" si="62"/>
        <v>0</v>
      </c>
      <c r="Y90" s="123">
        <f t="shared" si="62"/>
        <v>0</v>
      </c>
      <c r="Z90" s="123">
        <f t="shared" si="62"/>
        <v>0</v>
      </c>
      <c r="AA90" s="123">
        <f t="shared" si="62"/>
        <v>0</v>
      </c>
      <c r="AB90" s="123">
        <f t="shared" si="62"/>
        <v>0</v>
      </c>
      <c r="AC90" s="123">
        <f t="shared" si="62"/>
        <v>0</v>
      </c>
      <c r="AD90" s="123">
        <f t="shared" si="62"/>
        <v>0</v>
      </c>
      <c r="AE90" s="123">
        <f t="shared" si="62"/>
        <v>0</v>
      </c>
      <c r="AF90" s="123">
        <f t="shared" si="62"/>
        <v>0</v>
      </c>
      <c r="AG90" s="123">
        <f t="shared" si="62"/>
        <v>0</v>
      </c>
      <c r="AH90" s="123">
        <f t="shared" si="62"/>
        <v>0</v>
      </c>
      <c r="AI90" s="141">
        <f t="shared" ref="AI90:AI94" si="63">SUM(C90:AH90)</f>
        <v>0</v>
      </c>
      <c r="AJ90" s="142"/>
      <c r="AK90" s="143"/>
      <c r="AL90" s="144"/>
      <c r="AM90" s="127"/>
      <c r="AN90" s="128"/>
      <c r="AO90" s="128"/>
      <c r="AP90" s="128"/>
      <c r="AQ90" s="128"/>
      <c r="AR90" s="128"/>
      <c r="AS90" s="128"/>
      <c r="AT90" s="128"/>
      <c r="AU90" s="128"/>
      <c r="AV90" s="128"/>
      <c r="AW90" s="128"/>
      <c r="AX90" s="128"/>
      <c r="AY90" s="128"/>
      <c r="AZ90" s="129"/>
    </row>
    <row r="91" ht="24.0" customHeight="1">
      <c r="A91" s="88"/>
      <c r="B91" s="89" t="s">
        <v>110</v>
      </c>
      <c r="C91" s="130">
        <v>0.0</v>
      </c>
      <c r="D91" s="130">
        <v>0.0</v>
      </c>
      <c r="E91" s="130">
        <v>0.0</v>
      </c>
      <c r="F91" s="130">
        <v>0.0</v>
      </c>
      <c r="G91" s="130">
        <v>0.0</v>
      </c>
      <c r="H91" s="130">
        <v>0.0</v>
      </c>
      <c r="I91" s="130">
        <v>0.0</v>
      </c>
      <c r="J91" s="130">
        <v>0.0</v>
      </c>
      <c r="K91" s="130">
        <v>0.0</v>
      </c>
      <c r="L91" s="130">
        <v>0.0</v>
      </c>
      <c r="M91" s="130">
        <v>0.0</v>
      </c>
      <c r="N91" s="130">
        <v>0.0</v>
      </c>
      <c r="O91" s="130">
        <v>0.0</v>
      </c>
      <c r="P91" s="130">
        <v>0.0</v>
      </c>
      <c r="Q91" s="130">
        <v>0.0</v>
      </c>
      <c r="R91" s="130">
        <v>0.0</v>
      </c>
      <c r="S91" s="130">
        <v>0.0</v>
      </c>
      <c r="T91" s="130">
        <v>0.0</v>
      </c>
      <c r="U91" s="130">
        <v>0.0</v>
      </c>
      <c r="V91" s="130">
        <v>0.0</v>
      </c>
      <c r="W91" s="130">
        <v>0.0</v>
      </c>
      <c r="X91" s="130">
        <v>0.0</v>
      </c>
      <c r="Y91" s="130">
        <v>0.0</v>
      </c>
      <c r="Z91" s="130">
        <v>0.0</v>
      </c>
      <c r="AA91" s="130">
        <v>0.0</v>
      </c>
      <c r="AB91" s="130">
        <v>0.0</v>
      </c>
      <c r="AC91" s="130">
        <v>0.0</v>
      </c>
      <c r="AD91" s="130">
        <v>0.0</v>
      </c>
      <c r="AE91" s="130">
        <v>0.0</v>
      </c>
      <c r="AF91" s="130">
        <v>0.0</v>
      </c>
      <c r="AG91" s="130">
        <v>0.0</v>
      </c>
      <c r="AH91" s="130">
        <v>0.0</v>
      </c>
      <c r="AI91" s="107">
        <f t="shared" si="63"/>
        <v>0</v>
      </c>
      <c r="AJ91" s="101"/>
      <c r="AK91" s="102"/>
      <c r="AL91" s="103"/>
      <c r="AM91" s="103"/>
      <c r="AN91" s="103"/>
      <c r="AO91" s="103"/>
      <c r="AP91" s="103"/>
      <c r="AQ91" s="103"/>
      <c r="AR91" s="103"/>
      <c r="AS91" s="103"/>
      <c r="AT91" s="103"/>
      <c r="AU91" s="103"/>
      <c r="AV91" s="103"/>
      <c r="AW91" s="103"/>
      <c r="AX91" s="103"/>
      <c r="AY91" s="103"/>
      <c r="AZ91" s="103"/>
    </row>
    <row r="92" ht="24.0" customHeight="1">
      <c r="A92" s="88"/>
      <c r="B92" s="98" t="s">
        <v>111</v>
      </c>
      <c r="C92" s="130">
        <v>0.0</v>
      </c>
      <c r="D92" s="130">
        <v>0.0</v>
      </c>
      <c r="E92" s="130">
        <v>0.0</v>
      </c>
      <c r="F92" s="130">
        <v>0.0</v>
      </c>
      <c r="G92" s="130">
        <v>0.0</v>
      </c>
      <c r="H92" s="130">
        <v>0.0</v>
      </c>
      <c r="I92" s="130">
        <v>0.0</v>
      </c>
      <c r="J92" s="130">
        <v>0.0</v>
      </c>
      <c r="K92" s="130">
        <v>0.0</v>
      </c>
      <c r="L92" s="130">
        <v>0.0</v>
      </c>
      <c r="M92" s="130">
        <v>0.0</v>
      </c>
      <c r="N92" s="130">
        <v>0.0</v>
      </c>
      <c r="O92" s="130">
        <v>0.0</v>
      </c>
      <c r="P92" s="130">
        <v>0.0</v>
      </c>
      <c r="Q92" s="130">
        <v>0.0</v>
      </c>
      <c r="R92" s="130">
        <v>0.0</v>
      </c>
      <c r="S92" s="130">
        <v>0.0</v>
      </c>
      <c r="T92" s="130">
        <v>0.0</v>
      </c>
      <c r="U92" s="130">
        <v>0.0</v>
      </c>
      <c r="V92" s="130">
        <v>0.0</v>
      </c>
      <c r="W92" s="130">
        <v>0.0</v>
      </c>
      <c r="X92" s="130">
        <v>0.0</v>
      </c>
      <c r="Y92" s="130">
        <v>0.0</v>
      </c>
      <c r="Z92" s="130">
        <v>0.0</v>
      </c>
      <c r="AA92" s="130">
        <v>0.0</v>
      </c>
      <c r="AB92" s="130">
        <v>0.0</v>
      </c>
      <c r="AC92" s="130">
        <v>0.0</v>
      </c>
      <c r="AD92" s="130">
        <v>0.0</v>
      </c>
      <c r="AE92" s="130">
        <v>0.0</v>
      </c>
      <c r="AF92" s="130">
        <v>0.0</v>
      </c>
      <c r="AG92" s="130">
        <v>0.0</v>
      </c>
      <c r="AH92" s="130">
        <v>0.0</v>
      </c>
      <c r="AI92" s="107">
        <f t="shared" si="63"/>
        <v>0</v>
      </c>
      <c r="AJ92" s="101"/>
      <c r="AK92" s="102"/>
      <c r="AL92" s="103"/>
      <c r="AM92" s="103"/>
      <c r="AN92" s="103"/>
      <c r="AO92" s="103"/>
      <c r="AP92" s="103"/>
      <c r="AQ92" s="103"/>
      <c r="AR92" s="103"/>
      <c r="AS92" s="103"/>
      <c r="AT92" s="103"/>
      <c r="AU92" s="103"/>
      <c r="AV92" s="103"/>
      <c r="AW92" s="103"/>
      <c r="AX92" s="103"/>
      <c r="AY92" s="103"/>
      <c r="AZ92" s="103"/>
    </row>
    <row r="93" ht="24.0" customHeight="1">
      <c r="A93" s="88"/>
      <c r="B93" s="100" t="s">
        <v>112</v>
      </c>
      <c r="C93" s="130">
        <v>0.0</v>
      </c>
      <c r="D93" s="130">
        <v>0.0</v>
      </c>
      <c r="E93" s="130">
        <v>0.0</v>
      </c>
      <c r="F93" s="130">
        <v>0.0</v>
      </c>
      <c r="G93" s="130">
        <v>0.0</v>
      </c>
      <c r="H93" s="130">
        <v>0.0</v>
      </c>
      <c r="I93" s="130">
        <v>0.0</v>
      </c>
      <c r="J93" s="130">
        <v>0.0</v>
      </c>
      <c r="K93" s="130">
        <v>0.0</v>
      </c>
      <c r="L93" s="130">
        <v>0.0</v>
      </c>
      <c r="M93" s="130">
        <v>0.0</v>
      </c>
      <c r="N93" s="130">
        <v>0.0</v>
      </c>
      <c r="O93" s="130">
        <v>0.0</v>
      </c>
      <c r="P93" s="130">
        <v>0.0</v>
      </c>
      <c r="Q93" s="130">
        <v>0.0</v>
      </c>
      <c r="R93" s="130">
        <v>0.0</v>
      </c>
      <c r="S93" s="130">
        <v>0.0</v>
      </c>
      <c r="T93" s="130">
        <v>0.0</v>
      </c>
      <c r="U93" s="130">
        <v>0.0</v>
      </c>
      <c r="V93" s="130">
        <v>0.0</v>
      </c>
      <c r="W93" s="130">
        <v>0.0</v>
      </c>
      <c r="X93" s="130">
        <v>0.0</v>
      </c>
      <c r="Y93" s="130">
        <v>0.0</v>
      </c>
      <c r="Z93" s="130">
        <v>0.0</v>
      </c>
      <c r="AA93" s="130">
        <v>0.0</v>
      </c>
      <c r="AB93" s="130">
        <v>0.0</v>
      </c>
      <c r="AC93" s="130">
        <v>0.0</v>
      </c>
      <c r="AD93" s="130">
        <v>0.0</v>
      </c>
      <c r="AE93" s="130">
        <v>0.0</v>
      </c>
      <c r="AF93" s="130">
        <v>0.0</v>
      </c>
      <c r="AG93" s="130">
        <v>0.0</v>
      </c>
      <c r="AH93" s="130">
        <v>0.0</v>
      </c>
      <c r="AI93" s="107">
        <f t="shared" si="63"/>
        <v>0</v>
      </c>
      <c r="AJ93" s="101">
        <f>SUM(AI90:AI93)</f>
        <v>0</v>
      </c>
      <c r="AK93" s="102"/>
      <c r="AL93" s="103"/>
      <c r="AM93" s="103"/>
      <c r="AN93" s="103"/>
      <c r="AO93" s="103"/>
      <c r="AP93" s="103"/>
      <c r="AQ93" s="103"/>
      <c r="AR93" s="103"/>
      <c r="AS93" s="103"/>
      <c r="AT93" s="103"/>
      <c r="AU93" s="103"/>
      <c r="AV93" s="103"/>
      <c r="AW93" s="103"/>
      <c r="AX93" s="103"/>
      <c r="AY93" s="103"/>
      <c r="AZ93" s="103"/>
    </row>
    <row r="94" ht="24.0" customHeight="1">
      <c r="A94" s="88"/>
      <c r="B94" s="106" t="s">
        <v>113</v>
      </c>
      <c r="C94" s="130">
        <v>0.0</v>
      </c>
      <c r="D94" s="130">
        <v>0.0</v>
      </c>
      <c r="E94" s="130">
        <v>0.0</v>
      </c>
      <c r="F94" s="130">
        <v>0.0</v>
      </c>
      <c r="G94" s="130">
        <v>0.0</v>
      </c>
      <c r="H94" s="130">
        <v>0.0</v>
      </c>
      <c r="I94" s="130">
        <v>0.0</v>
      </c>
      <c r="J94" s="130">
        <v>0.0</v>
      </c>
      <c r="K94" s="130">
        <v>0.0</v>
      </c>
      <c r="L94" s="130">
        <v>0.0</v>
      </c>
      <c r="M94" s="130">
        <v>0.0</v>
      </c>
      <c r="N94" s="130">
        <v>0.0</v>
      </c>
      <c r="O94" s="130">
        <v>0.0</v>
      </c>
      <c r="P94" s="130">
        <v>0.0</v>
      </c>
      <c r="Q94" s="130">
        <v>0.0</v>
      </c>
      <c r="R94" s="130">
        <v>0.0</v>
      </c>
      <c r="S94" s="130">
        <v>0.0</v>
      </c>
      <c r="T94" s="130">
        <v>0.0</v>
      </c>
      <c r="U94" s="130">
        <v>0.0</v>
      </c>
      <c r="V94" s="130">
        <v>0.0</v>
      </c>
      <c r="W94" s="130">
        <v>0.0</v>
      </c>
      <c r="X94" s="130">
        <v>0.0</v>
      </c>
      <c r="Y94" s="130">
        <v>0.0</v>
      </c>
      <c r="Z94" s="130">
        <v>0.0</v>
      </c>
      <c r="AA94" s="130">
        <v>0.0</v>
      </c>
      <c r="AB94" s="130">
        <v>0.0</v>
      </c>
      <c r="AC94" s="130">
        <v>0.0</v>
      </c>
      <c r="AD94" s="130">
        <v>0.0</v>
      </c>
      <c r="AE94" s="130">
        <v>0.0</v>
      </c>
      <c r="AF94" s="130">
        <v>0.0</v>
      </c>
      <c r="AG94" s="130">
        <v>0.0</v>
      </c>
      <c r="AH94" s="130">
        <v>0.0</v>
      </c>
      <c r="AI94" s="107">
        <f t="shared" si="63"/>
        <v>0</v>
      </c>
      <c r="AJ94" s="101">
        <f>AJ93-AI94</f>
        <v>0</v>
      </c>
      <c r="AK94" s="102"/>
      <c r="AL94" s="103"/>
      <c r="AM94" s="103"/>
      <c r="AN94" s="103"/>
      <c r="AO94" s="103"/>
      <c r="AP94" s="103"/>
      <c r="AQ94" s="103"/>
      <c r="AR94" s="103"/>
      <c r="AS94" s="103"/>
      <c r="AT94" s="103"/>
      <c r="AU94" s="103"/>
      <c r="AV94" s="103"/>
      <c r="AW94" s="103"/>
      <c r="AX94" s="103"/>
      <c r="AY94" s="103"/>
      <c r="AZ94" s="103"/>
    </row>
    <row r="95" ht="20.25" customHeight="1">
      <c r="A95" s="88"/>
      <c r="B95" s="109" t="s">
        <v>115</v>
      </c>
      <c r="C95" s="110" t="str">
        <f t="shared" ref="C95:AI95" si="64">IFERROR(IF(C94=0,(-C92/C90)-1,C96),"")</f>
        <v/>
      </c>
      <c r="D95" s="110" t="str">
        <f t="shared" si="64"/>
        <v/>
      </c>
      <c r="E95" s="110" t="str">
        <f t="shared" si="64"/>
        <v/>
      </c>
      <c r="F95" s="110" t="str">
        <f t="shared" si="64"/>
        <v/>
      </c>
      <c r="G95" s="110" t="str">
        <f t="shared" si="64"/>
        <v/>
      </c>
      <c r="H95" s="110" t="str">
        <f t="shared" si="64"/>
        <v/>
      </c>
      <c r="I95" s="110" t="str">
        <f t="shared" si="64"/>
        <v/>
      </c>
      <c r="J95" s="110" t="str">
        <f t="shared" si="64"/>
        <v/>
      </c>
      <c r="K95" s="110" t="str">
        <f t="shared" si="64"/>
        <v/>
      </c>
      <c r="L95" s="110" t="str">
        <f t="shared" si="64"/>
        <v/>
      </c>
      <c r="M95" s="110" t="str">
        <f t="shared" si="64"/>
        <v/>
      </c>
      <c r="N95" s="110" t="str">
        <f t="shared" si="64"/>
        <v/>
      </c>
      <c r="O95" s="110" t="str">
        <f t="shared" si="64"/>
        <v/>
      </c>
      <c r="P95" s="110" t="str">
        <f t="shared" si="64"/>
        <v/>
      </c>
      <c r="Q95" s="110" t="str">
        <f t="shared" si="64"/>
        <v/>
      </c>
      <c r="R95" s="110" t="str">
        <f t="shared" si="64"/>
        <v/>
      </c>
      <c r="S95" s="110" t="str">
        <f t="shared" si="64"/>
        <v/>
      </c>
      <c r="T95" s="110" t="str">
        <f t="shared" si="64"/>
        <v/>
      </c>
      <c r="U95" s="110" t="str">
        <f t="shared" si="64"/>
        <v/>
      </c>
      <c r="V95" s="110" t="str">
        <f t="shared" si="64"/>
        <v/>
      </c>
      <c r="W95" s="110" t="str">
        <f t="shared" si="64"/>
        <v/>
      </c>
      <c r="X95" s="110" t="str">
        <f t="shared" si="64"/>
        <v/>
      </c>
      <c r="Y95" s="110" t="str">
        <f t="shared" si="64"/>
        <v/>
      </c>
      <c r="Z95" s="110" t="str">
        <f t="shared" si="64"/>
        <v/>
      </c>
      <c r="AA95" s="110" t="str">
        <f t="shared" si="64"/>
        <v/>
      </c>
      <c r="AB95" s="110" t="str">
        <f t="shared" si="64"/>
        <v/>
      </c>
      <c r="AC95" s="110" t="str">
        <f t="shared" si="64"/>
        <v/>
      </c>
      <c r="AD95" s="110" t="str">
        <f t="shared" si="64"/>
        <v/>
      </c>
      <c r="AE95" s="110" t="str">
        <f t="shared" si="64"/>
        <v/>
      </c>
      <c r="AF95" s="110" t="str">
        <f t="shared" si="64"/>
        <v/>
      </c>
      <c r="AG95" s="110" t="str">
        <f t="shared" si="64"/>
        <v/>
      </c>
      <c r="AH95" s="110" t="str">
        <f t="shared" si="64"/>
        <v/>
      </c>
      <c r="AI95" s="112" t="str">
        <f t="shared" si="64"/>
        <v/>
      </c>
      <c r="AJ95" s="101">
        <f>AI94*AI95</f>
        <v>0</v>
      </c>
      <c r="AK95" s="102"/>
      <c r="AL95" s="103"/>
      <c r="AM95" s="103"/>
      <c r="AN95" s="103"/>
      <c r="AO95" s="103"/>
      <c r="AP95" s="103"/>
      <c r="AQ95" s="103"/>
      <c r="AR95" s="103"/>
      <c r="AS95" s="103"/>
      <c r="AT95" s="103"/>
      <c r="AU95" s="103"/>
      <c r="AV95" s="103"/>
      <c r="AW95" s="103"/>
      <c r="AX95" s="103"/>
      <c r="AY95" s="103"/>
      <c r="AZ95" s="103"/>
    </row>
    <row r="96" ht="1.5" customHeight="1">
      <c r="A96" s="88"/>
      <c r="B96" s="113" t="s">
        <v>116</v>
      </c>
      <c r="C96" s="138" t="str">
        <f t="shared" ref="C96:AI96" si="65">IFERROR(IF(AND(C90&lt;&gt;0,C94=""),"",(C94/(C90+C91+C92+C93))-1),"")</f>
        <v/>
      </c>
      <c r="D96" s="138" t="str">
        <f t="shared" si="65"/>
        <v/>
      </c>
      <c r="E96" s="138" t="str">
        <f t="shared" si="65"/>
        <v/>
      </c>
      <c r="F96" s="138" t="str">
        <f t="shared" si="65"/>
        <v/>
      </c>
      <c r="G96" s="138" t="str">
        <f t="shared" si="65"/>
        <v/>
      </c>
      <c r="H96" s="138" t="str">
        <f t="shared" si="65"/>
        <v/>
      </c>
      <c r="I96" s="138" t="str">
        <f t="shared" si="65"/>
        <v/>
      </c>
      <c r="J96" s="138" t="str">
        <f t="shared" si="65"/>
        <v/>
      </c>
      <c r="K96" s="138" t="str">
        <f t="shared" si="65"/>
        <v/>
      </c>
      <c r="L96" s="138" t="str">
        <f t="shared" si="65"/>
        <v/>
      </c>
      <c r="M96" s="138" t="str">
        <f t="shared" si="65"/>
        <v/>
      </c>
      <c r="N96" s="138" t="str">
        <f t="shared" si="65"/>
        <v/>
      </c>
      <c r="O96" s="138" t="str">
        <f t="shared" si="65"/>
        <v/>
      </c>
      <c r="P96" s="138" t="str">
        <f t="shared" si="65"/>
        <v/>
      </c>
      <c r="Q96" s="138" t="str">
        <f t="shared" si="65"/>
        <v/>
      </c>
      <c r="R96" s="138" t="str">
        <f t="shared" si="65"/>
        <v/>
      </c>
      <c r="S96" s="138" t="str">
        <f t="shared" si="65"/>
        <v/>
      </c>
      <c r="T96" s="138" t="str">
        <f t="shared" si="65"/>
        <v/>
      </c>
      <c r="U96" s="138" t="str">
        <f t="shared" si="65"/>
        <v/>
      </c>
      <c r="V96" s="138" t="str">
        <f t="shared" si="65"/>
        <v/>
      </c>
      <c r="W96" s="138" t="str">
        <f t="shared" si="65"/>
        <v/>
      </c>
      <c r="X96" s="138" t="str">
        <f t="shared" si="65"/>
        <v/>
      </c>
      <c r="Y96" s="138" t="str">
        <f t="shared" si="65"/>
        <v/>
      </c>
      <c r="Z96" s="138" t="str">
        <f t="shared" si="65"/>
        <v/>
      </c>
      <c r="AA96" s="138" t="str">
        <f t="shared" si="65"/>
        <v/>
      </c>
      <c r="AB96" s="138" t="str">
        <f t="shared" si="65"/>
        <v/>
      </c>
      <c r="AC96" s="138" t="str">
        <f t="shared" si="65"/>
        <v/>
      </c>
      <c r="AD96" s="138" t="str">
        <f t="shared" si="65"/>
        <v/>
      </c>
      <c r="AE96" s="138" t="str">
        <f t="shared" si="65"/>
        <v/>
      </c>
      <c r="AF96" s="138" t="str">
        <f t="shared" si="65"/>
        <v/>
      </c>
      <c r="AG96" s="138" t="str">
        <f t="shared" si="65"/>
        <v/>
      </c>
      <c r="AH96" s="138" t="str">
        <f t="shared" si="65"/>
        <v/>
      </c>
      <c r="AI96" s="139" t="str">
        <f t="shared" si="65"/>
        <v/>
      </c>
      <c r="AJ96" s="101"/>
      <c r="AK96" s="102"/>
      <c r="AL96" s="103"/>
      <c r="AM96" s="103"/>
      <c r="AN96" s="103"/>
      <c r="AO96" s="103"/>
      <c r="AP96" s="103"/>
      <c r="AQ96" s="103"/>
      <c r="AR96" s="103"/>
      <c r="AS96" s="103"/>
      <c r="AT96" s="103"/>
      <c r="AU96" s="103"/>
      <c r="AV96" s="103"/>
      <c r="AW96" s="103"/>
      <c r="AX96" s="103"/>
      <c r="AY96" s="103"/>
      <c r="AZ96" s="103"/>
    </row>
    <row r="97" ht="26.25" customHeight="1">
      <c r="A97" s="115"/>
      <c r="B97" s="116" t="s">
        <v>117</v>
      </c>
      <c r="C97" s="117" t="str">
        <f t="shared" ref="C97:AI97" si="66">IFERROR(C94/$AI$94,"")</f>
        <v/>
      </c>
      <c r="D97" s="117" t="str">
        <f t="shared" si="66"/>
        <v/>
      </c>
      <c r="E97" s="117" t="str">
        <f t="shared" si="66"/>
        <v/>
      </c>
      <c r="F97" s="117" t="str">
        <f t="shared" si="66"/>
        <v/>
      </c>
      <c r="G97" s="117" t="str">
        <f t="shared" si="66"/>
        <v/>
      </c>
      <c r="H97" s="117" t="str">
        <f t="shared" si="66"/>
        <v/>
      </c>
      <c r="I97" s="117" t="str">
        <f t="shared" si="66"/>
        <v/>
      </c>
      <c r="J97" s="117" t="str">
        <f t="shared" si="66"/>
        <v/>
      </c>
      <c r="K97" s="117" t="str">
        <f t="shared" si="66"/>
        <v/>
      </c>
      <c r="L97" s="117" t="str">
        <f t="shared" si="66"/>
        <v/>
      </c>
      <c r="M97" s="117" t="str">
        <f t="shared" si="66"/>
        <v/>
      </c>
      <c r="N97" s="117" t="str">
        <f t="shared" si="66"/>
        <v/>
      </c>
      <c r="O97" s="117" t="str">
        <f t="shared" si="66"/>
        <v/>
      </c>
      <c r="P97" s="117" t="str">
        <f t="shared" si="66"/>
        <v/>
      </c>
      <c r="Q97" s="117" t="str">
        <f t="shared" si="66"/>
        <v/>
      </c>
      <c r="R97" s="117" t="str">
        <f t="shared" si="66"/>
        <v/>
      </c>
      <c r="S97" s="117" t="str">
        <f t="shared" si="66"/>
        <v/>
      </c>
      <c r="T97" s="117" t="str">
        <f t="shared" si="66"/>
        <v/>
      </c>
      <c r="U97" s="117" t="str">
        <f t="shared" si="66"/>
        <v/>
      </c>
      <c r="V97" s="117" t="str">
        <f t="shared" si="66"/>
        <v/>
      </c>
      <c r="W97" s="117" t="str">
        <f t="shared" si="66"/>
        <v/>
      </c>
      <c r="X97" s="117" t="str">
        <f t="shared" si="66"/>
        <v/>
      </c>
      <c r="Y97" s="117" t="str">
        <f t="shared" si="66"/>
        <v/>
      </c>
      <c r="Z97" s="117" t="str">
        <f t="shared" si="66"/>
        <v/>
      </c>
      <c r="AA97" s="117" t="str">
        <f t="shared" si="66"/>
        <v/>
      </c>
      <c r="AB97" s="117" t="str">
        <f t="shared" si="66"/>
        <v/>
      </c>
      <c r="AC97" s="117" t="str">
        <f t="shared" si="66"/>
        <v/>
      </c>
      <c r="AD97" s="117" t="str">
        <f t="shared" si="66"/>
        <v/>
      </c>
      <c r="AE97" s="117" t="str">
        <f t="shared" si="66"/>
        <v/>
      </c>
      <c r="AF97" s="117" t="str">
        <f t="shared" si="66"/>
        <v/>
      </c>
      <c r="AG97" s="117" t="str">
        <f t="shared" si="66"/>
        <v/>
      </c>
      <c r="AH97" s="117" t="str">
        <f t="shared" si="66"/>
        <v/>
      </c>
      <c r="AI97" s="118" t="str">
        <f t="shared" si="66"/>
        <v/>
      </c>
      <c r="AJ97" s="119">
        <f>AI94-AI90</f>
        <v>0</v>
      </c>
      <c r="AK97" s="120" t="str">
        <f>AI94/AI90-1</f>
        <v>#DIV/0!</v>
      </c>
      <c r="AL97" s="103"/>
      <c r="AM97" s="103"/>
      <c r="AN97" s="103"/>
      <c r="AO97" s="103"/>
      <c r="AP97" s="103"/>
      <c r="AQ97" s="103"/>
      <c r="AR97" s="103"/>
      <c r="AS97" s="103"/>
      <c r="AT97" s="103"/>
      <c r="AU97" s="103"/>
      <c r="AV97" s="103"/>
      <c r="AW97" s="103"/>
      <c r="AX97" s="103"/>
      <c r="AY97" s="103"/>
      <c r="AZ97" s="103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55" t="str">
        <f>AA96</f>
        <v/>
      </c>
      <c r="AB98" s="15"/>
      <c r="AC98" s="15"/>
      <c r="AD98" s="15"/>
      <c r="AE98" s="15"/>
      <c r="AF98" s="15"/>
      <c r="AG98" s="15"/>
      <c r="AH98" s="15"/>
      <c r="AI98" s="239"/>
      <c r="AJ98" s="77"/>
      <c r="AK98" s="5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</row>
    <row r="99" ht="15.0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239"/>
      <c r="AJ99" s="77"/>
      <c r="AK99" s="5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</row>
    <row r="100" ht="28.5" customHeight="1">
      <c r="A100" s="240"/>
      <c r="B100" s="241" t="s">
        <v>73</v>
      </c>
      <c r="C100" s="242" t="str">
        <f t="shared" ref="C100:AH100" si="67">IF(C101="","",C1)</f>
        <v>Tesouro Alexa</v>
      </c>
      <c r="D100" s="242" t="str">
        <f t="shared" si="67"/>
        <v>Tesouro Nasser</v>
      </c>
      <c r="E100" s="242" t="str">
        <f t="shared" si="67"/>
        <v>#REF!</v>
      </c>
      <c r="F100" s="242" t="str">
        <f t="shared" si="67"/>
        <v>LFTS11 BTG ALEXA</v>
      </c>
      <c r="G100" s="242" t="str">
        <f t="shared" si="67"/>
        <v>FUNDO BTG DIGITAL SELIC FIRF</v>
      </c>
      <c r="H100" s="242" t="str">
        <f t="shared" si="67"/>
        <v>CDB NU NASSER</v>
      </c>
      <c r="I100" s="242" t="str">
        <f t="shared" si="67"/>
        <v>BB FUNDO-RF LP HIGH</v>
      </c>
      <c r="J100" s="242" t="str">
        <f t="shared" si="67"/>
        <v>FUNDO BTG CDB PLUS FIRF CRPR</v>
      </c>
      <c r="K100" s="242" t="str">
        <f t="shared" si="67"/>
        <v>CDB - SANTANDER </v>
      </c>
      <c r="L100" s="242" t="str">
        <f t="shared" si="67"/>
        <v>MOEDAS - WISE</v>
      </c>
      <c r="M100" s="242" t="str">
        <f t="shared" si="67"/>
        <v>GOLD + CASH</v>
      </c>
      <c r="N100" s="242" t="str">
        <f t="shared" si="67"/>
        <v>INTEL NASSER - ITLC34</v>
      </c>
      <c r="O100" s="242" t="str">
        <f t="shared" si="67"/>
        <v>CRI OPEA IPCA+6,63%2040 BTG</v>
      </c>
      <c r="P100" s="242" t="str">
        <f t="shared" si="67"/>
        <v>DEBENTURE IGUA RIO IRJS15 IPCA+7,60%</v>
      </c>
      <c r="Q100" s="242" t="str">
        <f t="shared" si="67"/>
        <v>TESOURO ALEXA IPCA+ 2029</v>
      </c>
      <c r="R100" s="242" t="str">
        <f t="shared" si="67"/>
        <v>AURA33 NASSER BTG</v>
      </c>
      <c r="S100" s="242" t="str">
        <f t="shared" si="67"/>
        <v>LFT-S11 BTG NASSER</v>
      </c>
      <c r="T100" s="242" t="str">
        <f t="shared" si="67"/>
        <v/>
      </c>
      <c r="U100" s="242" t="str">
        <f t="shared" si="67"/>
        <v>TSLA34 - BTG NASSER</v>
      </c>
      <c r="V100" s="242" t="str">
        <f t="shared" si="67"/>
        <v>MELI34 BTG NASSER</v>
      </c>
      <c r="W100" s="242" t="str">
        <f t="shared" si="67"/>
        <v/>
      </c>
      <c r="X100" s="242" t="str">
        <f t="shared" si="67"/>
        <v>A1MD34 AMD BTG ALEXA</v>
      </c>
      <c r="Y100" s="242" t="str">
        <f t="shared" si="67"/>
        <v/>
      </c>
      <c r="Z100" s="242" t="str">
        <f t="shared" si="67"/>
        <v/>
      </c>
      <c r="AA100" s="242" t="str">
        <f t="shared" si="67"/>
        <v/>
      </c>
      <c r="AB100" s="242" t="str">
        <f t="shared" si="67"/>
        <v/>
      </c>
      <c r="AC100" s="242" t="str">
        <f t="shared" si="67"/>
        <v>AMD A1MD34 BTG NASSER</v>
      </c>
      <c r="AD100" s="242" t="str">
        <f t="shared" si="67"/>
        <v>MELI34 BTG ALEXA</v>
      </c>
      <c r="AE100" s="242" t="str">
        <f t="shared" si="67"/>
        <v/>
      </c>
      <c r="AF100" s="242" t="str">
        <f t="shared" si="67"/>
        <v>TESLA  ALEXA  BTG</v>
      </c>
      <c r="AG100" s="242" t="str">
        <f t="shared" si="67"/>
        <v/>
      </c>
      <c r="AH100" s="242" t="str">
        <f t="shared" si="67"/>
        <v/>
      </c>
      <c r="AI100" s="243" t="s">
        <v>106</v>
      </c>
      <c r="AJ100" s="77"/>
      <c r="AK100" s="55"/>
      <c r="AL100" s="244"/>
      <c r="AM100" s="244"/>
      <c r="AN100" s="244"/>
      <c r="AO100" s="244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</row>
    <row r="101" ht="31.5" customHeight="1">
      <c r="A101" s="245"/>
      <c r="B101" s="246" t="s">
        <v>125</v>
      </c>
      <c r="C101" s="110">
        <f t="shared" ref="C101:D101" si="68">IF(IF(C97="",IF(C89="",IF(C81="",IF(C73="",IF(C65="",IF(C57="",IF(C49="",IF(C41="",IF(C33="",IF(C25="",IF(C17="",C9,C17),C25),C33),C41),C49),C57),C65),C73),C81),C89),C97)=0,"",IF(C97="",IF(C89="",IF(C81="",IF(C73="",IF(C65="",IF(C57="",IF(C49="",IF(C41="",IF(C33="",IF(C25="",IF(C17="",C9,C17),C25),C33),C41),C49),C57),C65),C73),C81),C89),C97))</f>
        <v>0.01015118551</v>
      </c>
      <c r="D101" s="110">
        <f t="shared" si="68"/>
        <v>0.04559436693</v>
      </c>
      <c r="E101" s="110" t="str">
        <f>IF(IF(E97="",IF(E89="",IF(E81="",IF(E73="",IF(E65="",IF(E57="",IF(E49="",IF(E41="",IF(#REF!="",IF(E25="",IF(E17="",E9,E17),E25),#REF!),E41),E49),E57),E65),E73),E81),E89),E97)=0,"",IF(E97="",IF(E89="",IF(E81="",IF(E73="",IF(E65="",IF(E57="",IF(E49="",IF(E41="",IF(#REF!="",IF(E25="",IF(E17="",E9,E17),E25),#REF!),E41),E49),E57),E65),E73),E81),E89),E97))</f>
        <v>#REF!</v>
      </c>
      <c r="F101" s="110">
        <f t="shared" ref="F101:AI101" si="69">IF(IF(F97="",IF(F89="",IF(F81="",IF(F73="",IF(F65="",IF(F57="",IF(F49="",IF(F41="",IF(F33="",IF(F25="",IF(F17="",F9,F17),F25),F33),F41),F49),F57),F65),F73),F81),F89),F97)=0,"",IF(F97="",IF(F89="",IF(F81="",IF(F73="",IF(F65="",IF(F57="",IF(F49="",IF(F41="",IF(F33="",IF(F25="",IF(F17="",F9,F17),F25),F33),F41),F49),F57),F65),F73),F81),F89),F97))</f>
        <v>0.0307271773</v>
      </c>
      <c r="G101" s="110">
        <f t="shared" si="69"/>
        <v>0.03454135518</v>
      </c>
      <c r="H101" s="110">
        <f t="shared" si="69"/>
        <v>0.00464741296</v>
      </c>
      <c r="I101" s="110">
        <f t="shared" si="69"/>
        <v>0.05679687746</v>
      </c>
      <c r="J101" s="110">
        <f t="shared" si="69"/>
        <v>0.07016662248</v>
      </c>
      <c r="K101" s="110">
        <f t="shared" si="69"/>
        <v>0.06866393536</v>
      </c>
      <c r="L101" s="110">
        <f t="shared" si="69"/>
        <v>0.02929697247</v>
      </c>
      <c r="M101" s="110">
        <f t="shared" si="69"/>
        <v>0.1157730925</v>
      </c>
      <c r="N101" s="110">
        <f t="shared" si="69"/>
        <v>0.008639462563</v>
      </c>
      <c r="O101" s="110">
        <f t="shared" si="69"/>
        <v>0.03630757813</v>
      </c>
      <c r="P101" s="110">
        <f t="shared" si="69"/>
        <v>0.0690458617</v>
      </c>
      <c r="Q101" s="110">
        <f t="shared" si="69"/>
        <v>0.01896015076</v>
      </c>
      <c r="R101" s="110">
        <f t="shared" si="69"/>
        <v>0.02163977554</v>
      </c>
      <c r="S101" s="110">
        <f t="shared" si="69"/>
        <v>0.006145435461</v>
      </c>
      <c r="T101" s="110" t="str">
        <f t="shared" si="69"/>
        <v/>
      </c>
      <c r="U101" s="110">
        <f t="shared" si="69"/>
        <v>0.2341764402</v>
      </c>
      <c r="V101" s="110">
        <f t="shared" si="69"/>
        <v>0.04014249487</v>
      </c>
      <c r="W101" s="110" t="str">
        <f t="shared" si="69"/>
        <v/>
      </c>
      <c r="X101" s="110">
        <f t="shared" si="69"/>
        <v>0.02228923552</v>
      </c>
      <c r="Y101" s="110" t="str">
        <f t="shared" si="69"/>
        <v/>
      </c>
      <c r="Z101" s="110" t="str">
        <f t="shared" si="69"/>
        <v/>
      </c>
      <c r="AA101" s="110" t="str">
        <f t="shared" si="69"/>
        <v/>
      </c>
      <c r="AB101" s="110" t="str">
        <f t="shared" si="69"/>
        <v/>
      </c>
      <c r="AC101" s="110">
        <f t="shared" si="69"/>
        <v>0.0370314141</v>
      </c>
      <c r="AD101" s="110">
        <f t="shared" si="69"/>
        <v>0.01683009686</v>
      </c>
      <c r="AE101" s="110" t="str">
        <f t="shared" si="69"/>
        <v/>
      </c>
      <c r="AF101" s="110">
        <f t="shared" si="69"/>
        <v>0.04343211416</v>
      </c>
      <c r="AG101" s="110" t="str">
        <f t="shared" si="69"/>
        <v/>
      </c>
      <c r="AH101" s="110" t="str">
        <f t="shared" si="69"/>
        <v/>
      </c>
      <c r="AI101" s="114">
        <f t="shared" si="69"/>
        <v>1</v>
      </c>
      <c r="AJ101" s="77"/>
      <c r="AK101" s="55"/>
      <c r="AL101" s="55"/>
      <c r="AM101" s="55"/>
      <c r="AN101" s="55"/>
      <c r="AO101" s="5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</row>
    <row r="102" ht="15.75" customHeight="1">
      <c r="A102" s="1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  <c r="AA102" s="55"/>
      <c r="AB102" s="55"/>
      <c r="AC102" s="55"/>
      <c r="AD102" s="55"/>
      <c r="AE102" s="55"/>
      <c r="AF102" s="55"/>
      <c r="AG102" s="55"/>
      <c r="AH102" s="55"/>
      <c r="AI102" s="247"/>
      <c r="AJ102" s="77"/>
      <c r="AK102" s="55"/>
      <c r="AL102" s="55"/>
      <c r="AM102" s="55"/>
      <c r="AN102" s="55"/>
      <c r="AO102" s="5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</row>
    <row r="103" ht="11.2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239"/>
      <c r="AJ103" s="77"/>
      <c r="AK103" s="5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239"/>
      <c r="AJ104" s="77"/>
      <c r="AK104" s="5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</row>
    <row r="105" ht="15.75" customHeight="1">
      <c r="A105" s="15"/>
      <c r="B105" s="15"/>
      <c r="C105" s="15"/>
      <c r="D105" s="15"/>
      <c r="E105" s="15"/>
      <c r="F105" s="15"/>
      <c r="G105" s="5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239"/>
      <c r="AJ105" s="77"/>
      <c r="AK105" s="5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</row>
    <row r="106" ht="15.75" customHeight="1">
      <c r="A106" s="15"/>
      <c r="B106" s="15"/>
      <c r="C106" s="15"/>
      <c r="D106" s="15"/>
      <c r="E106" s="248"/>
      <c r="F106" s="15"/>
      <c r="G106" s="5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239"/>
      <c r="AJ106" s="77"/>
      <c r="AK106" s="5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</row>
    <row r="107" ht="15.75" customHeight="1">
      <c r="A107" s="15"/>
      <c r="B107" s="15"/>
      <c r="C107" s="15"/>
      <c r="D107" s="15"/>
      <c r="E107" s="15"/>
      <c r="F107" s="249"/>
      <c r="G107" s="5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239"/>
      <c r="AJ107" s="77"/>
      <c r="AK107" s="5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</row>
    <row r="108" ht="15.75" customHeight="1">
      <c r="A108" s="15"/>
      <c r="B108" s="15"/>
      <c r="C108" s="15"/>
      <c r="D108" s="15"/>
      <c r="E108" s="15"/>
      <c r="F108" s="249"/>
      <c r="G108" s="5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239"/>
      <c r="AJ108" s="77"/>
      <c r="AK108" s="5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</row>
    <row r="109" ht="15.75" customHeight="1">
      <c r="A109" s="15"/>
      <c r="B109" s="15"/>
      <c r="C109" s="15"/>
      <c r="D109" s="15"/>
      <c r="E109" s="15"/>
      <c r="F109" s="249"/>
      <c r="G109" s="5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239"/>
      <c r="AJ109" s="77"/>
      <c r="AK109" s="5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</row>
    <row r="110" ht="15.75" customHeight="1">
      <c r="A110" s="15"/>
      <c r="B110" s="15"/>
      <c r="C110" s="15"/>
      <c r="D110" s="15"/>
      <c r="E110" s="15"/>
      <c r="F110" s="249"/>
      <c r="G110" s="5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239"/>
      <c r="AJ110" s="77"/>
      <c r="AK110" s="5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</row>
    <row r="111" ht="15.75" customHeight="1">
      <c r="A111" s="250" t="s">
        <v>126</v>
      </c>
      <c r="B111" s="15"/>
      <c r="C111" s="15"/>
      <c r="D111" s="15"/>
      <c r="E111" s="15"/>
      <c r="F111" s="249"/>
      <c r="G111" s="5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239"/>
      <c r="AJ111" s="77"/>
      <c r="AK111" s="5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</row>
    <row r="112" ht="15.75" customHeight="1">
      <c r="A112" s="15"/>
      <c r="B112" s="15"/>
      <c r="C112" s="15"/>
      <c r="D112" s="15"/>
      <c r="E112" s="251"/>
      <c r="F112" s="252"/>
      <c r="G112" s="253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239"/>
      <c r="AJ112" s="77"/>
      <c r="AK112" s="5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</row>
    <row r="113" ht="15.75" customHeight="1">
      <c r="A113" s="15"/>
      <c r="B113" s="15"/>
      <c r="C113" s="15"/>
      <c r="D113" s="254"/>
      <c r="E113" s="5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239"/>
      <c r="AJ113" s="77"/>
      <c r="AK113" s="5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</row>
    <row r="114" ht="15.75" customHeight="1">
      <c r="A114" s="15"/>
      <c r="B114" s="15"/>
      <c r="C114" s="15"/>
      <c r="D114" s="249"/>
      <c r="E114" s="5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239"/>
      <c r="AJ114" s="77"/>
      <c r="AK114" s="55"/>
      <c r="AL114" s="15"/>
      <c r="AM114" s="15"/>
      <c r="AN114" s="15"/>
      <c r="AO114" s="15" t="s">
        <v>109</v>
      </c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</row>
    <row r="115" ht="15.75" customHeight="1">
      <c r="A115" s="15"/>
      <c r="B115" s="15"/>
      <c r="C115" s="15"/>
      <c r="D115" s="249"/>
      <c r="E115" s="5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239"/>
      <c r="AJ115" s="77"/>
      <c r="AK115" s="5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</row>
    <row r="116" ht="15.75" customHeight="1">
      <c r="A116" s="15"/>
      <c r="B116" s="15"/>
      <c r="C116" s="15"/>
      <c r="D116" s="249"/>
      <c r="E116" s="5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239"/>
      <c r="AJ116" s="77"/>
      <c r="AK116" s="5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</row>
    <row r="117" ht="15.75" customHeight="1">
      <c r="A117" s="15"/>
      <c r="B117" s="15"/>
      <c r="C117" s="15"/>
      <c r="D117" s="249"/>
      <c r="E117" s="55"/>
      <c r="F117" s="15"/>
      <c r="G117" s="25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239"/>
      <c r="AJ117" s="77"/>
      <c r="AK117" s="5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</row>
    <row r="118" ht="15.75" customHeight="1">
      <c r="A118" s="15"/>
      <c r="B118" s="15"/>
      <c r="C118" s="15"/>
      <c r="D118" s="249"/>
      <c r="E118" s="5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239"/>
      <c r="AJ118" s="77"/>
      <c r="AK118" s="5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</row>
    <row r="119" ht="15.75" customHeight="1">
      <c r="A119" s="15"/>
      <c r="B119" s="15"/>
      <c r="C119" s="15"/>
      <c r="D119" s="249"/>
      <c r="E119" s="5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239"/>
      <c r="AJ119" s="77"/>
      <c r="AK119" s="5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</row>
    <row r="120" ht="15.75" customHeight="1">
      <c r="A120" s="15"/>
      <c r="B120" s="15"/>
      <c r="C120" s="15"/>
      <c r="D120" s="249"/>
      <c r="E120" s="5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239"/>
      <c r="AJ120" s="77"/>
      <c r="AK120" s="5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</row>
    <row r="121" ht="15.75" customHeight="1">
      <c r="A121" s="15"/>
      <c r="B121" s="15"/>
      <c r="C121" s="15"/>
      <c r="D121" s="249"/>
      <c r="E121" s="5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239"/>
      <c r="AJ121" s="77"/>
      <c r="AK121" s="5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</row>
    <row r="122" ht="15.75" customHeight="1">
      <c r="A122" s="15"/>
      <c r="B122" s="15"/>
      <c r="C122" s="15"/>
      <c r="D122" s="249"/>
      <c r="E122" s="5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239"/>
      <c r="AJ122" s="77"/>
      <c r="AK122" s="5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</row>
    <row r="123" ht="15.75" customHeight="1">
      <c r="A123" s="15"/>
      <c r="B123" s="15"/>
      <c r="C123" s="15"/>
      <c r="D123" s="249"/>
      <c r="E123" s="5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239"/>
      <c r="AJ123" s="77"/>
      <c r="AK123" s="5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</row>
    <row r="124" ht="15.75" customHeight="1">
      <c r="A124" s="15"/>
      <c r="B124" s="15"/>
      <c r="C124" s="15"/>
      <c r="D124" s="15"/>
      <c r="E124" s="5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239"/>
      <c r="AJ124" s="77"/>
      <c r="AK124" s="5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</row>
    <row r="125" ht="15.75" customHeight="1">
      <c r="A125" s="15"/>
      <c r="B125" s="15"/>
      <c r="C125" s="15"/>
      <c r="D125" s="15"/>
      <c r="E125" s="5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239"/>
      <c r="AJ125" s="77"/>
      <c r="AK125" s="5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</row>
    <row r="126" ht="15.75" customHeight="1">
      <c r="A126" s="15"/>
      <c r="B126" s="15"/>
      <c r="C126" s="15"/>
      <c r="D126" s="249"/>
      <c r="E126" s="5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239"/>
      <c r="AJ126" s="77"/>
      <c r="AK126" s="5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239"/>
      <c r="AJ127" s="77"/>
      <c r="AK127" s="5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239"/>
      <c r="AJ128" s="77"/>
      <c r="AK128" s="5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239"/>
      <c r="AJ129" s="77"/>
      <c r="AK129" s="5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239"/>
      <c r="AJ130" s="77"/>
      <c r="AK130" s="5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239"/>
      <c r="AJ131" s="77"/>
      <c r="AK131" s="5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239"/>
      <c r="AJ132" s="77"/>
      <c r="AK132" s="5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239"/>
      <c r="AJ133" s="77"/>
      <c r="AK133" s="5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239"/>
      <c r="AJ134" s="77"/>
      <c r="AK134" s="5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239"/>
      <c r="AJ135" s="77"/>
      <c r="AK135" s="5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239"/>
      <c r="AJ136" s="77"/>
      <c r="AK136" s="5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239"/>
      <c r="AJ137" s="77"/>
      <c r="AK137" s="5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239"/>
      <c r="AJ138" s="77"/>
      <c r="AK138" s="5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239"/>
      <c r="AJ139" s="77"/>
      <c r="AK139" s="5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239"/>
      <c r="AJ140" s="77"/>
      <c r="AK140" s="5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239"/>
      <c r="AJ141" s="77"/>
      <c r="AK141" s="5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239"/>
      <c r="AJ142" s="77"/>
      <c r="AK142" s="5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239"/>
      <c r="AJ143" s="77"/>
      <c r="AK143" s="5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239"/>
      <c r="AJ144" s="77"/>
      <c r="AK144" s="5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239"/>
      <c r="AJ145" s="77"/>
      <c r="AK145" s="5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239"/>
      <c r="AJ146" s="77"/>
      <c r="AK146" s="5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239"/>
      <c r="AJ147" s="77"/>
      <c r="AK147" s="55"/>
      <c r="AL147" s="15"/>
      <c r="AM147" s="15"/>
      <c r="AN147" s="15"/>
      <c r="AO147" s="15"/>
      <c r="AP147" s="15"/>
      <c r="AQ147" s="15"/>
      <c r="AR147" s="15"/>
      <c r="AS147" s="103"/>
      <c r="AT147" s="103"/>
      <c r="AU147" s="103"/>
      <c r="AV147" s="103"/>
      <c r="AW147" s="103"/>
      <c r="AX147" s="103"/>
      <c r="AY147" s="103"/>
      <c r="AZ147" s="103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239"/>
      <c r="AJ148" s="77"/>
      <c r="AK148" s="55"/>
      <c r="AL148" s="15"/>
      <c r="AM148" s="15"/>
      <c r="AN148" s="15"/>
      <c r="AO148" s="15"/>
      <c r="AP148" s="15"/>
      <c r="AQ148" s="15"/>
      <c r="AR148" s="15"/>
      <c r="AS148" s="103"/>
      <c r="AT148" s="103"/>
      <c r="AU148" s="103"/>
      <c r="AV148" s="103"/>
      <c r="AW148" s="103"/>
      <c r="AX148" s="103"/>
      <c r="AY148" s="103"/>
      <c r="AZ148" s="103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239"/>
      <c r="AJ149" s="77"/>
      <c r="AK149" s="55"/>
      <c r="AL149" s="15"/>
      <c r="AM149" s="15"/>
      <c r="AN149" s="15"/>
      <c r="AO149" s="15"/>
      <c r="AP149" s="15"/>
      <c r="AQ149" s="15"/>
      <c r="AR149" s="15"/>
      <c r="AS149" s="103"/>
      <c r="AT149" s="103"/>
      <c r="AU149" s="103"/>
      <c r="AV149" s="103"/>
      <c r="AW149" s="103"/>
      <c r="AX149" s="103"/>
      <c r="AY149" s="103"/>
      <c r="AZ149" s="103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239"/>
      <c r="AJ150" s="77"/>
      <c r="AK150" s="55"/>
      <c r="AL150" s="15"/>
      <c r="AM150" s="15"/>
      <c r="AN150" s="15"/>
      <c r="AO150" s="15"/>
      <c r="AP150" s="15"/>
      <c r="AQ150" s="15"/>
      <c r="AR150" s="15"/>
      <c r="AS150" s="103"/>
      <c r="AT150" s="103"/>
      <c r="AU150" s="103"/>
      <c r="AV150" s="103"/>
      <c r="AW150" s="103"/>
      <c r="AX150" s="103"/>
      <c r="AY150" s="103"/>
      <c r="AZ150" s="103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239"/>
      <c r="AJ151" s="77"/>
      <c r="AK151" s="55"/>
      <c r="AL151" s="15"/>
      <c r="AM151" s="15"/>
      <c r="AN151" s="15"/>
      <c r="AO151" s="15"/>
      <c r="AP151" s="15"/>
      <c r="AQ151" s="15"/>
      <c r="AR151" s="15"/>
      <c r="AS151" s="103"/>
      <c r="AT151" s="103"/>
      <c r="AU151" s="103"/>
      <c r="AV151" s="103"/>
      <c r="AW151" s="103"/>
      <c r="AX151" s="103"/>
      <c r="AY151" s="103"/>
      <c r="AZ151" s="103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239"/>
      <c r="AJ152" s="77"/>
      <c r="AK152" s="55"/>
      <c r="AL152" s="15"/>
      <c r="AM152" s="15"/>
      <c r="AN152" s="15"/>
      <c r="AO152" s="15"/>
      <c r="AP152" s="15"/>
      <c r="AQ152" s="15"/>
      <c r="AR152" s="15"/>
      <c r="AS152" s="103"/>
      <c r="AT152" s="103"/>
      <c r="AU152" s="103"/>
      <c r="AV152" s="103"/>
      <c r="AW152" s="103"/>
      <c r="AX152" s="103"/>
      <c r="AY152" s="103"/>
      <c r="AZ152" s="103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239"/>
      <c r="AJ153" s="77"/>
      <c r="AK153" s="55"/>
      <c r="AL153" s="15"/>
      <c r="AM153" s="15"/>
      <c r="AN153" s="15"/>
      <c r="AO153" s="15"/>
      <c r="AP153" s="15"/>
      <c r="AQ153" s="15"/>
      <c r="AR153" s="15"/>
      <c r="AS153" s="103"/>
      <c r="AT153" s="103"/>
      <c r="AU153" s="103"/>
      <c r="AV153" s="103"/>
      <c r="AW153" s="103"/>
      <c r="AX153" s="103"/>
      <c r="AY153" s="103"/>
      <c r="AZ153" s="103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239"/>
      <c r="AJ154" s="77"/>
      <c r="AK154" s="55"/>
      <c r="AL154" s="15"/>
      <c r="AM154" s="15"/>
      <c r="AN154" s="15"/>
      <c r="AO154" s="15"/>
      <c r="AP154" s="15"/>
      <c r="AQ154" s="15"/>
      <c r="AR154" s="15"/>
      <c r="AS154" s="128"/>
      <c r="AT154" s="128"/>
      <c r="AU154" s="128"/>
      <c r="AV154" s="128"/>
      <c r="AW154" s="128"/>
      <c r="AX154" s="128"/>
      <c r="AY154" s="128"/>
      <c r="AZ154" s="128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239"/>
      <c r="AJ155" s="77"/>
      <c r="AK155" s="55"/>
      <c r="AL155" s="15"/>
      <c r="AM155" s="15"/>
      <c r="AN155" s="15"/>
      <c r="AO155" s="15"/>
      <c r="AP155" s="15"/>
      <c r="AQ155" s="15"/>
      <c r="AR155" s="15"/>
      <c r="AS155" s="103"/>
      <c r="AT155" s="103"/>
      <c r="AU155" s="103"/>
      <c r="AV155" s="103"/>
      <c r="AW155" s="103"/>
      <c r="AX155" s="103"/>
      <c r="AY155" s="103"/>
      <c r="AZ155" s="103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239"/>
      <c r="AJ156" s="77"/>
      <c r="AK156" s="55"/>
      <c r="AL156" s="15"/>
      <c r="AM156" s="15"/>
      <c r="AN156" s="15"/>
      <c r="AO156" s="15"/>
      <c r="AP156" s="15"/>
      <c r="AQ156" s="15"/>
      <c r="AR156" s="15"/>
      <c r="AS156" s="103"/>
      <c r="AT156" s="103"/>
      <c r="AU156" s="103"/>
      <c r="AV156" s="103"/>
      <c r="AW156" s="103"/>
      <c r="AX156" s="103"/>
      <c r="AY156" s="103"/>
      <c r="AZ156" s="103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239"/>
      <c r="AJ157" s="77"/>
      <c r="AK157" s="55"/>
      <c r="AL157" s="15"/>
      <c r="AM157" s="15"/>
      <c r="AN157" s="15"/>
      <c r="AO157" s="15"/>
      <c r="AP157" s="15"/>
      <c r="AQ157" s="15"/>
      <c r="AR157" s="15"/>
      <c r="AS157" s="103"/>
      <c r="AT157" s="103"/>
      <c r="AU157" s="103"/>
      <c r="AV157" s="103"/>
      <c r="AW157" s="103"/>
      <c r="AX157" s="103"/>
      <c r="AY157" s="103"/>
      <c r="AZ157" s="103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239"/>
      <c r="AJ158" s="77"/>
      <c r="AK158" s="55"/>
      <c r="AL158" s="15"/>
      <c r="AM158" s="15"/>
      <c r="AN158" s="15"/>
      <c r="AO158" s="15"/>
      <c r="AP158" s="15"/>
      <c r="AQ158" s="15"/>
      <c r="AR158" s="15"/>
      <c r="AS158" s="103"/>
      <c r="AT158" s="103"/>
      <c r="AU158" s="103"/>
      <c r="AV158" s="103"/>
      <c r="AW158" s="103"/>
      <c r="AX158" s="103"/>
      <c r="AY158" s="103"/>
      <c r="AZ158" s="103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239"/>
      <c r="AJ159" s="77"/>
      <c r="AK159" s="55"/>
      <c r="AL159" s="15"/>
      <c r="AM159" s="15"/>
      <c r="AN159" s="15"/>
      <c r="AO159" s="15"/>
      <c r="AP159" s="15"/>
      <c r="AQ159" s="15"/>
      <c r="AR159" s="15"/>
      <c r="AS159" s="103"/>
      <c r="AT159" s="103"/>
      <c r="AU159" s="103"/>
      <c r="AV159" s="103"/>
      <c r="AW159" s="103"/>
      <c r="AX159" s="103"/>
      <c r="AY159" s="103"/>
      <c r="AZ159" s="103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239"/>
      <c r="AJ160" s="77"/>
      <c r="AK160" s="55"/>
      <c r="AL160" s="15"/>
      <c r="AM160" s="15"/>
      <c r="AN160" s="15"/>
      <c r="AO160" s="15"/>
      <c r="AP160" s="15"/>
      <c r="AQ160" s="15"/>
      <c r="AR160" s="15"/>
      <c r="AS160" s="103"/>
      <c r="AT160" s="103"/>
      <c r="AU160" s="103"/>
      <c r="AV160" s="103"/>
      <c r="AW160" s="103"/>
      <c r="AX160" s="103"/>
      <c r="AY160" s="103"/>
      <c r="AZ160" s="103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239"/>
      <c r="AJ161" s="77"/>
      <c r="AK161" s="55"/>
      <c r="AL161" s="15"/>
      <c r="AM161" s="15"/>
      <c r="AN161" s="15"/>
      <c r="AO161" s="15"/>
      <c r="AP161" s="15"/>
      <c r="AQ161" s="15"/>
      <c r="AR161" s="15"/>
      <c r="AS161" s="103"/>
      <c r="AT161" s="103"/>
      <c r="AU161" s="103"/>
      <c r="AV161" s="103"/>
      <c r="AW161" s="103"/>
      <c r="AX161" s="103"/>
      <c r="AY161" s="103"/>
      <c r="AZ161" s="103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239"/>
      <c r="AJ162" s="77"/>
      <c r="AK162" s="55"/>
      <c r="AL162" s="15"/>
      <c r="AM162" s="15"/>
      <c r="AN162" s="15"/>
      <c r="AO162" s="15"/>
      <c r="AP162" s="15"/>
      <c r="AQ162" s="15"/>
      <c r="AR162" s="15"/>
      <c r="AS162" s="128"/>
      <c r="AT162" s="128"/>
      <c r="AU162" s="128"/>
      <c r="AV162" s="128"/>
      <c r="AW162" s="128"/>
      <c r="AX162" s="128"/>
      <c r="AY162" s="128"/>
      <c r="AZ162" s="128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239"/>
      <c r="AJ163" s="77"/>
      <c r="AK163" s="55"/>
      <c r="AL163" s="15"/>
      <c r="AM163" s="15"/>
      <c r="AN163" s="15"/>
      <c r="AO163" s="15"/>
      <c r="AP163" s="15"/>
      <c r="AQ163" s="15"/>
      <c r="AR163" s="15"/>
      <c r="AS163" s="103"/>
      <c r="AT163" s="103"/>
      <c r="AU163" s="103"/>
      <c r="AV163" s="103"/>
      <c r="AW163" s="103"/>
      <c r="AX163" s="103"/>
      <c r="AY163" s="103"/>
      <c r="AZ163" s="103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239"/>
      <c r="AJ164" s="77"/>
      <c r="AK164" s="55"/>
      <c r="AL164" s="15"/>
      <c r="AM164" s="15"/>
      <c r="AN164" s="15"/>
      <c r="AO164" s="15"/>
      <c r="AP164" s="15"/>
      <c r="AQ164" s="15"/>
      <c r="AR164" s="15"/>
      <c r="AS164" s="103"/>
      <c r="AT164" s="103"/>
      <c r="AU164" s="103"/>
      <c r="AV164" s="103"/>
      <c r="AW164" s="103"/>
      <c r="AX164" s="103"/>
      <c r="AY164" s="103"/>
      <c r="AZ164" s="103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239"/>
      <c r="AJ165" s="77"/>
      <c r="AK165" s="55"/>
      <c r="AL165" s="15"/>
      <c r="AM165" s="15"/>
      <c r="AN165" s="15"/>
      <c r="AO165" s="15"/>
      <c r="AP165" s="15"/>
      <c r="AQ165" s="15"/>
      <c r="AR165" s="15"/>
      <c r="AS165" s="103"/>
      <c r="AT165" s="103"/>
      <c r="AU165" s="103"/>
      <c r="AV165" s="103"/>
      <c r="AW165" s="103"/>
      <c r="AX165" s="103"/>
      <c r="AY165" s="103"/>
      <c r="AZ165" s="103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239"/>
      <c r="AJ166" s="77"/>
      <c r="AK166" s="55"/>
      <c r="AL166" s="15"/>
      <c r="AM166" s="15"/>
      <c r="AN166" s="15"/>
      <c r="AO166" s="15"/>
      <c r="AP166" s="15"/>
      <c r="AQ166" s="15"/>
      <c r="AR166" s="15"/>
      <c r="AS166" s="103"/>
      <c r="AT166" s="103"/>
      <c r="AU166" s="103"/>
      <c r="AV166" s="103"/>
      <c r="AW166" s="103"/>
      <c r="AX166" s="103"/>
      <c r="AY166" s="103"/>
      <c r="AZ166" s="103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239"/>
      <c r="AJ167" s="77"/>
      <c r="AK167" s="55"/>
      <c r="AL167" s="15"/>
      <c r="AM167" s="15"/>
      <c r="AN167" s="15"/>
      <c r="AO167" s="15"/>
      <c r="AP167" s="15"/>
      <c r="AQ167" s="15"/>
      <c r="AR167" s="15"/>
      <c r="AS167" s="103"/>
      <c r="AT167" s="103"/>
      <c r="AU167" s="103"/>
      <c r="AV167" s="103"/>
      <c r="AW167" s="103"/>
      <c r="AX167" s="103"/>
      <c r="AY167" s="103"/>
      <c r="AZ167" s="103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239"/>
      <c r="AJ168" s="77"/>
      <c r="AK168" s="55"/>
      <c r="AL168" s="15"/>
      <c r="AM168" s="15"/>
      <c r="AN168" s="15"/>
      <c r="AO168" s="15"/>
      <c r="AP168" s="15"/>
      <c r="AQ168" s="15"/>
      <c r="AR168" s="15"/>
      <c r="AS168" s="103"/>
      <c r="AT168" s="103"/>
      <c r="AU168" s="103"/>
      <c r="AV168" s="103"/>
      <c r="AW168" s="103"/>
      <c r="AX168" s="103"/>
      <c r="AY168" s="103"/>
      <c r="AZ168" s="103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239"/>
      <c r="AJ169" s="77"/>
      <c r="AK169" s="55"/>
      <c r="AL169" s="15"/>
      <c r="AM169" s="15"/>
      <c r="AN169" s="15"/>
      <c r="AO169" s="15"/>
      <c r="AP169" s="15"/>
      <c r="AQ169" s="15"/>
      <c r="AR169" s="15"/>
      <c r="AS169" s="103"/>
      <c r="AT169" s="103"/>
      <c r="AU169" s="103"/>
      <c r="AV169" s="103"/>
      <c r="AW169" s="103"/>
      <c r="AX169" s="103"/>
      <c r="AY169" s="103"/>
      <c r="AZ169" s="103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239"/>
      <c r="AJ170" s="77"/>
      <c r="AK170" s="5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239"/>
      <c r="AJ171" s="77"/>
      <c r="AK171" s="5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239"/>
      <c r="AJ172" s="77"/>
      <c r="AK172" s="5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239"/>
      <c r="AJ173" s="77"/>
      <c r="AK173" s="5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239"/>
      <c r="AJ174" s="77"/>
      <c r="AK174" s="5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239"/>
      <c r="AJ175" s="77"/>
      <c r="AK175" s="5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239"/>
      <c r="AJ176" s="77"/>
      <c r="AK176" s="5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239"/>
      <c r="AJ177" s="77"/>
      <c r="AK177" s="5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239"/>
      <c r="AJ178" s="77"/>
      <c r="AK178" s="5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239"/>
      <c r="AJ179" s="77"/>
      <c r="AK179" s="5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239"/>
      <c r="AJ180" s="77"/>
      <c r="AK180" s="5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239"/>
      <c r="AJ181" s="77"/>
      <c r="AK181" s="5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239"/>
      <c r="AJ182" s="77"/>
      <c r="AK182" s="5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239"/>
      <c r="AJ183" s="77"/>
      <c r="AK183" s="5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239"/>
      <c r="AJ184" s="77"/>
      <c r="AK184" s="5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239"/>
      <c r="AJ185" s="77"/>
      <c r="AK185" s="5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239"/>
      <c r="AJ186" s="77"/>
      <c r="AK186" s="5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239"/>
      <c r="AJ187" s="77"/>
      <c r="AK187" s="5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239"/>
      <c r="AJ188" s="77"/>
      <c r="AK188" s="5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239"/>
      <c r="AJ189" s="77"/>
      <c r="AK189" s="5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239"/>
      <c r="AJ190" s="77"/>
      <c r="AK190" s="5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239"/>
      <c r="AJ191" s="77"/>
      <c r="AK191" s="5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239"/>
      <c r="AJ192" s="77"/>
      <c r="AK192" s="5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239"/>
      <c r="AJ193" s="77"/>
      <c r="AK193" s="5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239"/>
      <c r="AJ194" s="77"/>
      <c r="AK194" s="5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  <c r="AZ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239"/>
      <c r="AJ195" s="77"/>
      <c r="AK195" s="5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239"/>
      <c r="AJ196" s="77"/>
      <c r="AK196" s="5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  <c r="AZ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239"/>
      <c r="AJ197" s="77"/>
      <c r="AK197" s="5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239"/>
      <c r="AJ198" s="77"/>
      <c r="AK198" s="5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239"/>
      <c r="AJ199" s="77"/>
      <c r="AK199" s="5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239"/>
      <c r="AJ200" s="77"/>
      <c r="AK200" s="5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239"/>
      <c r="AJ201" s="77"/>
      <c r="AK201" s="5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239"/>
      <c r="AJ202" s="77"/>
      <c r="AK202" s="5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239"/>
      <c r="AJ203" s="77"/>
      <c r="AK203" s="5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239"/>
      <c r="AJ204" s="77"/>
      <c r="AK204" s="5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  <c r="AZ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239"/>
      <c r="AJ205" s="77"/>
      <c r="AK205" s="5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239"/>
      <c r="AJ206" s="77"/>
      <c r="AK206" s="5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239"/>
      <c r="AJ207" s="77"/>
      <c r="AK207" s="5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239"/>
      <c r="AJ208" s="77"/>
      <c r="AK208" s="5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  <c r="AZ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239"/>
      <c r="AJ209" s="77"/>
      <c r="AK209" s="5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239"/>
      <c r="AJ210" s="77"/>
      <c r="AK210" s="5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  <c r="AZ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239"/>
      <c r="AJ211" s="77"/>
      <c r="AK211" s="5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239"/>
      <c r="AJ212" s="77"/>
      <c r="AK212" s="5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5"/>
      <c r="AZ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239"/>
      <c r="AJ213" s="77"/>
      <c r="AK213" s="5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239"/>
      <c r="AJ214" s="77"/>
      <c r="AK214" s="5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  <c r="AZ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239"/>
      <c r="AJ215" s="77"/>
      <c r="AK215" s="5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239"/>
      <c r="AJ216" s="77"/>
      <c r="AK216" s="5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239"/>
      <c r="AJ217" s="77"/>
      <c r="AK217" s="5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239"/>
      <c r="AJ218" s="77"/>
      <c r="AK218" s="5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5"/>
      <c r="AZ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239"/>
      <c r="AJ219" s="77"/>
      <c r="AK219" s="5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  <c r="AZ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239"/>
      <c r="AJ220" s="77"/>
      <c r="AK220" s="5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  <c r="AX220" s="15"/>
      <c r="AY220" s="15"/>
      <c r="AZ220" s="15"/>
    </row>
    <row r="221" ht="15.7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239"/>
      <c r="AJ221" s="77"/>
      <c r="AK221" s="5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  <c r="AZ221" s="15"/>
    </row>
    <row r="222" ht="15.7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239"/>
      <c r="AJ222" s="77"/>
      <c r="AK222" s="5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  <c r="AX222" s="15"/>
      <c r="AY222" s="15"/>
      <c r="AZ222" s="15"/>
    </row>
    <row r="223" ht="15.7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239"/>
      <c r="AJ223" s="77"/>
      <c r="AK223" s="5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  <c r="AZ223" s="15"/>
    </row>
    <row r="224" ht="15.7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239"/>
      <c r="AJ224" s="77"/>
      <c r="AK224" s="5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  <c r="AX224" s="15"/>
      <c r="AY224" s="15"/>
      <c r="AZ224" s="15"/>
    </row>
    <row r="225" ht="15.7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239"/>
      <c r="AJ225" s="77"/>
      <c r="AK225" s="5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  <c r="AZ225" s="15"/>
    </row>
    <row r="226" ht="15.7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239"/>
      <c r="AJ226" s="77"/>
      <c r="AK226" s="5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  <c r="AV226" s="15"/>
      <c r="AW226" s="15"/>
      <c r="AX226" s="15"/>
      <c r="AY226" s="15"/>
      <c r="AZ226" s="15"/>
    </row>
    <row r="227" ht="15.7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239"/>
      <c r="AJ227" s="77"/>
      <c r="AK227" s="5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  <c r="AY227" s="15"/>
      <c r="AZ227" s="15"/>
    </row>
    <row r="228" ht="15.7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239"/>
      <c r="AJ228" s="77"/>
      <c r="AK228" s="5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  <c r="AV228" s="15"/>
      <c r="AW228" s="15"/>
      <c r="AX228" s="15"/>
      <c r="AY228" s="15"/>
      <c r="AZ228" s="15"/>
    </row>
    <row r="229" ht="15.7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239"/>
      <c r="AJ229" s="77"/>
      <c r="AK229" s="5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  <c r="AY229" s="15"/>
      <c r="AZ229" s="15"/>
    </row>
    <row r="230" ht="15.7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239"/>
      <c r="AJ230" s="77"/>
      <c r="AK230" s="5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  <c r="AX230" s="15"/>
      <c r="AY230" s="15"/>
      <c r="AZ230" s="15"/>
    </row>
    <row r="231" ht="15.7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239"/>
      <c r="AJ231" s="77"/>
      <c r="AK231" s="5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</row>
    <row r="232" ht="15.7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239"/>
      <c r="AJ232" s="77"/>
      <c r="AK232" s="5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  <c r="AX232" s="15"/>
      <c r="AY232" s="15"/>
      <c r="AZ232" s="15"/>
    </row>
    <row r="233" ht="15.7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239"/>
      <c r="AJ233" s="77"/>
      <c r="AK233" s="5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  <c r="AZ233" s="15"/>
    </row>
    <row r="234" ht="15.7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239"/>
      <c r="AJ234" s="77"/>
      <c r="AK234" s="5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  <c r="AV234" s="15"/>
      <c r="AW234" s="15"/>
      <c r="AX234" s="15"/>
      <c r="AY234" s="15"/>
      <c r="AZ234" s="15"/>
    </row>
    <row r="235" ht="15.7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239"/>
      <c r="AJ235" s="77"/>
      <c r="AK235" s="5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  <c r="AZ235" s="15"/>
    </row>
    <row r="236" ht="15.7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239"/>
      <c r="AJ236" s="77"/>
      <c r="AK236" s="5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  <c r="AX236" s="15"/>
      <c r="AY236" s="15"/>
      <c r="AZ236" s="15"/>
    </row>
    <row r="237" ht="15.7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239"/>
      <c r="AJ237" s="77"/>
      <c r="AK237" s="5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  <c r="AZ237" s="15"/>
    </row>
    <row r="238" ht="15.7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239"/>
      <c r="AJ238" s="77"/>
      <c r="AK238" s="5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  <c r="AV238" s="15"/>
      <c r="AW238" s="15"/>
      <c r="AX238" s="15"/>
      <c r="AY238" s="15"/>
      <c r="AZ238" s="15"/>
    </row>
    <row r="239" ht="15.7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239"/>
      <c r="AJ239" s="77"/>
      <c r="AK239" s="5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  <c r="AY239" s="15"/>
      <c r="AZ239" s="15"/>
    </row>
    <row r="240" ht="15.7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239"/>
      <c r="AJ240" s="77"/>
      <c r="AK240" s="5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  <c r="AV240" s="15"/>
      <c r="AW240" s="15"/>
      <c r="AX240" s="15"/>
      <c r="AY240" s="15"/>
      <c r="AZ240" s="15"/>
    </row>
    <row r="241" ht="15.7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239"/>
      <c r="AJ241" s="77"/>
      <c r="AK241" s="5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  <c r="AZ241" s="15"/>
    </row>
    <row r="242" ht="15.7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239"/>
      <c r="AJ242" s="77"/>
      <c r="AK242" s="5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</row>
    <row r="243" ht="15.7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239"/>
      <c r="AJ243" s="77"/>
      <c r="AK243" s="5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  <c r="AY243" s="15"/>
      <c r="AZ243" s="15"/>
    </row>
    <row r="244" ht="15.7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239"/>
      <c r="AJ244" s="77"/>
      <c r="AK244" s="5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  <c r="AV244" s="15"/>
      <c r="AW244" s="15"/>
      <c r="AX244" s="15"/>
      <c r="AY244" s="15"/>
      <c r="AZ244" s="15"/>
    </row>
    <row r="245" ht="15.7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239"/>
      <c r="AJ245" s="77"/>
      <c r="AK245" s="5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  <c r="AY245" s="15"/>
      <c r="AZ245" s="15"/>
    </row>
    <row r="246" ht="15.7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239"/>
      <c r="AJ246" s="77"/>
      <c r="AK246" s="5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  <c r="AV246" s="15"/>
      <c r="AW246" s="15"/>
      <c r="AX246" s="15"/>
      <c r="AY246" s="15"/>
      <c r="AZ246" s="15"/>
    </row>
    <row r="247" ht="15.7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239"/>
      <c r="AJ247" s="77"/>
      <c r="AK247" s="5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  <c r="AV247" s="15"/>
      <c r="AW247" s="15"/>
      <c r="AX247" s="15"/>
      <c r="AY247" s="15"/>
      <c r="AZ247" s="15"/>
    </row>
    <row r="248" ht="15.7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239"/>
      <c r="AJ248" s="77"/>
      <c r="AK248" s="5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  <c r="AV248" s="15"/>
      <c r="AW248" s="15"/>
      <c r="AX248" s="15"/>
      <c r="AY248" s="15"/>
      <c r="AZ248" s="15"/>
    </row>
    <row r="249" ht="15.7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239"/>
      <c r="AJ249" s="77"/>
      <c r="AK249" s="5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5"/>
      <c r="AW249" s="15"/>
      <c r="AX249" s="15"/>
      <c r="AY249" s="15"/>
      <c r="AZ249" s="15"/>
    </row>
    <row r="250" ht="15.7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239"/>
      <c r="AJ250" s="77"/>
      <c r="AK250" s="5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  <c r="AV250" s="15"/>
      <c r="AW250" s="15"/>
      <c r="AX250" s="15"/>
      <c r="AY250" s="15"/>
      <c r="AZ250" s="15"/>
    </row>
    <row r="251" ht="15.7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239"/>
      <c r="AJ251" s="77"/>
      <c r="AK251" s="5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  <c r="AX251" s="15"/>
      <c r="AY251" s="15"/>
      <c r="AZ251" s="15"/>
    </row>
    <row r="252" ht="15.7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239"/>
      <c r="AJ252" s="77"/>
      <c r="AK252" s="5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  <c r="AV252" s="15"/>
      <c r="AW252" s="15"/>
      <c r="AX252" s="15"/>
      <c r="AY252" s="15"/>
      <c r="AZ252" s="15"/>
    </row>
    <row r="253" ht="15.7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239"/>
      <c r="AJ253" s="77"/>
      <c r="AK253" s="5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5"/>
      <c r="AW253" s="15"/>
      <c r="AX253" s="15"/>
      <c r="AY253" s="15"/>
      <c r="AZ253" s="15"/>
    </row>
    <row r="254" ht="15.7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239"/>
      <c r="AJ254" s="77"/>
      <c r="AK254" s="55"/>
      <c r="AL254" s="15"/>
      <c r="AM254" s="15"/>
      <c r="AN254" s="15"/>
      <c r="AO254" s="15"/>
      <c r="AP254" s="15"/>
      <c r="AQ254" s="15"/>
      <c r="AR254" s="15"/>
      <c r="AS254" s="15"/>
      <c r="AT254" s="15"/>
      <c r="AU254" s="15"/>
      <c r="AV254" s="15"/>
      <c r="AW254" s="15"/>
      <c r="AX254" s="15"/>
      <c r="AY254" s="15"/>
      <c r="AZ254" s="15"/>
    </row>
    <row r="255" ht="15.7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239"/>
      <c r="AJ255" s="77"/>
      <c r="AK255" s="5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  <c r="AV255" s="15"/>
      <c r="AW255" s="15"/>
      <c r="AX255" s="15"/>
      <c r="AY255" s="15"/>
      <c r="AZ255" s="15"/>
    </row>
    <row r="256" ht="15.7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239"/>
      <c r="AJ256" s="77"/>
      <c r="AK256" s="55"/>
      <c r="AL256" s="15"/>
      <c r="AM256" s="15"/>
      <c r="AN256" s="15"/>
      <c r="AO256" s="15"/>
      <c r="AP256" s="15"/>
      <c r="AQ256" s="15"/>
      <c r="AR256" s="15"/>
      <c r="AS256" s="15"/>
      <c r="AT256" s="15"/>
      <c r="AU256" s="15"/>
      <c r="AV256" s="15"/>
      <c r="AW256" s="15"/>
      <c r="AX256" s="15"/>
      <c r="AY256" s="15"/>
      <c r="AZ256" s="15"/>
    </row>
    <row r="257" ht="15.7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239"/>
      <c r="AJ257" s="77"/>
      <c r="AK257" s="5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  <c r="AW257" s="15"/>
      <c r="AX257" s="15"/>
      <c r="AY257" s="15"/>
      <c r="AZ257" s="15"/>
    </row>
    <row r="258" ht="15.7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239"/>
      <c r="AJ258" s="77"/>
      <c r="AK258" s="5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  <c r="AV258" s="15"/>
      <c r="AW258" s="15"/>
      <c r="AX258" s="15"/>
      <c r="AY258" s="15"/>
      <c r="AZ258" s="15"/>
    </row>
    <row r="259" ht="15.7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239"/>
      <c r="AJ259" s="77"/>
      <c r="AK259" s="5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  <c r="AW259" s="15"/>
      <c r="AX259" s="15"/>
      <c r="AY259" s="15"/>
      <c r="AZ259" s="15"/>
    </row>
    <row r="260" ht="15.7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239"/>
      <c r="AJ260" s="77"/>
      <c r="AK260" s="5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  <c r="AV260" s="15"/>
      <c r="AW260" s="15"/>
      <c r="AX260" s="15"/>
      <c r="AY260" s="15"/>
      <c r="AZ260" s="15"/>
    </row>
    <row r="261" ht="15.7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239"/>
      <c r="AJ261" s="77"/>
      <c r="AK261" s="5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  <c r="AY261" s="15"/>
      <c r="AZ261" s="15"/>
    </row>
    <row r="262" ht="15.7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239"/>
      <c r="AJ262" s="77"/>
      <c r="AK262" s="55"/>
      <c r="AL262" s="15"/>
      <c r="AM262" s="15"/>
      <c r="AN262" s="15"/>
      <c r="AO262" s="15"/>
      <c r="AP262" s="15"/>
      <c r="AQ262" s="15"/>
      <c r="AR262" s="15"/>
      <c r="AS262" s="15"/>
      <c r="AT262" s="15"/>
      <c r="AU262" s="15"/>
      <c r="AV262" s="15"/>
      <c r="AW262" s="15"/>
      <c r="AX262" s="15"/>
      <c r="AY262" s="15"/>
      <c r="AZ262" s="15"/>
    </row>
    <row r="263" ht="15.7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239"/>
      <c r="AJ263" s="77"/>
      <c r="AK263" s="5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  <c r="AX263" s="15"/>
      <c r="AY263" s="15"/>
      <c r="AZ263" s="15"/>
    </row>
    <row r="264" ht="15.7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239"/>
      <c r="AJ264" s="77"/>
      <c r="AK264" s="55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  <c r="AV264" s="15"/>
      <c r="AW264" s="15"/>
      <c r="AX264" s="15"/>
      <c r="AY264" s="15"/>
      <c r="AZ264" s="15"/>
    </row>
    <row r="265" ht="15.7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239"/>
      <c r="AJ265" s="77"/>
      <c r="AK265" s="5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  <c r="AX265" s="15"/>
      <c r="AY265" s="15"/>
      <c r="AZ265" s="15"/>
    </row>
    <row r="266" ht="15.7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239"/>
      <c r="AJ266" s="77"/>
      <c r="AK266" s="55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  <c r="AV266" s="15"/>
      <c r="AW266" s="15"/>
      <c r="AX266" s="15"/>
      <c r="AY266" s="15"/>
      <c r="AZ266" s="15"/>
    </row>
    <row r="267" ht="15.7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239"/>
      <c r="AJ267" s="77"/>
      <c r="AK267" s="5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/>
      <c r="AW267" s="15"/>
      <c r="AX267" s="15"/>
      <c r="AY267" s="15"/>
      <c r="AZ267" s="15"/>
    </row>
    <row r="268" ht="15.7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239"/>
      <c r="AJ268" s="77"/>
      <c r="AK268" s="5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</row>
    <row r="269" ht="15.7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239"/>
      <c r="AJ269" s="77"/>
      <c r="AK269" s="5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AV269" s="15"/>
      <c r="AW269" s="15"/>
      <c r="AX269" s="15"/>
      <c r="AY269" s="15"/>
      <c r="AZ269" s="15"/>
    </row>
    <row r="270" ht="15.7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239"/>
      <c r="AJ270" s="77"/>
      <c r="AK270" s="5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5"/>
      <c r="AV270" s="15"/>
      <c r="AW270" s="15"/>
      <c r="AX270" s="15"/>
      <c r="AY270" s="15"/>
      <c r="AZ270" s="15"/>
    </row>
    <row r="271" ht="15.7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239"/>
      <c r="AJ271" s="77"/>
      <c r="AK271" s="5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  <c r="AW271" s="15"/>
      <c r="AX271" s="15"/>
      <c r="AY271" s="15"/>
      <c r="AZ271" s="15"/>
    </row>
    <row r="272" ht="15.7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239"/>
      <c r="AJ272" s="77"/>
      <c r="AK272" s="5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  <c r="AX272" s="15"/>
      <c r="AY272" s="15"/>
      <c r="AZ272" s="15"/>
    </row>
    <row r="273" ht="15.7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239"/>
      <c r="AJ273" s="77"/>
      <c r="AK273" s="5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  <c r="AX273" s="15"/>
      <c r="AY273" s="15"/>
      <c r="AZ273" s="15"/>
    </row>
    <row r="274" ht="15.7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239"/>
      <c r="AJ274" s="77"/>
      <c r="AK274" s="55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  <c r="AV274" s="15"/>
      <c r="AW274" s="15"/>
      <c r="AX274" s="15"/>
      <c r="AY274" s="15"/>
      <c r="AZ274" s="15"/>
    </row>
    <row r="275" ht="15.7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239"/>
      <c r="AJ275" s="77"/>
      <c r="AK275" s="5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5"/>
      <c r="AW275" s="15"/>
      <c r="AX275" s="15"/>
      <c r="AY275" s="15"/>
      <c r="AZ275" s="15"/>
    </row>
    <row r="276" ht="15.7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239"/>
      <c r="AJ276" s="77"/>
      <c r="AK276" s="55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  <c r="AV276" s="15"/>
      <c r="AW276" s="15"/>
      <c r="AX276" s="15"/>
      <c r="AY276" s="15"/>
      <c r="AZ276" s="15"/>
    </row>
    <row r="277" ht="15.7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239"/>
      <c r="AJ277" s="77"/>
      <c r="AK277" s="5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  <c r="AW277" s="15"/>
      <c r="AX277" s="15"/>
      <c r="AY277" s="15"/>
      <c r="AZ277" s="15"/>
    </row>
    <row r="278" ht="15.7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239"/>
      <c r="AJ278" s="77"/>
      <c r="AK278" s="55"/>
      <c r="AL278" s="15"/>
      <c r="AM278" s="15"/>
      <c r="AN278" s="15"/>
      <c r="AO278" s="15"/>
      <c r="AP278" s="15"/>
      <c r="AQ278" s="15"/>
      <c r="AR278" s="15"/>
      <c r="AS278" s="15"/>
      <c r="AT278" s="15"/>
      <c r="AU278" s="15"/>
      <c r="AV278" s="15"/>
      <c r="AW278" s="15"/>
      <c r="AX278" s="15"/>
      <c r="AY278" s="15"/>
      <c r="AZ278" s="15"/>
    </row>
    <row r="279" ht="15.7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239"/>
      <c r="AJ279" s="77"/>
      <c r="AK279" s="5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5"/>
      <c r="AW279" s="15"/>
      <c r="AX279" s="15"/>
      <c r="AY279" s="15"/>
      <c r="AZ279" s="15"/>
    </row>
    <row r="280" ht="15.7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239"/>
      <c r="AJ280" s="77"/>
      <c r="AK280" s="55"/>
      <c r="AL280" s="15"/>
      <c r="AM280" s="15"/>
      <c r="AN280" s="15"/>
      <c r="AO280" s="15"/>
      <c r="AP280" s="15"/>
      <c r="AQ280" s="15"/>
      <c r="AR280" s="15"/>
      <c r="AS280" s="15"/>
      <c r="AT280" s="15"/>
      <c r="AU280" s="15"/>
      <c r="AV280" s="15"/>
      <c r="AW280" s="15"/>
      <c r="AX280" s="15"/>
      <c r="AY280" s="15"/>
      <c r="AZ280" s="15"/>
    </row>
    <row r="281" ht="15.7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239"/>
      <c r="AJ281" s="77"/>
      <c r="AK281" s="5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  <c r="AX281" s="15"/>
      <c r="AY281" s="15"/>
      <c r="AZ281" s="15"/>
    </row>
    <row r="282" ht="15.7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239"/>
      <c r="AJ282" s="77"/>
      <c r="AK282" s="55"/>
      <c r="AL282" s="15"/>
      <c r="AM282" s="15"/>
      <c r="AN282" s="15"/>
      <c r="AO282" s="15"/>
      <c r="AP282" s="15"/>
      <c r="AQ282" s="15"/>
      <c r="AR282" s="15"/>
      <c r="AS282" s="15"/>
      <c r="AT282" s="15"/>
      <c r="AU282" s="15"/>
      <c r="AV282" s="15"/>
      <c r="AW282" s="15"/>
      <c r="AX282" s="15"/>
      <c r="AY282" s="15"/>
      <c r="AZ282" s="15"/>
    </row>
    <row r="283" ht="15.7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239"/>
      <c r="AJ283" s="77"/>
      <c r="AK283" s="5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  <c r="AX283" s="15"/>
      <c r="AY283" s="15"/>
      <c r="AZ283" s="15"/>
    </row>
    <row r="284" ht="15.7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239"/>
      <c r="AJ284" s="77"/>
      <c r="AK284" s="5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  <c r="AV284" s="15"/>
      <c r="AW284" s="15"/>
      <c r="AX284" s="15"/>
      <c r="AY284" s="15"/>
      <c r="AZ284" s="15"/>
    </row>
    <row r="285" ht="15.7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239"/>
      <c r="AJ285" s="77"/>
      <c r="AK285" s="5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AV285" s="15"/>
      <c r="AW285" s="15"/>
      <c r="AX285" s="15"/>
      <c r="AY285" s="15"/>
      <c r="AZ285" s="15"/>
    </row>
    <row r="286" ht="15.7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239"/>
      <c r="AJ286" s="77"/>
      <c r="AK286" s="55"/>
      <c r="AL286" s="15"/>
      <c r="AM286" s="15"/>
      <c r="AN286" s="15"/>
      <c r="AO286" s="15"/>
      <c r="AP286" s="15"/>
      <c r="AQ286" s="15"/>
      <c r="AR286" s="15"/>
      <c r="AS286" s="15"/>
      <c r="AT286" s="15"/>
      <c r="AU286" s="15"/>
      <c r="AV286" s="15"/>
      <c r="AW286" s="15"/>
      <c r="AX286" s="15"/>
      <c r="AY286" s="15"/>
      <c r="AZ286" s="15"/>
    </row>
    <row r="287" ht="15.7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239"/>
      <c r="AJ287" s="77"/>
      <c r="AK287" s="5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  <c r="AX287" s="15"/>
      <c r="AY287" s="15"/>
      <c r="AZ287" s="15"/>
    </row>
    <row r="288" ht="15.7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239"/>
      <c r="AJ288" s="77"/>
      <c r="AK288" s="55"/>
      <c r="AL288" s="15"/>
      <c r="AM288" s="15"/>
      <c r="AN288" s="15"/>
      <c r="AO288" s="15"/>
      <c r="AP288" s="15"/>
      <c r="AQ288" s="15"/>
      <c r="AR288" s="15"/>
      <c r="AS288" s="15"/>
      <c r="AT288" s="15"/>
      <c r="AU288" s="15"/>
      <c r="AV288" s="15"/>
      <c r="AW288" s="15"/>
      <c r="AX288" s="15"/>
      <c r="AY288" s="15"/>
      <c r="AZ288" s="15"/>
    </row>
    <row r="289" ht="15.7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239"/>
      <c r="AJ289" s="77"/>
      <c r="AK289" s="5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  <c r="AW289" s="15"/>
      <c r="AX289" s="15"/>
      <c r="AY289" s="15"/>
      <c r="AZ289" s="15"/>
    </row>
    <row r="290" ht="15.7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239"/>
      <c r="AJ290" s="77"/>
      <c r="AK290" s="55"/>
      <c r="AL290" s="15"/>
      <c r="AM290" s="15"/>
      <c r="AN290" s="15"/>
      <c r="AO290" s="15"/>
      <c r="AP290" s="15"/>
      <c r="AQ290" s="15"/>
      <c r="AR290" s="15"/>
      <c r="AS290" s="15"/>
      <c r="AT290" s="15"/>
      <c r="AU290" s="15"/>
      <c r="AV290" s="15"/>
      <c r="AW290" s="15"/>
      <c r="AX290" s="15"/>
      <c r="AY290" s="15"/>
      <c r="AZ290" s="15"/>
    </row>
    <row r="291" ht="15.7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239"/>
      <c r="AJ291" s="77"/>
      <c r="AK291" s="5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  <c r="AW291" s="15"/>
      <c r="AX291" s="15"/>
      <c r="AY291" s="15"/>
      <c r="AZ291" s="15"/>
    </row>
    <row r="292" ht="15.7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239"/>
      <c r="AJ292" s="77"/>
      <c r="AK292" s="55"/>
      <c r="AL292" s="15"/>
      <c r="AM292" s="15"/>
      <c r="AN292" s="15"/>
      <c r="AO292" s="15"/>
      <c r="AP292" s="15"/>
      <c r="AQ292" s="15"/>
      <c r="AR292" s="15"/>
      <c r="AS292" s="15"/>
      <c r="AT292" s="15"/>
      <c r="AU292" s="15"/>
      <c r="AV292" s="15"/>
      <c r="AW292" s="15"/>
      <c r="AX292" s="15"/>
      <c r="AY292" s="15"/>
      <c r="AZ292" s="15"/>
    </row>
    <row r="293" ht="15.7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239"/>
      <c r="AJ293" s="77"/>
      <c r="AK293" s="5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  <c r="AW293" s="15"/>
      <c r="AX293" s="15"/>
      <c r="AY293" s="15"/>
      <c r="AZ293" s="15"/>
    </row>
    <row r="294" ht="15.7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239"/>
      <c r="AJ294" s="77"/>
      <c r="AK294" s="5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  <c r="AZ294" s="15"/>
    </row>
    <row r="295" ht="15.7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239"/>
      <c r="AJ295" s="77"/>
      <c r="AK295" s="5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  <c r="AV295" s="15"/>
      <c r="AW295" s="15"/>
      <c r="AX295" s="15"/>
      <c r="AY295" s="15"/>
      <c r="AZ295" s="15"/>
    </row>
    <row r="296" ht="15.7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239"/>
      <c r="AJ296" s="77"/>
      <c r="AK296" s="5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  <c r="AV296" s="15"/>
      <c r="AW296" s="15"/>
      <c r="AX296" s="15"/>
      <c r="AY296" s="15"/>
      <c r="AZ296" s="15"/>
    </row>
    <row r="297" ht="15.7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239"/>
      <c r="AJ297" s="77"/>
      <c r="AK297" s="5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  <c r="AX297" s="15"/>
      <c r="AY297" s="15"/>
      <c r="AZ297" s="15"/>
    </row>
    <row r="298" ht="15.7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239"/>
      <c r="AJ298" s="77"/>
      <c r="AK298" s="55"/>
      <c r="AL298" s="15"/>
      <c r="AM298" s="15"/>
      <c r="AN298" s="15"/>
      <c r="AO298" s="15"/>
      <c r="AP298" s="15"/>
      <c r="AQ298" s="15"/>
      <c r="AR298" s="15"/>
      <c r="AS298" s="15"/>
      <c r="AT298" s="15"/>
      <c r="AU298" s="15"/>
      <c r="AV298" s="15"/>
      <c r="AW298" s="15"/>
      <c r="AX298" s="15"/>
      <c r="AY298" s="15"/>
      <c r="AZ298" s="15"/>
    </row>
    <row r="299" ht="15.7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239"/>
      <c r="AJ299" s="77"/>
      <c r="AK299" s="5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  <c r="AV299" s="15"/>
      <c r="AW299" s="15"/>
      <c r="AX299" s="15"/>
      <c r="AY299" s="15"/>
      <c r="AZ299" s="15"/>
    </row>
    <row r="300" ht="15.7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239"/>
      <c r="AJ300" s="77"/>
      <c r="AK300" s="55"/>
      <c r="AL300" s="15"/>
      <c r="AM300" s="15"/>
      <c r="AN300" s="15"/>
      <c r="AO300" s="15"/>
      <c r="AP300" s="15"/>
      <c r="AQ300" s="15"/>
      <c r="AR300" s="15"/>
      <c r="AS300" s="15"/>
      <c r="AT300" s="15"/>
      <c r="AU300" s="15"/>
      <c r="AV300" s="15"/>
      <c r="AW300" s="15"/>
      <c r="AX300" s="15"/>
      <c r="AY300" s="15"/>
      <c r="AZ300" s="15"/>
    </row>
    <row r="301" ht="15.7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239"/>
      <c r="AJ301" s="77"/>
      <c r="AK301" s="5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  <c r="AX301" s="15"/>
      <c r="AY301" s="15"/>
      <c r="AZ301" s="15"/>
    </row>
    <row r="302" ht="15.7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239"/>
      <c r="AJ302" s="77"/>
      <c r="AK302" s="55"/>
      <c r="AL302" s="15"/>
      <c r="AM302" s="15"/>
      <c r="AN302" s="15"/>
      <c r="AO302" s="15"/>
      <c r="AP302" s="15"/>
      <c r="AQ302" s="15"/>
      <c r="AR302" s="15"/>
      <c r="AS302" s="15"/>
      <c r="AT302" s="15"/>
      <c r="AU302" s="15"/>
      <c r="AV302" s="15"/>
      <c r="AW302" s="15"/>
      <c r="AX302" s="15"/>
      <c r="AY302" s="15"/>
      <c r="AZ302" s="15"/>
    </row>
    <row r="303" ht="15.7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239"/>
      <c r="AJ303" s="77"/>
      <c r="AK303" s="5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  <c r="AV303" s="15"/>
      <c r="AW303" s="15"/>
      <c r="AX303" s="15"/>
      <c r="AY303" s="15"/>
      <c r="AZ303" s="15"/>
    </row>
    <row r="304" ht="15.7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239"/>
      <c r="AJ304" s="77"/>
      <c r="AK304" s="55"/>
      <c r="AL304" s="15"/>
      <c r="AM304" s="15"/>
      <c r="AN304" s="15"/>
      <c r="AO304" s="15"/>
      <c r="AP304" s="15"/>
      <c r="AQ304" s="15"/>
      <c r="AR304" s="15"/>
      <c r="AS304" s="15"/>
      <c r="AT304" s="15"/>
      <c r="AU304" s="15"/>
      <c r="AV304" s="15"/>
      <c r="AW304" s="15"/>
      <c r="AX304" s="15"/>
      <c r="AY304" s="15"/>
      <c r="AZ304" s="15"/>
    </row>
    <row r="305" ht="15.7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239"/>
      <c r="AJ305" s="77"/>
      <c r="AK305" s="5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AV305" s="15"/>
      <c r="AW305" s="15"/>
      <c r="AX305" s="15"/>
      <c r="AY305" s="15"/>
      <c r="AZ305" s="15"/>
    </row>
    <row r="306" ht="15.7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239"/>
      <c r="AJ306" s="77"/>
      <c r="AK306" s="55"/>
      <c r="AL306" s="15"/>
      <c r="AM306" s="15"/>
      <c r="AN306" s="15"/>
      <c r="AO306" s="15"/>
      <c r="AP306" s="15"/>
      <c r="AQ306" s="15"/>
      <c r="AR306" s="15"/>
      <c r="AS306" s="15"/>
      <c r="AT306" s="15"/>
      <c r="AU306" s="15"/>
      <c r="AV306" s="15"/>
      <c r="AW306" s="15"/>
      <c r="AX306" s="15"/>
      <c r="AY306" s="15"/>
      <c r="AZ306" s="15"/>
    </row>
    <row r="307" ht="15.7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239"/>
      <c r="AJ307" s="77"/>
      <c r="AK307" s="55"/>
      <c r="AL307" s="15"/>
      <c r="AM307" s="15"/>
      <c r="AN307" s="15"/>
      <c r="AO307" s="15"/>
      <c r="AP307" s="15"/>
      <c r="AQ307" s="15"/>
      <c r="AR307" s="15"/>
      <c r="AS307" s="15"/>
      <c r="AT307" s="15"/>
      <c r="AU307" s="15"/>
      <c r="AV307" s="15"/>
      <c r="AW307" s="15"/>
      <c r="AX307" s="15"/>
      <c r="AY307" s="15"/>
      <c r="AZ307" s="15"/>
    </row>
    <row r="308" ht="15.7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239"/>
      <c r="AJ308" s="77"/>
      <c r="AK308" s="55"/>
      <c r="AL308" s="15"/>
      <c r="AM308" s="15"/>
      <c r="AN308" s="15"/>
      <c r="AO308" s="15"/>
      <c r="AP308" s="15"/>
      <c r="AQ308" s="15"/>
      <c r="AR308" s="15"/>
      <c r="AS308" s="15"/>
      <c r="AT308" s="15"/>
      <c r="AU308" s="15"/>
      <c r="AV308" s="15"/>
      <c r="AW308" s="15"/>
      <c r="AX308" s="15"/>
      <c r="AY308" s="15"/>
      <c r="AZ308" s="15"/>
    </row>
    <row r="309" ht="15.7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239"/>
      <c r="AJ309" s="77"/>
      <c r="AK309" s="5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AV309" s="15"/>
      <c r="AW309" s="15"/>
      <c r="AX309" s="15"/>
      <c r="AY309" s="15"/>
      <c r="AZ309" s="15"/>
    </row>
    <row r="310" ht="15.7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239"/>
      <c r="AJ310" s="77"/>
      <c r="AK310" s="55"/>
      <c r="AL310" s="15"/>
      <c r="AM310" s="15"/>
      <c r="AN310" s="15"/>
      <c r="AO310" s="15"/>
      <c r="AP310" s="15"/>
      <c r="AQ310" s="15"/>
      <c r="AR310" s="15"/>
      <c r="AS310" s="15"/>
      <c r="AT310" s="15"/>
      <c r="AU310" s="15"/>
      <c r="AV310" s="15"/>
      <c r="AW310" s="15"/>
      <c r="AX310" s="15"/>
      <c r="AY310" s="15"/>
      <c r="AZ310" s="15"/>
    </row>
    <row r="311" ht="15.7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239"/>
      <c r="AJ311" s="77"/>
      <c r="AK311" s="5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  <c r="AV311" s="15"/>
      <c r="AW311" s="15"/>
      <c r="AX311" s="15"/>
      <c r="AY311" s="15"/>
      <c r="AZ311" s="15"/>
    </row>
    <row r="312" ht="15.7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239"/>
      <c r="AJ312" s="77"/>
      <c r="AK312" s="55"/>
      <c r="AL312" s="15"/>
      <c r="AM312" s="15"/>
      <c r="AN312" s="15"/>
      <c r="AO312" s="15"/>
      <c r="AP312" s="15"/>
      <c r="AQ312" s="15"/>
      <c r="AR312" s="15"/>
      <c r="AS312" s="15"/>
      <c r="AT312" s="15"/>
      <c r="AU312" s="15"/>
      <c r="AV312" s="15"/>
      <c r="AW312" s="15"/>
      <c r="AX312" s="15"/>
      <c r="AY312" s="15"/>
      <c r="AZ312" s="15"/>
    </row>
    <row r="313" ht="15.7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239"/>
      <c r="AJ313" s="77"/>
      <c r="AK313" s="5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5"/>
      <c r="AV313" s="15"/>
      <c r="AW313" s="15"/>
      <c r="AX313" s="15"/>
      <c r="AY313" s="15"/>
      <c r="AZ313" s="15"/>
    </row>
    <row r="314" ht="15.7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239"/>
      <c r="AJ314" s="77"/>
      <c r="AK314" s="55"/>
      <c r="AL314" s="15"/>
      <c r="AM314" s="15"/>
      <c r="AN314" s="15"/>
      <c r="AO314" s="15"/>
      <c r="AP314" s="15"/>
      <c r="AQ314" s="15"/>
      <c r="AR314" s="15"/>
      <c r="AS314" s="15"/>
      <c r="AT314" s="15"/>
      <c r="AU314" s="15"/>
      <c r="AV314" s="15"/>
      <c r="AW314" s="15"/>
      <c r="AX314" s="15"/>
      <c r="AY314" s="15"/>
      <c r="AZ314" s="15"/>
    </row>
    <row r="315" ht="15.75" customHeight="1">
      <c r="AH315" s="256"/>
      <c r="AI315" s="257"/>
      <c r="AJ315" s="258"/>
      <c r="AK315" s="24"/>
    </row>
    <row r="316" ht="15.75" customHeight="1">
      <c r="AH316" s="256"/>
      <c r="AI316" s="257"/>
      <c r="AJ316" s="258"/>
      <c r="AK316" s="24"/>
    </row>
    <row r="317" ht="15.75" customHeight="1">
      <c r="AH317" s="256"/>
      <c r="AI317" s="257"/>
      <c r="AJ317" s="258"/>
      <c r="AK317" s="24"/>
    </row>
    <row r="318" ht="15.75" customHeight="1">
      <c r="AH318" s="256"/>
      <c r="AI318" s="257"/>
      <c r="AJ318" s="258"/>
      <c r="AK318" s="24"/>
    </row>
    <row r="319" ht="15.75" customHeight="1">
      <c r="AH319" s="256"/>
      <c r="AI319" s="257"/>
      <c r="AJ319" s="258"/>
      <c r="AK319" s="24"/>
    </row>
    <row r="320" ht="15.75" customHeight="1">
      <c r="AH320" s="256"/>
      <c r="AI320" s="257"/>
      <c r="AJ320" s="258"/>
      <c r="AK320" s="24"/>
    </row>
    <row r="321" ht="15.75" customHeight="1">
      <c r="AH321" s="256"/>
      <c r="AI321" s="257"/>
      <c r="AJ321" s="258"/>
      <c r="AK321" s="24"/>
    </row>
    <row r="322" ht="15.75" customHeight="1">
      <c r="AH322" s="256"/>
      <c r="AI322" s="257"/>
      <c r="AJ322" s="258"/>
      <c r="AK322" s="24"/>
    </row>
    <row r="323" ht="15.75" customHeight="1">
      <c r="AH323" s="256"/>
      <c r="AI323" s="257"/>
      <c r="AJ323" s="258"/>
      <c r="AK323" s="24"/>
    </row>
    <row r="324" ht="15.75" customHeight="1">
      <c r="AH324" s="256"/>
      <c r="AI324" s="257"/>
      <c r="AJ324" s="258"/>
      <c r="AK324" s="24"/>
    </row>
    <row r="325" ht="15.75" customHeight="1">
      <c r="AH325" s="256"/>
      <c r="AI325" s="257"/>
      <c r="AJ325" s="258"/>
      <c r="AK325" s="24"/>
    </row>
    <row r="326" ht="15.75" customHeight="1">
      <c r="AH326" s="256"/>
      <c r="AI326" s="257"/>
      <c r="AJ326" s="258"/>
      <c r="AK326" s="24"/>
    </row>
    <row r="327" ht="15.75" customHeight="1">
      <c r="AH327" s="256"/>
      <c r="AI327" s="257"/>
      <c r="AJ327" s="258"/>
      <c r="AK327" s="24"/>
    </row>
    <row r="328" ht="15.75" customHeight="1">
      <c r="AH328" s="256"/>
      <c r="AI328" s="257"/>
      <c r="AJ328" s="258"/>
      <c r="AK328" s="24"/>
    </row>
    <row r="329" ht="15.75" customHeight="1">
      <c r="AH329" s="256"/>
      <c r="AI329" s="257"/>
      <c r="AJ329" s="258"/>
      <c r="AK329" s="24"/>
    </row>
    <row r="330" ht="15.75" customHeight="1">
      <c r="AH330" s="256"/>
      <c r="AI330" s="257"/>
      <c r="AJ330" s="258"/>
      <c r="AK330" s="24"/>
    </row>
    <row r="331" ht="15.75" customHeight="1">
      <c r="AH331" s="256"/>
      <c r="AI331" s="257"/>
      <c r="AJ331" s="258"/>
      <c r="AK331" s="24"/>
    </row>
    <row r="332" ht="15.75" customHeight="1">
      <c r="AH332" s="256"/>
      <c r="AI332" s="257"/>
      <c r="AJ332" s="258"/>
      <c r="AK332" s="24"/>
    </row>
    <row r="333" ht="15.75" customHeight="1">
      <c r="AH333" s="256"/>
      <c r="AI333" s="257"/>
      <c r="AJ333" s="258"/>
      <c r="AK333" s="24"/>
    </row>
    <row r="334" ht="15.75" customHeight="1">
      <c r="AH334" s="256"/>
      <c r="AI334" s="257"/>
      <c r="AJ334" s="258"/>
      <c r="AK334" s="24"/>
    </row>
    <row r="335" ht="15.75" customHeight="1">
      <c r="AH335" s="256"/>
      <c r="AI335" s="257"/>
      <c r="AJ335" s="258"/>
      <c r="AK335" s="24"/>
    </row>
    <row r="336" ht="15.75" customHeight="1">
      <c r="AH336" s="256"/>
      <c r="AI336" s="257"/>
      <c r="AJ336" s="258"/>
      <c r="AK336" s="24"/>
    </row>
    <row r="337" ht="15.75" customHeight="1">
      <c r="AH337" s="256"/>
      <c r="AI337" s="257"/>
      <c r="AJ337" s="258"/>
      <c r="AK337" s="24"/>
    </row>
    <row r="338" ht="15.75" customHeight="1">
      <c r="AH338" s="256"/>
      <c r="AI338" s="257"/>
      <c r="AJ338" s="258"/>
      <c r="AK338" s="24"/>
    </row>
    <row r="339" ht="15.75" customHeight="1">
      <c r="AH339" s="256"/>
      <c r="AI339" s="257"/>
      <c r="AJ339" s="258"/>
      <c r="AK339" s="24"/>
    </row>
    <row r="340" ht="15.75" customHeight="1">
      <c r="AH340" s="256"/>
      <c r="AI340" s="257"/>
      <c r="AJ340" s="258"/>
      <c r="AK340" s="24"/>
    </row>
    <row r="341" ht="15.75" customHeight="1">
      <c r="AH341" s="256"/>
      <c r="AI341" s="257"/>
      <c r="AJ341" s="258"/>
      <c r="AK341" s="24"/>
    </row>
    <row r="342" ht="15.75" customHeight="1">
      <c r="AH342" s="256"/>
      <c r="AI342" s="257"/>
      <c r="AJ342" s="258"/>
      <c r="AK342" s="24"/>
    </row>
    <row r="343" ht="15.75" customHeight="1">
      <c r="AH343" s="256"/>
      <c r="AI343" s="257"/>
      <c r="AJ343" s="258"/>
      <c r="AK343" s="24"/>
    </row>
    <row r="344" ht="15.75" customHeight="1">
      <c r="AH344" s="256"/>
      <c r="AI344" s="257"/>
      <c r="AJ344" s="258"/>
      <c r="AK344" s="24"/>
    </row>
    <row r="345" ht="15.75" customHeight="1">
      <c r="AH345" s="256"/>
      <c r="AI345" s="257"/>
      <c r="AJ345" s="258"/>
      <c r="AK345" s="24"/>
    </row>
    <row r="346" ht="15.75" customHeight="1">
      <c r="AH346" s="256"/>
      <c r="AI346" s="257"/>
      <c r="AJ346" s="258"/>
      <c r="AK346" s="24"/>
    </row>
    <row r="347" ht="15.75" customHeight="1">
      <c r="AH347" s="256"/>
      <c r="AI347" s="257"/>
      <c r="AJ347" s="258"/>
      <c r="AK347" s="24"/>
    </row>
    <row r="348" ht="15.75" customHeight="1">
      <c r="AH348" s="256"/>
      <c r="AI348" s="257"/>
      <c r="AJ348" s="258"/>
      <c r="AK348" s="24"/>
    </row>
    <row r="349" ht="15.75" customHeight="1">
      <c r="AH349" s="256"/>
      <c r="AI349" s="257"/>
      <c r="AJ349" s="258"/>
      <c r="AK349" s="24"/>
    </row>
    <row r="350" ht="15.75" customHeight="1">
      <c r="AH350" s="256"/>
      <c r="AI350" s="257"/>
      <c r="AJ350" s="258"/>
      <c r="AK350" s="24"/>
    </row>
    <row r="351" ht="15.75" customHeight="1">
      <c r="AH351" s="256"/>
      <c r="AI351" s="257"/>
      <c r="AJ351" s="258"/>
      <c r="AK351" s="24"/>
    </row>
    <row r="352" ht="15.75" customHeight="1">
      <c r="AH352" s="256"/>
      <c r="AI352" s="257"/>
      <c r="AJ352" s="258"/>
      <c r="AK352" s="24"/>
    </row>
    <row r="353" ht="15.75" customHeight="1">
      <c r="AH353" s="256"/>
      <c r="AI353" s="257"/>
      <c r="AJ353" s="258"/>
      <c r="AK353" s="24"/>
    </row>
    <row r="354" ht="15.75" customHeight="1">
      <c r="AH354" s="256"/>
      <c r="AI354" s="257"/>
      <c r="AJ354" s="258"/>
      <c r="AK354" s="24"/>
    </row>
    <row r="355" ht="15.75" customHeight="1">
      <c r="AH355" s="256"/>
      <c r="AI355" s="257"/>
      <c r="AJ355" s="258"/>
      <c r="AK355" s="24"/>
    </row>
    <row r="356" ht="15.75" customHeight="1">
      <c r="AH356" s="256"/>
      <c r="AI356" s="257"/>
      <c r="AJ356" s="258"/>
      <c r="AK356" s="24"/>
    </row>
    <row r="357" ht="15.75" customHeight="1">
      <c r="AH357" s="256"/>
      <c r="AI357" s="257"/>
      <c r="AJ357" s="258"/>
      <c r="AK357" s="24"/>
    </row>
    <row r="358" ht="15.75" customHeight="1">
      <c r="AH358" s="256"/>
      <c r="AI358" s="257"/>
      <c r="AJ358" s="258"/>
      <c r="AK358" s="24"/>
    </row>
    <row r="359" ht="15.75" customHeight="1">
      <c r="AH359" s="256"/>
      <c r="AI359" s="257"/>
      <c r="AJ359" s="258"/>
      <c r="AK359" s="24"/>
    </row>
    <row r="360" ht="15.75" customHeight="1">
      <c r="AH360" s="256"/>
      <c r="AI360" s="257"/>
      <c r="AJ360" s="258"/>
      <c r="AK360" s="24"/>
    </row>
    <row r="361" ht="15.75" customHeight="1">
      <c r="AH361" s="256"/>
      <c r="AI361" s="257"/>
      <c r="AJ361" s="258"/>
      <c r="AK361" s="24"/>
    </row>
    <row r="362" ht="15.75" customHeight="1">
      <c r="AH362" s="256"/>
      <c r="AI362" s="257"/>
      <c r="AJ362" s="258"/>
      <c r="AK362" s="24"/>
    </row>
    <row r="363" ht="15.75" customHeight="1">
      <c r="AH363" s="256"/>
      <c r="AI363" s="257"/>
      <c r="AJ363" s="258"/>
      <c r="AK363" s="24"/>
    </row>
    <row r="364" ht="15.75" customHeight="1">
      <c r="AH364" s="256"/>
      <c r="AI364" s="257"/>
      <c r="AJ364" s="258"/>
      <c r="AK364" s="24"/>
    </row>
    <row r="365" ht="15.75" customHeight="1">
      <c r="AH365" s="256"/>
      <c r="AI365" s="257"/>
      <c r="AJ365" s="258"/>
      <c r="AK365" s="24"/>
    </row>
    <row r="366" ht="15.75" customHeight="1">
      <c r="AH366" s="256"/>
      <c r="AI366" s="257"/>
      <c r="AJ366" s="258"/>
      <c r="AK366" s="24"/>
    </row>
    <row r="367" ht="15.75" customHeight="1">
      <c r="AH367" s="256"/>
      <c r="AI367" s="257"/>
      <c r="AJ367" s="258"/>
      <c r="AK367" s="24"/>
    </row>
    <row r="368" ht="15.75" customHeight="1">
      <c r="AH368" s="256"/>
      <c r="AI368" s="257"/>
      <c r="AJ368" s="258"/>
      <c r="AK368" s="24"/>
    </row>
    <row r="369" ht="15.75" customHeight="1">
      <c r="AH369" s="256"/>
      <c r="AI369" s="257"/>
      <c r="AJ369" s="258"/>
      <c r="AK369" s="24"/>
    </row>
    <row r="370" ht="15.75" customHeight="1">
      <c r="AH370" s="256"/>
      <c r="AI370" s="257"/>
      <c r="AJ370" s="258"/>
      <c r="AK370" s="24"/>
    </row>
    <row r="371" ht="15.75" customHeight="1">
      <c r="AH371" s="256"/>
      <c r="AI371" s="257"/>
      <c r="AJ371" s="258"/>
      <c r="AK371" s="24"/>
    </row>
    <row r="372" ht="15.75" customHeight="1">
      <c r="AH372" s="256"/>
      <c r="AI372" s="257"/>
      <c r="AJ372" s="258"/>
      <c r="AK372" s="24"/>
    </row>
    <row r="373" ht="15.75" customHeight="1">
      <c r="AH373" s="256"/>
      <c r="AI373" s="257"/>
      <c r="AJ373" s="258"/>
      <c r="AK373" s="24"/>
    </row>
    <row r="374" ht="15.75" customHeight="1">
      <c r="AH374" s="256"/>
      <c r="AI374" s="257"/>
      <c r="AJ374" s="258"/>
      <c r="AK374" s="24"/>
    </row>
    <row r="375" ht="15.75" customHeight="1">
      <c r="AH375" s="256"/>
      <c r="AI375" s="257"/>
      <c r="AJ375" s="258"/>
      <c r="AK375" s="24"/>
    </row>
    <row r="376" ht="15.75" customHeight="1">
      <c r="AH376" s="256"/>
      <c r="AI376" s="257"/>
      <c r="AJ376" s="258"/>
      <c r="AK376" s="24"/>
    </row>
    <row r="377" ht="15.75" customHeight="1">
      <c r="AH377" s="256"/>
      <c r="AI377" s="257"/>
      <c r="AJ377" s="258"/>
      <c r="AK377" s="24"/>
    </row>
    <row r="378" ht="15.75" customHeight="1">
      <c r="AH378" s="256"/>
      <c r="AI378" s="257"/>
      <c r="AJ378" s="258"/>
      <c r="AK378" s="24"/>
    </row>
    <row r="379" ht="15.75" customHeight="1">
      <c r="AH379" s="256"/>
      <c r="AI379" s="257"/>
      <c r="AJ379" s="258"/>
      <c r="AK379" s="24"/>
    </row>
    <row r="380" ht="15.75" customHeight="1">
      <c r="AH380" s="256"/>
      <c r="AI380" s="257"/>
      <c r="AJ380" s="258"/>
      <c r="AK380" s="24"/>
    </row>
    <row r="381" ht="15.75" customHeight="1">
      <c r="AH381" s="256"/>
      <c r="AI381" s="257"/>
      <c r="AJ381" s="258"/>
      <c r="AK381" s="24"/>
    </row>
    <row r="382" ht="15.75" customHeight="1">
      <c r="AH382" s="256"/>
      <c r="AI382" s="257"/>
      <c r="AJ382" s="258"/>
      <c r="AK382" s="24"/>
    </row>
    <row r="383" ht="15.75" customHeight="1">
      <c r="AH383" s="256"/>
      <c r="AI383" s="257"/>
      <c r="AJ383" s="258"/>
      <c r="AK383" s="24"/>
    </row>
    <row r="384" ht="15.75" customHeight="1">
      <c r="AH384" s="256"/>
      <c r="AI384" s="257"/>
      <c r="AJ384" s="258"/>
      <c r="AK384" s="24"/>
    </row>
    <row r="385" ht="15.75" customHeight="1">
      <c r="AH385" s="256"/>
      <c r="AI385" s="257"/>
      <c r="AJ385" s="258"/>
      <c r="AK385" s="24"/>
    </row>
    <row r="386" ht="15.75" customHeight="1">
      <c r="AH386" s="256"/>
      <c r="AI386" s="257"/>
      <c r="AJ386" s="258"/>
      <c r="AK386" s="24"/>
    </row>
    <row r="387" ht="15.75" customHeight="1">
      <c r="AH387" s="256"/>
      <c r="AI387" s="257"/>
      <c r="AJ387" s="258"/>
      <c r="AK387" s="24"/>
    </row>
    <row r="388" ht="15.75" customHeight="1">
      <c r="AH388" s="256"/>
      <c r="AI388" s="257"/>
      <c r="AJ388" s="258"/>
      <c r="AK388" s="24"/>
    </row>
    <row r="389" ht="15.75" customHeight="1">
      <c r="AH389" s="256"/>
      <c r="AI389" s="257"/>
      <c r="AJ389" s="258"/>
      <c r="AK389" s="24"/>
    </row>
    <row r="390" ht="15.75" customHeight="1">
      <c r="AH390" s="256"/>
      <c r="AI390" s="257"/>
      <c r="AJ390" s="258"/>
      <c r="AK390" s="24"/>
    </row>
    <row r="391" ht="15.75" customHeight="1">
      <c r="AH391" s="256"/>
      <c r="AI391" s="257"/>
      <c r="AJ391" s="258"/>
      <c r="AK391" s="24"/>
    </row>
    <row r="392" ht="15.75" customHeight="1">
      <c r="AH392" s="256"/>
      <c r="AI392" s="257"/>
      <c r="AJ392" s="258"/>
      <c r="AK392" s="24"/>
    </row>
    <row r="393" ht="15.75" customHeight="1">
      <c r="AH393" s="256"/>
      <c r="AI393" s="257"/>
      <c r="AJ393" s="258"/>
      <c r="AK393" s="24"/>
    </row>
    <row r="394" ht="15.75" customHeight="1">
      <c r="AH394" s="256"/>
      <c r="AI394" s="257"/>
      <c r="AJ394" s="258"/>
      <c r="AK394" s="24"/>
    </row>
    <row r="395" ht="15.75" customHeight="1">
      <c r="AH395" s="256"/>
      <c r="AI395" s="257"/>
      <c r="AJ395" s="258"/>
      <c r="AK395" s="24"/>
    </row>
    <row r="396" ht="15.75" customHeight="1">
      <c r="AH396" s="256"/>
      <c r="AI396" s="257"/>
      <c r="AJ396" s="258"/>
      <c r="AK396" s="24"/>
    </row>
    <row r="397" ht="15.75" customHeight="1">
      <c r="AH397" s="256"/>
      <c r="AI397" s="257"/>
      <c r="AJ397" s="258"/>
      <c r="AK397" s="24"/>
    </row>
    <row r="398" ht="15.75" customHeight="1">
      <c r="AH398" s="256"/>
      <c r="AI398" s="257"/>
      <c r="AJ398" s="258"/>
      <c r="AK398" s="24"/>
    </row>
    <row r="399" ht="15.75" customHeight="1">
      <c r="AH399" s="256"/>
      <c r="AI399" s="257"/>
      <c r="AJ399" s="258"/>
      <c r="AK399" s="24"/>
    </row>
    <row r="400" ht="15.75" customHeight="1">
      <c r="AH400" s="256"/>
      <c r="AI400" s="257"/>
      <c r="AJ400" s="258"/>
      <c r="AK400" s="24"/>
    </row>
    <row r="401" ht="15.75" customHeight="1">
      <c r="AH401" s="256"/>
      <c r="AI401" s="257"/>
      <c r="AJ401" s="258"/>
      <c r="AK401" s="24"/>
    </row>
    <row r="402" ht="15.75" customHeight="1">
      <c r="AH402" s="256"/>
      <c r="AI402" s="257"/>
      <c r="AJ402" s="258"/>
      <c r="AK402" s="24"/>
    </row>
    <row r="403" ht="15.75" customHeight="1">
      <c r="AH403" s="256"/>
      <c r="AI403" s="257"/>
      <c r="AJ403" s="258"/>
      <c r="AK403" s="24"/>
    </row>
    <row r="404" ht="15.75" customHeight="1">
      <c r="AH404" s="256"/>
      <c r="AI404" s="257"/>
      <c r="AJ404" s="258"/>
      <c r="AK404" s="24"/>
    </row>
    <row r="405" ht="15.75" customHeight="1">
      <c r="AH405" s="256"/>
      <c r="AI405" s="257"/>
      <c r="AJ405" s="258"/>
      <c r="AK405" s="24"/>
    </row>
    <row r="406" ht="15.75" customHeight="1">
      <c r="AH406" s="256"/>
      <c r="AI406" s="257"/>
      <c r="AJ406" s="258"/>
      <c r="AK406" s="24"/>
    </row>
    <row r="407" ht="15.75" customHeight="1">
      <c r="AH407" s="256"/>
      <c r="AI407" s="257"/>
      <c r="AJ407" s="258"/>
      <c r="AK407" s="24"/>
    </row>
    <row r="408" ht="15.75" customHeight="1">
      <c r="AH408" s="256"/>
      <c r="AI408" s="257"/>
      <c r="AJ408" s="258"/>
      <c r="AK408" s="24"/>
    </row>
    <row r="409" ht="15.75" customHeight="1">
      <c r="AH409" s="256"/>
      <c r="AI409" s="257"/>
      <c r="AJ409" s="258"/>
      <c r="AK409" s="24"/>
    </row>
    <row r="410" ht="15.75" customHeight="1">
      <c r="AH410" s="256"/>
      <c r="AI410" s="257"/>
      <c r="AJ410" s="258"/>
      <c r="AK410" s="24"/>
    </row>
    <row r="411" ht="15.75" customHeight="1">
      <c r="AH411" s="256"/>
      <c r="AI411" s="257"/>
      <c r="AJ411" s="258"/>
      <c r="AK411" s="24"/>
    </row>
    <row r="412" ht="15.75" customHeight="1">
      <c r="AH412" s="256"/>
      <c r="AI412" s="257"/>
      <c r="AJ412" s="258"/>
      <c r="AK412" s="24"/>
    </row>
    <row r="413" ht="15.75" customHeight="1">
      <c r="AH413" s="256"/>
      <c r="AI413" s="257"/>
      <c r="AJ413" s="258"/>
      <c r="AK413" s="24"/>
    </row>
    <row r="414" ht="15.75" customHeight="1">
      <c r="AH414" s="256"/>
      <c r="AI414" s="257"/>
      <c r="AJ414" s="258"/>
      <c r="AK414" s="24"/>
    </row>
    <row r="415" ht="15.75" customHeight="1">
      <c r="AH415" s="256"/>
      <c r="AI415" s="257"/>
      <c r="AJ415" s="258"/>
      <c r="AK415" s="24"/>
    </row>
    <row r="416" ht="15.75" customHeight="1">
      <c r="AH416" s="256"/>
      <c r="AI416" s="257"/>
      <c r="AJ416" s="258"/>
      <c r="AK416" s="24"/>
    </row>
    <row r="417" ht="15.75" customHeight="1">
      <c r="AH417" s="256"/>
      <c r="AI417" s="257"/>
      <c r="AJ417" s="258"/>
      <c r="AK417" s="24"/>
    </row>
    <row r="418" ht="15.75" customHeight="1">
      <c r="AH418" s="256"/>
      <c r="AI418" s="257"/>
      <c r="AJ418" s="258"/>
      <c r="AK418" s="24"/>
    </row>
    <row r="419" ht="15.75" customHeight="1">
      <c r="AH419" s="256"/>
      <c r="AI419" s="257"/>
      <c r="AJ419" s="258"/>
      <c r="AK419" s="24"/>
    </row>
    <row r="420" ht="15.75" customHeight="1">
      <c r="AH420" s="256"/>
      <c r="AI420" s="257"/>
      <c r="AJ420" s="258"/>
      <c r="AK420" s="24"/>
    </row>
    <row r="421" ht="15.75" customHeight="1">
      <c r="AH421" s="256"/>
      <c r="AI421" s="257"/>
      <c r="AJ421" s="258"/>
      <c r="AK421" s="24"/>
    </row>
    <row r="422" ht="15.75" customHeight="1">
      <c r="AH422" s="256"/>
      <c r="AI422" s="257"/>
      <c r="AJ422" s="258"/>
      <c r="AK422" s="24"/>
    </row>
    <row r="423" ht="15.75" customHeight="1">
      <c r="AH423" s="256"/>
      <c r="AI423" s="257"/>
      <c r="AJ423" s="258"/>
      <c r="AK423" s="24"/>
    </row>
    <row r="424" ht="15.75" customHeight="1">
      <c r="AH424" s="256"/>
      <c r="AI424" s="257"/>
      <c r="AJ424" s="258"/>
      <c r="AK424" s="24"/>
    </row>
    <row r="425" ht="15.75" customHeight="1">
      <c r="AH425" s="256"/>
      <c r="AI425" s="257"/>
      <c r="AJ425" s="258"/>
      <c r="AK425" s="24"/>
    </row>
    <row r="426" ht="15.75" customHeight="1">
      <c r="AH426" s="256"/>
      <c r="AI426" s="257"/>
      <c r="AJ426" s="258"/>
      <c r="AK426" s="24"/>
    </row>
    <row r="427" ht="15.75" customHeight="1">
      <c r="AH427" s="256"/>
      <c r="AI427" s="257"/>
      <c r="AJ427" s="258"/>
      <c r="AK427" s="24"/>
    </row>
    <row r="428" ht="15.75" customHeight="1">
      <c r="AH428" s="256"/>
      <c r="AI428" s="257"/>
      <c r="AJ428" s="258"/>
      <c r="AK428" s="24"/>
    </row>
    <row r="429" ht="15.75" customHeight="1">
      <c r="AH429" s="256"/>
      <c r="AI429" s="257"/>
      <c r="AJ429" s="258"/>
      <c r="AK429" s="24"/>
    </row>
    <row r="430" ht="15.75" customHeight="1">
      <c r="AH430" s="256"/>
      <c r="AI430" s="257"/>
      <c r="AJ430" s="258"/>
      <c r="AK430" s="24"/>
    </row>
    <row r="431" ht="15.75" customHeight="1">
      <c r="AH431" s="256"/>
      <c r="AI431" s="257"/>
      <c r="AJ431" s="258"/>
      <c r="AK431" s="24"/>
    </row>
    <row r="432" ht="15.75" customHeight="1">
      <c r="AH432" s="256"/>
      <c r="AI432" s="257"/>
      <c r="AJ432" s="258"/>
      <c r="AK432" s="24"/>
    </row>
    <row r="433" ht="15.75" customHeight="1">
      <c r="AH433" s="256"/>
      <c r="AI433" s="257"/>
      <c r="AJ433" s="258"/>
      <c r="AK433" s="24"/>
    </row>
    <row r="434" ht="15.75" customHeight="1">
      <c r="AH434" s="256"/>
      <c r="AI434" s="257"/>
      <c r="AJ434" s="258"/>
      <c r="AK434" s="24"/>
    </row>
    <row r="435" ht="15.75" customHeight="1">
      <c r="AH435" s="256"/>
      <c r="AI435" s="257"/>
      <c r="AJ435" s="258"/>
      <c r="AK435" s="24"/>
    </row>
    <row r="436" ht="15.75" customHeight="1">
      <c r="AH436" s="256"/>
      <c r="AI436" s="257"/>
      <c r="AJ436" s="258"/>
      <c r="AK436" s="24"/>
    </row>
    <row r="437" ht="15.75" customHeight="1">
      <c r="AH437" s="256"/>
      <c r="AI437" s="257"/>
      <c r="AJ437" s="258"/>
      <c r="AK437" s="24"/>
    </row>
    <row r="438" ht="15.75" customHeight="1">
      <c r="AH438" s="256"/>
      <c r="AI438" s="257"/>
      <c r="AJ438" s="258"/>
      <c r="AK438" s="24"/>
    </row>
    <row r="439" ht="15.75" customHeight="1">
      <c r="AH439" s="256"/>
      <c r="AI439" s="257"/>
      <c r="AJ439" s="258"/>
      <c r="AK439" s="24"/>
    </row>
    <row r="440" ht="15.75" customHeight="1">
      <c r="AH440" s="256"/>
      <c r="AI440" s="257"/>
      <c r="AJ440" s="258"/>
      <c r="AK440" s="24"/>
    </row>
    <row r="441" ht="15.75" customHeight="1">
      <c r="AH441" s="256"/>
      <c r="AI441" s="257"/>
      <c r="AJ441" s="258"/>
      <c r="AK441" s="24"/>
    </row>
    <row r="442" ht="15.75" customHeight="1">
      <c r="AH442" s="256"/>
      <c r="AI442" s="257"/>
      <c r="AJ442" s="258"/>
      <c r="AK442" s="24"/>
    </row>
    <row r="443" ht="15.75" customHeight="1">
      <c r="AH443" s="256"/>
      <c r="AI443" s="257"/>
      <c r="AJ443" s="258"/>
      <c r="AK443" s="24"/>
    </row>
    <row r="444" ht="15.75" customHeight="1">
      <c r="AH444" s="256"/>
      <c r="AI444" s="257"/>
      <c r="AJ444" s="258"/>
      <c r="AK444" s="24"/>
    </row>
    <row r="445" ht="15.75" customHeight="1">
      <c r="AH445" s="256"/>
      <c r="AI445" s="257"/>
      <c r="AJ445" s="258"/>
      <c r="AK445" s="24"/>
    </row>
    <row r="446" ht="15.75" customHeight="1">
      <c r="AH446" s="256"/>
      <c r="AI446" s="257"/>
      <c r="AJ446" s="258"/>
      <c r="AK446" s="24"/>
    </row>
    <row r="447" ht="15.75" customHeight="1">
      <c r="AH447" s="256"/>
      <c r="AI447" s="257"/>
      <c r="AJ447" s="258"/>
      <c r="AK447" s="24"/>
    </row>
    <row r="448" ht="15.75" customHeight="1">
      <c r="AH448" s="256"/>
      <c r="AI448" s="257"/>
      <c r="AJ448" s="258"/>
      <c r="AK448" s="24"/>
    </row>
    <row r="449" ht="15.75" customHeight="1">
      <c r="AH449" s="256"/>
      <c r="AI449" s="257"/>
      <c r="AJ449" s="258"/>
      <c r="AK449" s="24"/>
    </row>
    <row r="450" ht="15.75" customHeight="1">
      <c r="AH450" s="256"/>
      <c r="AI450" s="257"/>
      <c r="AJ450" s="258"/>
      <c r="AK450" s="24"/>
    </row>
    <row r="451" ht="15.75" customHeight="1">
      <c r="AH451" s="256"/>
      <c r="AI451" s="257"/>
      <c r="AJ451" s="258"/>
      <c r="AK451" s="24"/>
    </row>
    <row r="452" ht="15.75" customHeight="1">
      <c r="AH452" s="256"/>
      <c r="AI452" s="257"/>
      <c r="AJ452" s="258"/>
      <c r="AK452" s="24"/>
    </row>
    <row r="453" ht="15.75" customHeight="1">
      <c r="AH453" s="256"/>
      <c r="AI453" s="257"/>
      <c r="AJ453" s="258"/>
      <c r="AK453" s="24"/>
    </row>
    <row r="454" ht="15.75" customHeight="1">
      <c r="AH454" s="256"/>
      <c r="AI454" s="257"/>
      <c r="AJ454" s="258"/>
      <c r="AK454" s="24"/>
    </row>
    <row r="455" ht="15.75" customHeight="1">
      <c r="AH455" s="256"/>
      <c r="AI455" s="257"/>
      <c r="AJ455" s="258"/>
      <c r="AK455" s="24"/>
    </row>
    <row r="456" ht="15.75" customHeight="1">
      <c r="AH456" s="256"/>
      <c r="AI456" s="257"/>
      <c r="AJ456" s="258"/>
      <c r="AK456" s="24"/>
    </row>
    <row r="457" ht="15.75" customHeight="1">
      <c r="AH457" s="256"/>
      <c r="AI457" s="257"/>
      <c r="AJ457" s="258"/>
      <c r="AK457" s="24"/>
    </row>
    <row r="458" ht="15.75" customHeight="1">
      <c r="AH458" s="256"/>
      <c r="AI458" s="257"/>
      <c r="AJ458" s="258"/>
      <c r="AK458" s="24"/>
    </row>
    <row r="459" ht="15.75" customHeight="1">
      <c r="AH459" s="256"/>
      <c r="AI459" s="257"/>
      <c r="AJ459" s="258"/>
      <c r="AK459" s="24"/>
    </row>
    <row r="460" ht="15.75" customHeight="1">
      <c r="AH460" s="256"/>
      <c r="AI460" s="257"/>
      <c r="AJ460" s="258"/>
      <c r="AK460" s="24"/>
    </row>
    <row r="461" ht="15.75" customHeight="1">
      <c r="AH461" s="256"/>
      <c r="AI461" s="257"/>
      <c r="AJ461" s="258"/>
      <c r="AK461" s="24"/>
    </row>
    <row r="462" ht="15.75" customHeight="1">
      <c r="AH462" s="256"/>
      <c r="AI462" s="257"/>
      <c r="AJ462" s="258"/>
      <c r="AK462" s="24"/>
    </row>
    <row r="463" ht="15.75" customHeight="1">
      <c r="AH463" s="256"/>
      <c r="AI463" s="257"/>
      <c r="AJ463" s="258"/>
      <c r="AK463" s="24"/>
    </row>
    <row r="464" ht="15.75" customHeight="1">
      <c r="AH464" s="256"/>
      <c r="AI464" s="257"/>
      <c r="AJ464" s="258"/>
      <c r="AK464" s="24"/>
    </row>
    <row r="465" ht="15.75" customHeight="1">
      <c r="AH465" s="256"/>
      <c r="AI465" s="257"/>
      <c r="AJ465" s="258"/>
      <c r="AK465" s="24"/>
    </row>
    <row r="466" ht="15.75" customHeight="1">
      <c r="AH466" s="256"/>
      <c r="AI466" s="257"/>
      <c r="AJ466" s="258"/>
      <c r="AK466" s="24"/>
    </row>
    <row r="467" ht="15.75" customHeight="1">
      <c r="AH467" s="256"/>
      <c r="AI467" s="257"/>
      <c r="AJ467" s="258"/>
      <c r="AK467" s="24"/>
    </row>
    <row r="468" ht="15.75" customHeight="1">
      <c r="AH468" s="256"/>
      <c r="AI468" s="257"/>
      <c r="AJ468" s="258"/>
      <c r="AK468" s="24"/>
    </row>
    <row r="469" ht="15.75" customHeight="1">
      <c r="AH469" s="256"/>
      <c r="AI469" s="257"/>
      <c r="AJ469" s="258"/>
      <c r="AK469" s="24"/>
    </row>
    <row r="470" ht="15.75" customHeight="1">
      <c r="AH470" s="256"/>
      <c r="AI470" s="257"/>
      <c r="AJ470" s="258"/>
      <c r="AK470" s="24"/>
    </row>
    <row r="471" ht="15.75" customHeight="1">
      <c r="AH471" s="256"/>
      <c r="AI471" s="257"/>
      <c r="AJ471" s="258"/>
      <c r="AK471" s="24"/>
    </row>
    <row r="472" ht="15.75" customHeight="1">
      <c r="AH472" s="256"/>
      <c r="AI472" s="257"/>
      <c r="AJ472" s="258"/>
      <c r="AK472" s="24"/>
    </row>
    <row r="473" ht="15.75" customHeight="1">
      <c r="AH473" s="256"/>
      <c r="AI473" s="257"/>
      <c r="AJ473" s="258"/>
      <c r="AK473" s="24"/>
    </row>
    <row r="474" ht="15.75" customHeight="1">
      <c r="AH474" s="256"/>
      <c r="AI474" s="257"/>
      <c r="AJ474" s="258"/>
      <c r="AK474" s="24"/>
    </row>
    <row r="475" ht="15.75" customHeight="1">
      <c r="AH475" s="256"/>
      <c r="AI475" s="257"/>
      <c r="AJ475" s="258"/>
      <c r="AK475" s="24"/>
    </row>
    <row r="476" ht="15.75" customHeight="1">
      <c r="AH476" s="256"/>
      <c r="AI476" s="257"/>
      <c r="AJ476" s="258"/>
      <c r="AK476" s="24"/>
    </row>
    <row r="477" ht="15.75" customHeight="1">
      <c r="AH477" s="256"/>
      <c r="AI477" s="257"/>
      <c r="AJ477" s="258"/>
      <c r="AK477" s="24"/>
    </row>
    <row r="478" ht="15.75" customHeight="1">
      <c r="AH478" s="256"/>
      <c r="AI478" s="257"/>
      <c r="AJ478" s="258"/>
      <c r="AK478" s="24"/>
    </row>
    <row r="479" ht="15.75" customHeight="1">
      <c r="AH479" s="256"/>
      <c r="AI479" s="257"/>
      <c r="AJ479" s="258"/>
      <c r="AK479" s="24"/>
    </row>
    <row r="480" ht="15.75" customHeight="1">
      <c r="AH480" s="256"/>
      <c r="AI480" s="257"/>
      <c r="AJ480" s="258"/>
      <c r="AK480" s="24"/>
    </row>
    <row r="481" ht="15.75" customHeight="1">
      <c r="AH481" s="256"/>
      <c r="AI481" s="257"/>
      <c r="AJ481" s="258"/>
      <c r="AK481" s="24"/>
    </row>
    <row r="482" ht="15.75" customHeight="1">
      <c r="AH482" s="256"/>
      <c r="AI482" s="257"/>
      <c r="AJ482" s="258"/>
      <c r="AK482" s="24"/>
    </row>
    <row r="483" ht="15.75" customHeight="1">
      <c r="AH483" s="256"/>
      <c r="AI483" s="257"/>
      <c r="AJ483" s="258"/>
      <c r="AK483" s="24"/>
    </row>
    <row r="484" ht="15.75" customHeight="1">
      <c r="AH484" s="256"/>
      <c r="AI484" s="257"/>
      <c r="AJ484" s="258"/>
      <c r="AK484" s="24"/>
    </row>
    <row r="485" ht="15.75" customHeight="1">
      <c r="AH485" s="256"/>
      <c r="AI485" s="257"/>
      <c r="AJ485" s="258"/>
      <c r="AK485" s="24"/>
    </row>
    <row r="486" ht="15.75" customHeight="1">
      <c r="AH486" s="256"/>
      <c r="AI486" s="257"/>
      <c r="AJ486" s="258"/>
      <c r="AK486" s="24"/>
    </row>
    <row r="487" ht="15.75" customHeight="1">
      <c r="AH487" s="256"/>
      <c r="AI487" s="257"/>
      <c r="AJ487" s="258"/>
      <c r="AK487" s="24"/>
    </row>
    <row r="488" ht="15.75" customHeight="1">
      <c r="AH488" s="256"/>
      <c r="AI488" s="257"/>
      <c r="AJ488" s="258"/>
      <c r="AK488" s="24"/>
    </row>
    <row r="489" ht="15.75" customHeight="1">
      <c r="AH489" s="256"/>
      <c r="AI489" s="257"/>
      <c r="AJ489" s="258"/>
      <c r="AK489" s="24"/>
    </row>
    <row r="490" ht="15.75" customHeight="1">
      <c r="AH490" s="256"/>
      <c r="AI490" s="257"/>
      <c r="AJ490" s="258"/>
      <c r="AK490" s="24"/>
    </row>
    <row r="491" ht="15.75" customHeight="1">
      <c r="AH491" s="256"/>
      <c r="AI491" s="257"/>
      <c r="AJ491" s="258"/>
      <c r="AK491" s="24"/>
    </row>
    <row r="492" ht="15.75" customHeight="1">
      <c r="AH492" s="256"/>
      <c r="AI492" s="257"/>
      <c r="AJ492" s="258"/>
      <c r="AK492" s="24"/>
    </row>
    <row r="493" ht="15.75" customHeight="1">
      <c r="AH493" s="256"/>
      <c r="AI493" s="257"/>
      <c r="AJ493" s="258"/>
      <c r="AK493" s="24"/>
    </row>
    <row r="494" ht="15.75" customHeight="1">
      <c r="AH494" s="256"/>
      <c r="AI494" s="257"/>
      <c r="AJ494" s="258"/>
      <c r="AK494" s="24"/>
    </row>
    <row r="495" ht="15.75" customHeight="1">
      <c r="AH495" s="256"/>
      <c r="AI495" s="257"/>
      <c r="AJ495" s="258"/>
      <c r="AK495" s="24"/>
    </row>
    <row r="496" ht="15.75" customHeight="1">
      <c r="AH496" s="256"/>
      <c r="AI496" s="257"/>
      <c r="AJ496" s="258"/>
      <c r="AK496" s="24"/>
    </row>
    <row r="497" ht="15.75" customHeight="1">
      <c r="AH497" s="256"/>
      <c r="AI497" s="257"/>
      <c r="AJ497" s="258"/>
      <c r="AK497" s="24"/>
    </row>
    <row r="498" ht="15.75" customHeight="1">
      <c r="AH498" s="256"/>
      <c r="AI498" s="257"/>
      <c r="AJ498" s="258"/>
      <c r="AK498" s="24"/>
    </row>
    <row r="499" ht="15.75" customHeight="1">
      <c r="AH499" s="256"/>
      <c r="AI499" s="257"/>
      <c r="AJ499" s="258"/>
      <c r="AK499" s="24"/>
    </row>
    <row r="500" ht="15.75" customHeight="1">
      <c r="AH500" s="256"/>
      <c r="AI500" s="257"/>
      <c r="AJ500" s="258"/>
      <c r="AK500" s="24"/>
    </row>
    <row r="501" ht="15.75" customHeight="1">
      <c r="AH501" s="256"/>
      <c r="AI501" s="257"/>
      <c r="AJ501" s="258"/>
      <c r="AK501" s="24"/>
    </row>
    <row r="502" ht="15.75" customHeight="1">
      <c r="AH502" s="256"/>
      <c r="AI502" s="257"/>
      <c r="AJ502" s="258"/>
      <c r="AK502" s="24"/>
    </row>
    <row r="503" ht="15.75" customHeight="1">
      <c r="AH503" s="256"/>
      <c r="AI503" s="257"/>
      <c r="AJ503" s="258"/>
      <c r="AK503" s="24"/>
    </row>
    <row r="504" ht="15.75" customHeight="1">
      <c r="AH504" s="256"/>
      <c r="AI504" s="257"/>
      <c r="AJ504" s="258"/>
      <c r="AK504" s="24"/>
    </row>
    <row r="505" ht="15.75" customHeight="1">
      <c r="AH505" s="256"/>
      <c r="AI505" s="257"/>
      <c r="AJ505" s="258"/>
      <c r="AK505" s="24"/>
    </row>
    <row r="506" ht="15.75" customHeight="1">
      <c r="AH506" s="256"/>
      <c r="AI506" s="257"/>
      <c r="AJ506" s="258"/>
      <c r="AK506" s="24"/>
    </row>
    <row r="507" ht="15.75" customHeight="1">
      <c r="AH507" s="256"/>
      <c r="AI507" s="257"/>
      <c r="AJ507" s="258"/>
      <c r="AK507" s="24"/>
    </row>
    <row r="508" ht="15.75" customHeight="1">
      <c r="AH508" s="256"/>
      <c r="AI508" s="257"/>
      <c r="AJ508" s="258"/>
      <c r="AK508" s="24"/>
    </row>
    <row r="509" ht="15.75" customHeight="1">
      <c r="AH509" s="256"/>
      <c r="AI509" s="257"/>
      <c r="AJ509" s="258"/>
      <c r="AK509" s="24"/>
    </row>
    <row r="510" ht="15.75" customHeight="1">
      <c r="AH510" s="256"/>
      <c r="AI510" s="257"/>
      <c r="AJ510" s="258"/>
      <c r="AK510" s="24"/>
    </row>
    <row r="511" ht="15.75" customHeight="1">
      <c r="AH511" s="256"/>
      <c r="AI511" s="257"/>
      <c r="AJ511" s="258"/>
      <c r="AK511" s="24"/>
    </row>
    <row r="512" ht="15.75" customHeight="1">
      <c r="AH512" s="256"/>
      <c r="AI512" s="257"/>
      <c r="AJ512" s="258"/>
      <c r="AK512" s="24"/>
    </row>
    <row r="513" ht="15.75" customHeight="1">
      <c r="AH513" s="256"/>
      <c r="AI513" s="257"/>
      <c r="AJ513" s="258"/>
      <c r="AK513" s="24"/>
    </row>
    <row r="514" ht="15.75" customHeight="1">
      <c r="AH514" s="256"/>
      <c r="AI514" s="257"/>
      <c r="AJ514" s="258"/>
      <c r="AK514" s="24"/>
    </row>
    <row r="515" ht="15.75" customHeight="1">
      <c r="AH515" s="256"/>
      <c r="AI515" s="257"/>
      <c r="AJ515" s="258"/>
      <c r="AK515" s="24"/>
    </row>
    <row r="516" ht="15.75" customHeight="1">
      <c r="AH516" s="256"/>
      <c r="AI516" s="257"/>
      <c r="AJ516" s="258"/>
      <c r="AK516" s="24"/>
    </row>
    <row r="517" ht="15.75" customHeight="1">
      <c r="AH517" s="256"/>
      <c r="AI517" s="257"/>
      <c r="AJ517" s="258"/>
      <c r="AK517" s="24"/>
    </row>
    <row r="518" ht="15.75" customHeight="1">
      <c r="AH518" s="256"/>
      <c r="AI518" s="257"/>
      <c r="AJ518" s="258"/>
      <c r="AK518" s="24"/>
    </row>
    <row r="519" ht="15.75" customHeight="1">
      <c r="AH519" s="256"/>
      <c r="AI519" s="257"/>
      <c r="AJ519" s="258"/>
      <c r="AK519" s="24"/>
    </row>
    <row r="520" ht="15.75" customHeight="1">
      <c r="AH520" s="256"/>
      <c r="AI520" s="257"/>
      <c r="AJ520" s="258"/>
      <c r="AK520" s="24"/>
    </row>
    <row r="521" ht="15.75" customHeight="1">
      <c r="AH521" s="256"/>
      <c r="AI521" s="257"/>
      <c r="AJ521" s="258"/>
      <c r="AK521" s="24"/>
    </row>
    <row r="522" ht="15.75" customHeight="1">
      <c r="AH522" s="256"/>
      <c r="AI522" s="257"/>
      <c r="AJ522" s="258"/>
      <c r="AK522" s="24"/>
    </row>
    <row r="523" ht="15.75" customHeight="1">
      <c r="AH523" s="256"/>
      <c r="AI523" s="257"/>
      <c r="AJ523" s="258"/>
      <c r="AK523" s="24"/>
    </row>
    <row r="524" ht="15.75" customHeight="1">
      <c r="AH524" s="256"/>
      <c r="AI524" s="257"/>
      <c r="AJ524" s="258"/>
      <c r="AK524" s="24"/>
    </row>
    <row r="525" ht="15.75" customHeight="1">
      <c r="AH525" s="256"/>
      <c r="AI525" s="257"/>
      <c r="AJ525" s="258"/>
      <c r="AK525" s="24"/>
    </row>
    <row r="526" ht="15.75" customHeight="1">
      <c r="AH526" s="256"/>
      <c r="AI526" s="257"/>
      <c r="AJ526" s="258"/>
      <c r="AK526" s="24"/>
    </row>
    <row r="527" ht="15.75" customHeight="1">
      <c r="AH527" s="256"/>
      <c r="AI527" s="257"/>
      <c r="AJ527" s="258"/>
      <c r="AK527" s="24"/>
    </row>
    <row r="528" ht="15.75" customHeight="1">
      <c r="AH528" s="256"/>
      <c r="AI528" s="257"/>
      <c r="AJ528" s="258"/>
      <c r="AK528" s="24"/>
    </row>
    <row r="529" ht="15.75" customHeight="1">
      <c r="AH529" s="256"/>
      <c r="AI529" s="257"/>
      <c r="AJ529" s="258"/>
      <c r="AK529" s="24"/>
    </row>
    <row r="530" ht="15.75" customHeight="1">
      <c r="AH530" s="256"/>
      <c r="AI530" s="257"/>
      <c r="AJ530" s="258"/>
      <c r="AK530" s="24"/>
    </row>
    <row r="531" ht="15.75" customHeight="1">
      <c r="AH531" s="256"/>
      <c r="AI531" s="257"/>
      <c r="AJ531" s="258"/>
      <c r="AK531" s="24"/>
    </row>
    <row r="532" ht="15.75" customHeight="1">
      <c r="AH532" s="256"/>
      <c r="AI532" s="257"/>
      <c r="AJ532" s="258"/>
      <c r="AK532" s="24"/>
    </row>
    <row r="533" ht="15.75" customHeight="1">
      <c r="AH533" s="256"/>
      <c r="AI533" s="257"/>
      <c r="AJ533" s="258"/>
      <c r="AK533" s="24"/>
    </row>
    <row r="534" ht="15.75" customHeight="1">
      <c r="AH534" s="256"/>
      <c r="AI534" s="257"/>
      <c r="AJ534" s="258"/>
      <c r="AK534" s="24"/>
    </row>
    <row r="535" ht="15.75" customHeight="1">
      <c r="AH535" s="256"/>
      <c r="AI535" s="257"/>
      <c r="AJ535" s="258"/>
      <c r="AK535" s="24"/>
    </row>
    <row r="536" ht="15.75" customHeight="1">
      <c r="AH536" s="256"/>
      <c r="AI536" s="257"/>
      <c r="AJ536" s="258"/>
      <c r="AK536" s="24"/>
    </row>
    <row r="537" ht="15.75" customHeight="1">
      <c r="AH537" s="256"/>
      <c r="AI537" s="257"/>
      <c r="AJ537" s="258"/>
      <c r="AK537" s="24"/>
    </row>
    <row r="538" ht="15.75" customHeight="1">
      <c r="AH538" s="256"/>
      <c r="AI538" s="257"/>
      <c r="AJ538" s="258"/>
      <c r="AK538" s="24"/>
    </row>
    <row r="539" ht="15.75" customHeight="1">
      <c r="AH539" s="256"/>
      <c r="AI539" s="257"/>
      <c r="AJ539" s="258"/>
      <c r="AK539" s="24"/>
    </row>
    <row r="540" ht="15.75" customHeight="1">
      <c r="AH540" s="256"/>
      <c r="AI540" s="257"/>
      <c r="AJ540" s="258"/>
      <c r="AK540" s="24"/>
    </row>
    <row r="541" ht="15.75" customHeight="1">
      <c r="AH541" s="256"/>
      <c r="AI541" s="257"/>
      <c r="AJ541" s="258"/>
      <c r="AK541" s="24"/>
    </row>
    <row r="542" ht="15.75" customHeight="1">
      <c r="AH542" s="256"/>
      <c r="AI542" s="257"/>
      <c r="AJ542" s="258"/>
      <c r="AK542" s="24"/>
    </row>
    <row r="543" ht="15.75" customHeight="1">
      <c r="AH543" s="256"/>
      <c r="AI543" s="257"/>
      <c r="AJ543" s="258"/>
      <c r="AK543" s="24"/>
    </row>
    <row r="544" ht="15.75" customHeight="1">
      <c r="AH544" s="256"/>
      <c r="AI544" s="257"/>
      <c r="AJ544" s="258"/>
      <c r="AK544" s="24"/>
    </row>
    <row r="545" ht="15.75" customHeight="1">
      <c r="AH545" s="256"/>
      <c r="AI545" s="257"/>
      <c r="AJ545" s="258"/>
      <c r="AK545" s="24"/>
    </row>
    <row r="546" ht="15.75" customHeight="1">
      <c r="AH546" s="256"/>
      <c r="AI546" s="257"/>
      <c r="AJ546" s="258"/>
      <c r="AK546" s="24"/>
    </row>
    <row r="547" ht="15.75" customHeight="1">
      <c r="AH547" s="256"/>
      <c r="AI547" s="257"/>
      <c r="AJ547" s="258"/>
      <c r="AK547" s="24"/>
    </row>
    <row r="548" ht="15.75" customHeight="1">
      <c r="AH548" s="256"/>
      <c r="AI548" s="257"/>
      <c r="AJ548" s="258"/>
      <c r="AK548" s="24"/>
    </row>
    <row r="549" ht="15.75" customHeight="1">
      <c r="AH549" s="256"/>
      <c r="AI549" s="257"/>
      <c r="AJ549" s="258"/>
      <c r="AK549" s="24"/>
    </row>
    <row r="550" ht="15.75" customHeight="1">
      <c r="AH550" s="256"/>
      <c r="AI550" s="257"/>
      <c r="AJ550" s="258"/>
      <c r="AK550" s="24"/>
    </row>
    <row r="551" ht="15.75" customHeight="1">
      <c r="AH551" s="256"/>
      <c r="AI551" s="257"/>
      <c r="AJ551" s="258"/>
      <c r="AK551" s="24"/>
    </row>
    <row r="552" ht="15.75" customHeight="1">
      <c r="AH552" s="256"/>
      <c r="AI552" s="257"/>
      <c r="AJ552" s="258"/>
      <c r="AK552" s="24"/>
    </row>
    <row r="553" ht="15.75" customHeight="1">
      <c r="AH553" s="256"/>
      <c r="AI553" s="257"/>
      <c r="AJ553" s="258"/>
      <c r="AK553" s="24"/>
    </row>
    <row r="554" ht="15.75" customHeight="1">
      <c r="AH554" s="256"/>
      <c r="AI554" s="257"/>
      <c r="AJ554" s="258"/>
      <c r="AK554" s="24"/>
    </row>
    <row r="555" ht="15.75" customHeight="1">
      <c r="AH555" s="256"/>
      <c r="AI555" s="257"/>
      <c r="AJ555" s="258"/>
      <c r="AK555" s="24"/>
    </row>
    <row r="556" ht="15.75" customHeight="1">
      <c r="AH556" s="256"/>
      <c r="AI556" s="257"/>
      <c r="AJ556" s="258"/>
      <c r="AK556" s="24"/>
    </row>
    <row r="557" ht="15.75" customHeight="1">
      <c r="AH557" s="256"/>
      <c r="AI557" s="257"/>
      <c r="AJ557" s="258"/>
      <c r="AK557" s="24"/>
    </row>
    <row r="558" ht="15.75" customHeight="1">
      <c r="AH558" s="256"/>
      <c r="AI558" s="257"/>
      <c r="AJ558" s="258"/>
      <c r="AK558" s="24"/>
    </row>
    <row r="559" ht="15.75" customHeight="1">
      <c r="AH559" s="256"/>
      <c r="AI559" s="257"/>
      <c r="AJ559" s="258"/>
      <c r="AK559" s="24"/>
    </row>
    <row r="560" ht="15.75" customHeight="1">
      <c r="AH560" s="256"/>
      <c r="AI560" s="257"/>
      <c r="AJ560" s="258"/>
      <c r="AK560" s="24"/>
    </row>
    <row r="561" ht="15.75" customHeight="1">
      <c r="AH561" s="256"/>
      <c r="AI561" s="257"/>
      <c r="AJ561" s="258"/>
      <c r="AK561" s="24"/>
    </row>
    <row r="562" ht="15.75" customHeight="1">
      <c r="AH562" s="256"/>
      <c r="AI562" s="257"/>
      <c r="AJ562" s="258"/>
      <c r="AK562" s="24"/>
    </row>
    <row r="563" ht="15.75" customHeight="1">
      <c r="AH563" s="256"/>
      <c r="AI563" s="257"/>
      <c r="AJ563" s="258"/>
      <c r="AK563" s="24"/>
    </row>
    <row r="564" ht="15.75" customHeight="1">
      <c r="AH564" s="256"/>
      <c r="AI564" s="257"/>
      <c r="AJ564" s="258"/>
      <c r="AK564" s="24"/>
    </row>
    <row r="565" ht="15.75" customHeight="1">
      <c r="AH565" s="256"/>
      <c r="AI565" s="257"/>
      <c r="AJ565" s="258"/>
      <c r="AK565" s="24"/>
    </row>
    <row r="566" ht="15.75" customHeight="1">
      <c r="AH566" s="256"/>
      <c r="AI566" s="257"/>
      <c r="AJ566" s="258"/>
      <c r="AK566" s="24"/>
    </row>
    <row r="567" ht="15.75" customHeight="1">
      <c r="AH567" s="256"/>
      <c r="AI567" s="257"/>
      <c r="AJ567" s="258"/>
      <c r="AK567" s="24"/>
    </row>
    <row r="568" ht="15.75" customHeight="1">
      <c r="AH568" s="256"/>
      <c r="AI568" s="257"/>
      <c r="AJ568" s="258"/>
      <c r="AK568" s="24"/>
    </row>
    <row r="569" ht="15.75" customHeight="1">
      <c r="AH569" s="256"/>
      <c r="AI569" s="257"/>
      <c r="AJ569" s="258"/>
      <c r="AK569" s="24"/>
    </row>
    <row r="570" ht="15.75" customHeight="1">
      <c r="AH570" s="256"/>
      <c r="AI570" s="257"/>
      <c r="AJ570" s="258"/>
      <c r="AK570" s="24"/>
    </row>
    <row r="571" ht="15.75" customHeight="1">
      <c r="AH571" s="256"/>
      <c r="AI571" s="257"/>
      <c r="AJ571" s="258"/>
      <c r="AK571" s="24"/>
    </row>
    <row r="572" ht="15.75" customHeight="1">
      <c r="AH572" s="256"/>
      <c r="AI572" s="257"/>
      <c r="AJ572" s="258"/>
      <c r="AK572" s="24"/>
    </row>
    <row r="573" ht="15.75" customHeight="1">
      <c r="AH573" s="256"/>
      <c r="AI573" s="257"/>
      <c r="AJ573" s="258"/>
      <c r="AK573" s="24"/>
    </row>
    <row r="574" ht="15.75" customHeight="1">
      <c r="AH574" s="256"/>
      <c r="AI574" s="257"/>
      <c r="AJ574" s="258"/>
      <c r="AK574" s="24"/>
    </row>
    <row r="575" ht="15.75" customHeight="1">
      <c r="AH575" s="256"/>
      <c r="AI575" s="257"/>
      <c r="AJ575" s="258"/>
      <c r="AK575" s="24"/>
    </row>
    <row r="576" ht="15.75" customHeight="1">
      <c r="AH576" s="256"/>
      <c r="AI576" s="257"/>
      <c r="AJ576" s="258"/>
      <c r="AK576" s="24"/>
    </row>
    <row r="577" ht="15.75" customHeight="1">
      <c r="AH577" s="256"/>
      <c r="AI577" s="257"/>
      <c r="AJ577" s="258"/>
      <c r="AK577" s="24"/>
    </row>
    <row r="578" ht="15.75" customHeight="1">
      <c r="AH578" s="256"/>
      <c r="AI578" s="257"/>
      <c r="AJ578" s="258"/>
      <c r="AK578" s="24"/>
    </row>
    <row r="579" ht="15.75" customHeight="1">
      <c r="AH579" s="256"/>
      <c r="AI579" s="257"/>
      <c r="AJ579" s="258"/>
      <c r="AK579" s="24"/>
    </row>
    <row r="580" ht="15.75" customHeight="1">
      <c r="AH580" s="256"/>
      <c r="AI580" s="257"/>
      <c r="AJ580" s="258"/>
      <c r="AK580" s="24"/>
    </row>
    <row r="581" ht="15.75" customHeight="1">
      <c r="AH581" s="256"/>
      <c r="AI581" s="257"/>
      <c r="AJ581" s="258"/>
      <c r="AK581" s="24"/>
    </row>
    <row r="582" ht="15.75" customHeight="1">
      <c r="AH582" s="256"/>
      <c r="AI582" s="257"/>
      <c r="AJ582" s="258"/>
      <c r="AK582" s="24"/>
    </row>
    <row r="583" ht="15.75" customHeight="1">
      <c r="AH583" s="256"/>
      <c r="AI583" s="257"/>
      <c r="AJ583" s="258"/>
      <c r="AK583" s="24"/>
    </row>
    <row r="584" ht="15.75" customHeight="1">
      <c r="AH584" s="256"/>
      <c r="AI584" s="257"/>
      <c r="AJ584" s="258"/>
      <c r="AK584" s="24"/>
    </row>
    <row r="585" ht="15.75" customHeight="1">
      <c r="AH585" s="256"/>
      <c r="AI585" s="257"/>
      <c r="AJ585" s="258"/>
      <c r="AK585" s="24"/>
    </row>
    <row r="586" ht="15.75" customHeight="1">
      <c r="AH586" s="256"/>
      <c r="AI586" s="257"/>
      <c r="AJ586" s="258"/>
      <c r="AK586" s="24"/>
    </row>
    <row r="587" ht="15.75" customHeight="1">
      <c r="AH587" s="256"/>
      <c r="AI587" s="257"/>
      <c r="AJ587" s="258"/>
      <c r="AK587" s="24"/>
    </row>
    <row r="588" ht="15.75" customHeight="1">
      <c r="AH588" s="256"/>
      <c r="AI588" s="257"/>
      <c r="AJ588" s="258"/>
      <c r="AK588" s="24"/>
    </row>
    <row r="589" ht="15.75" customHeight="1">
      <c r="AH589" s="256"/>
      <c r="AI589" s="257"/>
      <c r="AJ589" s="258"/>
      <c r="AK589" s="24"/>
    </row>
    <row r="590" ht="15.75" customHeight="1">
      <c r="AH590" s="256"/>
      <c r="AI590" s="257"/>
      <c r="AJ590" s="258"/>
      <c r="AK590" s="24"/>
    </row>
    <row r="591" ht="15.75" customHeight="1">
      <c r="AH591" s="256"/>
      <c r="AI591" s="257"/>
      <c r="AJ591" s="258"/>
      <c r="AK591" s="24"/>
    </row>
    <row r="592" ht="15.75" customHeight="1">
      <c r="AH592" s="256"/>
      <c r="AI592" s="257"/>
      <c r="AJ592" s="258"/>
      <c r="AK592" s="24"/>
    </row>
    <row r="593" ht="15.75" customHeight="1">
      <c r="AH593" s="256"/>
      <c r="AI593" s="257"/>
      <c r="AJ593" s="258"/>
      <c r="AK593" s="24"/>
    </row>
    <row r="594" ht="15.75" customHeight="1">
      <c r="AH594" s="256"/>
      <c r="AI594" s="257"/>
      <c r="AJ594" s="258"/>
      <c r="AK594" s="24"/>
    </row>
    <row r="595" ht="15.75" customHeight="1">
      <c r="AH595" s="256"/>
      <c r="AI595" s="257"/>
      <c r="AJ595" s="258"/>
      <c r="AK595" s="24"/>
    </row>
    <row r="596" ht="15.75" customHeight="1">
      <c r="AH596" s="256"/>
      <c r="AI596" s="257"/>
      <c r="AJ596" s="258"/>
      <c r="AK596" s="24"/>
    </row>
    <row r="597" ht="15.75" customHeight="1">
      <c r="AH597" s="256"/>
      <c r="AI597" s="257"/>
      <c r="AJ597" s="258"/>
      <c r="AK597" s="24"/>
    </row>
    <row r="598" ht="15.75" customHeight="1">
      <c r="AH598" s="256"/>
      <c r="AI598" s="257"/>
      <c r="AJ598" s="258"/>
      <c r="AK598" s="24"/>
    </row>
    <row r="599" ht="15.75" customHeight="1">
      <c r="AH599" s="256"/>
      <c r="AI599" s="257"/>
      <c r="AJ599" s="258"/>
      <c r="AK599" s="24"/>
    </row>
    <row r="600" ht="15.75" customHeight="1">
      <c r="AH600" s="256"/>
      <c r="AI600" s="257"/>
      <c r="AJ600" s="258"/>
      <c r="AK600" s="24"/>
    </row>
    <row r="601" ht="15.75" customHeight="1">
      <c r="AH601" s="256"/>
      <c r="AI601" s="257"/>
      <c r="AJ601" s="258"/>
      <c r="AK601" s="24"/>
    </row>
    <row r="602" ht="15.75" customHeight="1">
      <c r="AH602" s="256"/>
      <c r="AI602" s="257"/>
      <c r="AJ602" s="258"/>
      <c r="AK602" s="24"/>
    </row>
    <row r="603" ht="15.75" customHeight="1">
      <c r="AH603" s="256"/>
      <c r="AI603" s="257"/>
      <c r="AJ603" s="258"/>
      <c r="AK603" s="24"/>
    </row>
    <row r="604" ht="15.75" customHeight="1">
      <c r="AH604" s="256"/>
      <c r="AI604" s="257"/>
      <c r="AJ604" s="258"/>
      <c r="AK604" s="24"/>
    </row>
    <row r="605" ht="15.75" customHeight="1">
      <c r="AH605" s="256"/>
      <c r="AI605" s="257"/>
      <c r="AJ605" s="258"/>
      <c r="AK605" s="24"/>
    </row>
    <row r="606" ht="15.75" customHeight="1">
      <c r="AH606" s="256"/>
      <c r="AI606" s="257"/>
      <c r="AJ606" s="258"/>
      <c r="AK606" s="24"/>
    </row>
    <row r="607" ht="15.75" customHeight="1">
      <c r="AH607" s="256"/>
      <c r="AI607" s="257"/>
      <c r="AJ607" s="258"/>
      <c r="AK607" s="24"/>
    </row>
    <row r="608" ht="15.75" customHeight="1">
      <c r="AH608" s="256"/>
      <c r="AI608" s="257"/>
      <c r="AJ608" s="258"/>
      <c r="AK608" s="24"/>
    </row>
    <row r="609" ht="15.75" customHeight="1">
      <c r="AH609" s="256"/>
      <c r="AI609" s="257"/>
      <c r="AJ609" s="258"/>
      <c r="AK609" s="24"/>
    </row>
    <row r="610" ht="15.75" customHeight="1">
      <c r="AH610" s="256"/>
      <c r="AI610" s="257"/>
      <c r="AJ610" s="258"/>
      <c r="AK610" s="24"/>
    </row>
    <row r="611" ht="15.75" customHeight="1">
      <c r="AH611" s="256"/>
      <c r="AI611" s="257"/>
      <c r="AJ611" s="258"/>
      <c r="AK611" s="24"/>
    </row>
    <row r="612" ht="15.75" customHeight="1">
      <c r="AH612" s="256"/>
      <c r="AI612" s="257"/>
      <c r="AJ612" s="258"/>
      <c r="AK612" s="24"/>
    </row>
    <row r="613" ht="15.75" customHeight="1">
      <c r="AH613" s="256"/>
      <c r="AI613" s="257"/>
      <c r="AJ613" s="258"/>
      <c r="AK613" s="24"/>
    </row>
    <row r="614" ht="15.75" customHeight="1">
      <c r="AH614" s="256"/>
      <c r="AI614" s="257"/>
      <c r="AJ614" s="258"/>
      <c r="AK614" s="24"/>
    </row>
    <row r="615" ht="15.75" customHeight="1">
      <c r="AH615" s="256"/>
      <c r="AI615" s="257"/>
      <c r="AJ615" s="258"/>
      <c r="AK615" s="24"/>
    </row>
    <row r="616" ht="15.75" customHeight="1">
      <c r="AH616" s="256"/>
      <c r="AI616" s="257"/>
      <c r="AJ616" s="258"/>
      <c r="AK616" s="24"/>
    </row>
    <row r="617" ht="15.75" customHeight="1">
      <c r="AH617" s="256"/>
      <c r="AI617" s="257"/>
      <c r="AJ617" s="258"/>
      <c r="AK617" s="24"/>
    </row>
    <row r="618" ht="15.75" customHeight="1">
      <c r="AH618" s="256"/>
      <c r="AI618" s="257"/>
      <c r="AJ618" s="258"/>
      <c r="AK618" s="24"/>
    </row>
    <row r="619" ht="15.75" customHeight="1">
      <c r="AH619" s="256"/>
      <c r="AI619" s="257"/>
      <c r="AJ619" s="258"/>
      <c r="AK619" s="24"/>
    </row>
    <row r="620" ht="15.75" customHeight="1">
      <c r="AH620" s="256"/>
      <c r="AI620" s="257"/>
      <c r="AJ620" s="258"/>
      <c r="AK620" s="24"/>
    </row>
    <row r="621" ht="15.75" customHeight="1">
      <c r="AH621" s="256"/>
      <c r="AI621" s="257"/>
      <c r="AJ621" s="258"/>
      <c r="AK621" s="24"/>
    </row>
    <row r="622" ht="15.75" customHeight="1">
      <c r="AH622" s="256"/>
      <c r="AI622" s="257"/>
      <c r="AJ622" s="258"/>
      <c r="AK622" s="24"/>
    </row>
    <row r="623" ht="15.75" customHeight="1">
      <c r="AH623" s="256"/>
      <c r="AI623" s="257"/>
      <c r="AJ623" s="258"/>
      <c r="AK623" s="24"/>
    </row>
    <row r="624" ht="15.75" customHeight="1">
      <c r="AH624" s="256"/>
      <c r="AI624" s="257"/>
      <c r="AJ624" s="258"/>
      <c r="AK624" s="24"/>
    </row>
    <row r="625" ht="15.75" customHeight="1">
      <c r="AH625" s="256"/>
      <c r="AI625" s="257"/>
      <c r="AJ625" s="258"/>
      <c r="AK625" s="24"/>
    </row>
    <row r="626" ht="15.75" customHeight="1">
      <c r="AH626" s="256"/>
      <c r="AI626" s="257"/>
      <c r="AJ626" s="258"/>
      <c r="AK626" s="24"/>
    </row>
    <row r="627" ht="15.75" customHeight="1">
      <c r="AH627" s="256"/>
      <c r="AI627" s="257"/>
      <c r="AJ627" s="258"/>
      <c r="AK627" s="24"/>
    </row>
    <row r="628" ht="15.75" customHeight="1">
      <c r="AH628" s="256"/>
      <c r="AI628" s="257"/>
      <c r="AJ628" s="258"/>
      <c r="AK628" s="24"/>
    </row>
    <row r="629" ht="15.75" customHeight="1">
      <c r="AH629" s="256"/>
      <c r="AI629" s="257"/>
      <c r="AJ629" s="258"/>
      <c r="AK629" s="24"/>
    </row>
    <row r="630" ht="15.75" customHeight="1">
      <c r="AH630" s="256"/>
      <c r="AI630" s="257"/>
      <c r="AJ630" s="258"/>
      <c r="AK630" s="24"/>
    </row>
    <row r="631" ht="15.75" customHeight="1">
      <c r="AH631" s="256"/>
      <c r="AI631" s="257"/>
      <c r="AJ631" s="258"/>
      <c r="AK631" s="24"/>
    </row>
    <row r="632" ht="15.75" customHeight="1">
      <c r="AH632" s="256"/>
      <c r="AI632" s="257"/>
      <c r="AJ632" s="258"/>
      <c r="AK632" s="24"/>
    </row>
    <row r="633" ht="15.75" customHeight="1">
      <c r="AH633" s="256"/>
      <c r="AI633" s="257"/>
      <c r="AJ633" s="258"/>
      <c r="AK633" s="24"/>
    </row>
    <row r="634" ht="15.75" customHeight="1">
      <c r="AH634" s="256"/>
      <c r="AI634" s="257"/>
      <c r="AJ634" s="258"/>
      <c r="AK634" s="24"/>
    </row>
    <row r="635" ht="15.75" customHeight="1">
      <c r="AH635" s="256"/>
      <c r="AI635" s="257"/>
      <c r="AJ635" s="258"/>
      <c r="AK635" s="24"/>
    </row>
    <row r="636" ht="15.75" customHeight="1">
      <c r="AH636" s="256"/>
      <c r="AI636" s="257"/>
      <c r="AJ636" s="258"/>
      <c r="AK636" s="24"/>
    </row>
    <row r="637" ht="15.75" customHeight="1">
      <c r="AH637" s="256"/>
      <c r="AI637" s="257"/>
      <c r="AJ637" s="258"/>
      <c r="AK637" s="24"/>
    </row>
    <row r="638" ht="15.75" customHeight="1">
      <c r="AH638" s="256"/>
      <c r="AI638" s="257"/>
      <c r="AJ638" s="258"/>
      <c r="AK638" s="24"/>
    </row>
    <row r="639" ht="15.75" customHeight="1">
      <c r="AH639" s="256"/>
      <c r="AI639" s="257"/>
      <c r="AJ639" s="258"/>
      <c r="AK639" s="24"/>
    </row>
    <row r="640" ht="15.75" customHeight="1">
      <c r="AH640" s="256"/>
      <c r="AI640" s="257"/>
      <c r="AJ640" s="258"/>
      <c r="AK640" s="24"/>
    </row>
    <row r="641" ht="15.75" customHeight="1">
      <c r="AH641" s="256"/>
      <c r="AI641" s="257"/>
      <c r="AJ641" s="258"/>
      <c r="AK641" s="24"/>
    </row>
    <row r="642" ht="15.75" customHeight="1">
      <c r="AH642" s="256"/>
      <c r="AI642" s="257"/>
      <c r="AJ642" s="258"/>
      <c r="AK642" s="24"/>
    </row>
    <row r="643" ht="15.75" customHeight="1">
      <c r="AH643" s="256"/>
      <c r="AI643" s="257"/>
      <c r="AJ643" s="258"/>
      <c r="AK643" s="24"/>
    </row>
    <row r="644" ht="15.75" customHeight="1">
      <c r="AH644" s="256"/>
      <c r="AI644" s="257"/>
      <c r="AJ644" s="258"/>
      <c r="AK644" s="24"/>
    </row>
    <row r="645" ht="15.75" customHeight="1">
      <c r="AH645" s="256"/>
      <c r="AI645" s="257"/>
      <c r="AJ645" s="258"/>
      <c r="AK645" s="24"/>
    </row>
    <row r="646" ht="15.75" customHeight="1">
      <c r="AH646" s="256"/>
      <c r="AI646" s="257"/>
      <c r="AJ646" s="258"/>
      <c r="AK646" s="24"/>
    </row>
    <row r="647" ht="15.75" customHeight="1">
      <c r="AH647" s="256"/>
      <c r="AI647" s="257"/>
      <c r="AJ647" s="258"/>
      <c r="AK647" s="24"/>
    </row>
    <row r="648" ht="15.75" customHeight="1">
      <c r="AH648" s="256"/>
      <c r="AI648" s="257"/>
      <c r="AJ648" s="258"/>
      <c r="AK648" s="24"/>
    </row>
    <row r="649" ht="15.75" customHeight="1">
      <c r="AH649" s="256"/>
      <c r="AI649" s="257"/>
      <c r="AJ649" s="258"/>
      <c r="AK649" s="24"/>
    </row>
    <row r="650" ht="15.75" customHeight="1">
      <c r="AH650" s="256"/>
      <c r="AI650" s="257"/>
      <c r="AJ650" s="258"/>
      <c r="AK650" s="24"/>
    </row>
    <row r="651" ht="15.75" customHeight="1">
      <c r="AH651" s="256"/>
      <c r="AI651" s="257"/>
      <c r="AJ651" s="258"/>
      <c r="AK651" s="24"/>
    </row>
    <row r="652" ht="15.75" customHeight="1">
      <c r="AH652" s="256"/>
      <c r="AI652" s="257"/>
      <c r="AJ652" s="258"/>
      <c r="AK652" s="24"/>
    </row>
    <row r="653" ht="15.75" customHeight="1">
      <c r="AH653" s="256"/>
      <c r="AI653" s="257"/>
      <c r="AJ653" s="258"/>
      <c r="AK653" s="24"/>
    </row>
    <row r="654" ht="15.75" customHeight="1">
      <c r="AH654" s="256"/>
      <c r="AI654" s="257"/>
      <c r="AJ654" s="258"/>
      <c r="AK654" s="24"/>
    </row>
    <row r="655" ht="15.75" customHeight="1">
      <c r="AH655" s="256"/>
      <c r="AI655" s="257"/>
      <c r="AJ655" s="258"/>
      <c r="AK655" s="24"/>
    </row>
    <row r="656" ht="15.75" customHeight="1">
      <c r="AH656" s="256"/>
      <c r="AI656" s="257"/>
      <c r="AJ656" s="258"/>
      <c r="AK656" s="24"/>
    </row>
    <row r="657" ht="15.75" customHeight="1">
      <c r="AH657" s="256"/>
      <c r="AI657" s="257"/>
      <c r="AJ657" s="258"/>
      <c r="AK657" s="24"/>
    </row>
    <row r="658" ht="15.75" customHeight="1">
      <c r="AH658" s="256"/>
      <c r="AI658" s="257"/>
      <c r="AJ658" s="258"/>
      <c r="AK658" s="24"/>
    </row>
    <row r="659" ht="15.75" customHeight="1">
      <c r="AH659" s="256"/>
      <c r="AI659" s="257"/>
      <c r="AJ659" s="258"/>
      <c r="AK659" s="24"/>
    </row>
    <row r="660" ht="15.75" customHeight="1">
      <c r="AH660" s="256"/>
      <c r="AI660" s="257"/>
      <c r="AJ660" s="258"/>
      <c r="AK660" s="24"/>
    </row>
    <row r="661" ht="15.75" customHeight="1">
      <c r="AH661" s="256"/>
      <c r="AI661" s="257"/>
      <c r="AJ661" s="258"/>
      <c r="AK661" s="24"/>
    </row>
    <row r="662" ht="15.75" customHeight="1">
      <c r="AH662" s="256"/>
      <c r="AI662" s="257"/>
      <c r="AJ662" s="258"/>
      <c r="AK662" s="24"/>
    </row>
    <row r="663" ht="15.75" customHeight="1">
      <c r="AH663" s="256"/>
      <c r="AI663" s="257"/>
      <c r="AJ663" s="258"/>
      <c r="AK663" s="24"/>
    </row>
    <row r="664" ht="15.75" customHeight="1">
      <c r="AH664" s="256"/>
      <c r="AI664" s="257"/>
      <c r="AJ664" s="258"/>
      <c r="AK664" s="24"/>
    </row>
    <row r="665" ht="15.75" customHeight="1">
      <c r="AH665" s="256"/>
      <c r="AI665" s="257"/>
      <c r="AJ665" s="258"/>
      <c r="AK665" s="24"/>
    </row>
    <row r="666" ht="15.75" customHeight="1">
      <c r="AH666" s="256"/>
      <c r="AI666" s="257"/>
      <c r="AJ666" s="258"/>
      <c r="AK666" s="24"/>
    </row>
    <row r="667" ht="15.75" customHeight="1">
      <c r="AH667" s="256"/>
      <c r="AI667" s="257"/>
      <c r="AJ667" s="258"/>
      <c r="AK667" s="24"/>
    </row>
    <row r="668" ht="15.75" customHeight="1">
      <c r="AH668" s="256"/>
      <c r="AI668" s="257"/>
      <c r="AJ668" s="258"/>
      <c r="AK668" s="24"/>
    </row>
    <row r="669" ht="15.75" customHeight="1">
      <c r="AH669" s="256"/>
      <c r="AI669" s="257"/>
      <c r="AJ669" s="258"/>
      <c r="AK669" s="24"/>
    </row>
    <row r="670" ht="15.75" customHeight="1">
      <c r="AH670" s="256"/>
      <c r="AI670" s="257"/>
      <c r="AJ670" s="258"/>
      <c r="AK670" s="24"/>
    </row>
    <row r="671" ht="15.75" customHeight="1">
      <c r="AH671" s="256"/>
      <c r="AI671" s="257"/>
      <c r="AJ671" s="258"/>
      <c r="AK671" s="24"/>
    </row>
    <row r="672" ht="15.75" customHeight="1">
      <c r="AH672" s="256"/>
      <c r="AI672" s="257"/>
      <c r="AJ672" s="258"/>
      <c r="AK672" s="24"/>
    </row>
    <row r="673" ht="15.75" customHeight="1">
      <c r="AH673" s="256"/>
      <c r="AI673" s="257"/>
      <c r="AJ673" s="258"/>
      <c r="AK673" s="24"/>
    </row>
    <row r="674" ht="15.75" customHeight="1">
      <c r="AH674" s="256"/>
      <c r="AI674" s="257"/>
      <c r="AJ674" s="258"/>
      <c r="AK674" s="24"/>
    </row>
    <row r="675" ht="15.75" customHeight="1">
      <c r="AH675" s="256"/>
      <c r="AI675" s="257"/>
      <c r="AJ675" s="258"/>
      <c r="AK675" s="24"/>
    </row>
    <row r="676" ht="15.75" customHeight="1">
      <c r="AH676" s="256"/>
      <c r="AI676" s="257"/>
      <c r="AJ676" s="258"/>
      <c r="AK676" s="24"/>
    </row>
    <row r="677" ht="15.75" customHeight="1">
      <c r="AH677" s="256"/>
      <c r="AI677" s="257"/>
      <c r="AJ677" s="258"/>
      <c r="AK677" s="24"/>
    </row>
    <row r="678" ht="15.75" customHeight="1">
      <c r="AH678" s="256"/>
      <c r="AI678" s="257"/>
      <c r="AJ678" s="258"/>
      <c r="AK678" s="24"/>
    </row>
    <row r="679" ht="15.75" customHeight="1">
      <c r="AH679" s="256"/>
      <c r="AI679" s="257"/>
      <c r="AJ679" s="258"/>
      <c r="AK679" s="24"/>
    </row>
    <row r="680" ht="15.75" customHeight="1">
      <c r="AH680" s="256"/>
      <c r="AI680" s="257"/>
      <c r="AJ680" s="258"/>
      <c r="AK680" s="24"/>
    </row>
    <row r="681" ht="15.75" customHeight="1">
      <c r="AH681" s="256"/>
      <c r="AI681" s="257"/>
      <c r="AJ681" s="258"/>
      <c r="AK681" s="24"/>
    </row>
    <row r="682" ht="15.75" customHeight="1">
      <c r="AH682" s="256"/>
      <c r="AI682" s="257"/>
      <c r="AJ682" s="258"/>
      <c r="AK682" s="24"/>
    </row>
    <row r="683" ht="15.75" customHeight="1">
      <c r="AH683" s="256"/>
      <c r="AI683" s="257"/>
      <c r="AJ683" s="258"/>
      <c r="AK683" s="24"/>
    </row>
    <row r="684" ht="15.75" customHeight="1">
      <c r="AH684" s="256"/>
      <c r="AI684" s="257"/>
      <c r="AJ684" s="258"/>
      <c r="AK684" s="24"/>
    </row>
    <row r="685" ht="15.75" customHeight="1">
      <c r="AH685" s="256"/>
      <c r="AI685" s="257"/>
      <c r="AJ685" s="258"/>
      <c r="AK685" s="24"/>
    </row>
    <row r="686" ht="15.75" customHeight="1">
      <c r="AH686" s="256"/>
      <c r="AI686" s="257"/>
      <c r="AJ686" s="258"/>
      <c r="AK686" s="24"/>
    </row>
    <row r="687" ht="15.75" customHeight="1">
      <c r="AH687" s="256"/>
      <c r="AI687" s="257"/>
      <c r="AJ687" s="258"/>
      <c r="AK687" s="24"/>
    </row>
    <row r="688" ht="15.75" customHeight="1">
      <c r="AH688" s="256"/>
      <c r="AI688" s="257"/>
      <c r="AJ688" s="258"/>
      <c r="AK688" s="24"/>
    </row>
    <row r="689" ht="15.75" customHeight="1">
      <c r="AH689" s="256"/>
      <c r="AI689" s="257"/>
      <c r="AJ689" s="258"/>
      <c r="AK689" s="24"/>
    </row>
    <row r="690" ht="15.75" customHeight="1">
      <c r="AH690" s="256"/>
      <c r="AI690" s="257"/>
      <c r="AJ690" s="258"/>
      <c r="AK690" s="24"/>
    </row>
    <row r="691" ht="15.75" customHeight="1">
      <c r="AH691" s="256"/>
      <c r="AI691" s="257"/>
      <c r="AJ691" s="258"/>
      <c r="AK691" s="24"/>
    </row>
    <row r="692" ht="15.75" customHeight="1">
      <c r="AH692" s="256"/>
      <c r="AI692" s="257"/>
      <c r="AJ692" s="258"/>
      <c r="AK692" s="24"/>
    </row>
    <row r="693" ht="15.75" customHeight="1">
      <c r="AH693" s="256"/>
      <c r="AI693" s="257"/>
      <c r="AJ693" s="258"/>
      <c r="AK693" s="24"/>
    </row>
    <row r="694" ht="15.75" customHeight="1">
      <c r="AH694" s="256"/>
      <c r="AI694" s="257"/>
      <c r="AJ694" s="258"/>
      <c r="AK694" s="24"/>
    </row>
    <row r="695" ht="15.75" customHeight="1">
      <c r="AH695" s="256"/>
      <c r="AI695" s="257"/>
      <c r="AJ695" s="258"/>
      <c r="AK695" s="24"/>
    </row>
    <row r="696" ht="15.75" customHeight="1">
      <c r="AH696" s="256"/>
      <c r="AI696" s="257"/>
      <c r="AJ696" s="258"/>
      <c r="AK696" s="24"/>
    </row>
    <row r="697" ht="15.75" customHeight="1">
      <c r="AH697" s="256"/>
      <c r="AI697" s="257"/>
      <c r="AJ697" s="258"/>
      <c r="AK697" s="24"/>
    </row>
    <row r="698" ht="15.75" customHeight="1">
      <c r="AH698" s="256"/>
      <c r="AI698" s="257"/>
      <c r="AJ698" s="258"/>
      <c r="AK698" s="24"/>
    </row>
    <row r="699" ht="15.75" customHeight="1">
      <c r="AH699" s="256"/>
      <c r="AI699" s="257"/>
      <c r="AJ699" s="258"/>
      <c r="AK699" s="24"/>
    </row>
    <row r="700" ht="15.75" customHeight="1">
      <c r="AH700" s="256"/>
      <c r="AI700" s="257"/>
      <c r="AJ700" s="258"/>
      <c r="AK700" s="24"/>
    </row>
    <row r="701" ht="15.75" customHeight="1">
      <c r="AH701" s="256"/>
      <c r="AI701" s="257"/>
      <c r="AJ701" s="258"/>
      <c r="AK701" s="24"/>
    </row>
    <row r="702" ht="15.75" customHeight="1">
      <c r="AH702" s="256"/>
      <c r="AI702" s="257"/>
      <c r="AJ702" s="258"/>
      <c r="AK702" s="24"/>
    </row>
    <row r="703" ht="15.75" customHeight="1">
      <c r="AH703" s="256"/>
      <c r="AI703" s="257"/>
      <c r="AJ703" s="258"/>
      <c r="AK703" s="24"/>
    </row>
    <row r="704" ht="15.75" customHeight="1">
      <c r="AH704" s="256"/>
      <c r="AI704" s="257"/>
      <c r="AJ704" s="258"/>
      <c r="AK704" s="24"/>
    </row>
    <row r="705" ht="15.75" customHeight="1">
      <c r="AH705" s="256"/>
      <c r="AI705" s="257"/>
      <c r="AJ705" s="258"/>
      <c r="AK705" s="24"/>
    </row>
    <row r="706" ht="15.75" customHeight="1">
      <c r="AH706" s="256"/>
      <c r="AI706" s="257"/>
      <c r="AJ706" s="258"/>
      <c r="AK706" s="24"/>
    </row>
    <row r="707" ht="15.75" customHeight="1">
      <c r="AH707" s="256"/>
      <c r="AI707" s="257"/>
      <c r="AJ707" s="258"/>
      <c r="AK707" s="24"/>
    </row>
    <row r="708" ht="15.75" customHeight="1">
      <c r="AH708" s="256"/>
      <c r="AI708" s="257"/>
      <c r="AJ708" s="258"/>
      <c r="AK708" s="24"/>
    </row>
    <row r="709" ht="15.75" customHeight="1">
      <c r="AH709" s="256"/>
      <c r="AI709" s="257"/>
      <c r="AJ709" s="258"/>
      <c r="AK709" s="24"/>
    </row>
    <row r="710" ht="15.75" customHeight="1">
      <c r="AH710" s="256"/>
      <c r="AI710" s="257"/>
      <c r="AJ710" s="258"/>
      <c r="AK710" s="24"/>
    </row>
    <row r="711" ht="15.75" customHeight="1">
      <c r="AH711" s="256"/>
      <c r="AI711" s="257"/>
      <c r="AJ711" s="258"/>
      <c r="AK711" s="24"/>
    </row>
    <row r="712" ht="15.75" customHeight="1">
      <c r="AH712" s="256"/>
      <c r="AI712" s="257"/>
      <c r="AJ712" s="258"/>
      <c r="AK712" s="24"/>
    </row>
    <row r="713" ht="15.75" customHeight="1">
      <c r="AH713" s="256"/>
      <c r="AI713" s="257"/>
      <c r="AJ713" s="258"/>
      <c r="AK713" s="24"/>
    </row>
    <row r="714" ht="15.75" customHeight="1">
      <c r="AH714" s="256"/>
      <c r="AI714" s="257"/>
      <c r="AJ714" s="258"/>
      <c r="AK714" s="24"/>
    </row>
    <row r="715" ht="15.75" customHeight="1">
      <c r="AH715" s="256"/>
      <c r="AI715" s="257"/>
      <c r="AJ715" s="258"/>
      <c r="AK715" s="24"/>
    </row>
    <row r="716" ht="15.75" customHeight="1">
      <c r="AH716" s="256"/>
      <c r="AI716" s="257"/>
      <c r="AJ716" s="258"/>
      <c r="AK716" s="24"/>
    </row>
    <row r="717" ht="15.75" customHeight="1">
      <c r="AH717" s="256"/>
      <c r="AI717" s="257"/>
      <c r="AJ717" s="258"/>
      <c r="AK717" s="24"/>
    </row>
    <row r="718" ht="15.75" customHeight="1">
      <c r="AH718" s="256"/>
      <c r="AI718" s="257"/>
      <c r="AJ718" s="258"/>
      <c r="AK718" s="24"/>
    </row>
    <row r="719" ht="15.75" customHeight="1">
      <c r="AH719" s="256"/>
      <c r="AI719" s="257"/>
      <c r="AJ719" s="258"/>
      <c r="AK719" s="24"/>
    </row>
    <row r="720" ht="15.75" customHeight="1">
      <c r="AH720" s="256"/>
      <c r="AI720" s="257"/>
      <c r="AJ720" s="258"/>
      <c r="AK720" s="24"/>
    </row>
    <row r="721" ht="15.75" customHeight="1">
      <c r="AH721" s="256"/>
      <c r="AI721" s="257"/>
      <c r="AJ721" s="258"/>
      <c r="AK721" s="24"/>
    </row>
    <row r="722" ht="15.75" customHeight="1">
      <c r="AH722" s="256"/>
      <c r="AI722" s="257"/>
      <c r="AJ722" s="258"/>
      <c r="AK722" s="24"/>
    </row>
    <row r="723" ht="15.75" customHeight="1">
      <c r="AH723" s="256"/>
      <c r="AI723" s="257"/>
      <c r="AJ723" s="258"/>
      <c r="AK723" s="24"/>
    </row>
    <row r="724" ht="15.75" customHeight="1">
      <c r="AH724" s="256"/>
      <c r="AI724" s="257"/>
      <c r="AJ724" s="258"/>
      <c r="AK724" s="24"/>
    </row>
    <row r="725" ht="15.75" customHeight="1">
      <c r="AH725" s="256"/>
      <c r="AI725" s="257"/>
      <c r="AJ725" s="258"/>
      <c r="AK725" s="24"/>
    </row>
    <row r="726" ht="15.75" customHeight="1">
      <c r="AH726" s="256"/>
      <c r="AI726" s="257"/>
      <c r="AJ726" s="258"/>
      <c r="AK726" s="24"/>
    </row>
    <row r="727" ht="15.75" customHeight="1">
      <c r="AH727" s="256"/>
      <c r="AI727" s="257"/>
      <c r="AJ727" s="258"/>
      <c r="AK727" s="24"/>
    </row>
    <row r="728" ht="15.75" customHeight="1">
      <c r="AH728" s="256"/>
      <c r="AI728" s="257"/>
      <c r="AJ728" s="258"/>
      <c r="AK728" s="24"/>
    </row>
    <row r="729" ht="15.75" customHeight="1">
      <c r="AH729" s="256"/>
      <c r="AI729" s="257"/>
      <c r="AJ729" s="258"/>
      <c r="AK729" s="24"/>
    </row>
    <row r="730" ht="15.75" customHeight="1">
      <c r="AH730" s="256"/>
      <c r="AI730" s="257"/>
      <c r="AJ730" s="258"/>
      <c r="AK730" s="24"/>
    </row>
    <row r="731" ht="15.75" customHeight="1">
      <c r="AH731" s="256"/>
      <c r="AI731" s="257"/>
      <c r="AJ731" s="258"/>
      <c r="AK731" s="24"/>
    </row>
    <row r="732" ht="15.75" customHeight="1">
      <c r="AH732" s="256"/>
      <c r="AI732" s="257"/>
      <c r="AJ732" s="258"/>
      <c r="AK732" s="24"/>
    </row>
    <row r="733" ht="15.75" customHeight="1">
      <c r="AH733" s="256"/>
      <c r="AI733" s="257"/>
      <c r="AJ733" s="258"/>
      <c r="AK733" s="24"/>
    </row>
    <row r="734" ht="15.75" customHeight="1">
      <c r="AH734" s="256"/>
      <c r="AI734" s="257"/>
      <c r="AJ734" s="258"/>
      <c r="AK734" s="24"/>
    </row>
    <row r="735" ht="15.75" customHeight="1">
      <c r="AH735" s="256"/>
      <c r="AI735" s="257"/>
      <c r="AJ735" s="258"/>
      <c r="AK735" s="24"/>
    </row>
    <row r="736" ht="15.75" customHeight="1">
      <c r="AH736" s="256"/>
      <c r="AI736" s="257"/>
      <c r="AJ736" s="258"/>
      <c r="AK736" s="24"/>
    </row>
    <row r="737" ht="15.75" customHeight="1">
      <c r="AH737" s="256"/>
      <c r="AI737" s="257"/>
      <c r="AJ737" s="258"/>
      <c r="AK737" s="24"/>
    </row>
    <row r="738" ht="15.75" customHeight="1">
      <c r="AH738" s="256"/>
      <c r="AI738" s="257"/>
      <c r="AJ738" s="258"/>
      <c r="AK738" s="24"/>
    </row>
    <row r="739" ht="15.75" customHeight="1">
      <c r="AH739" s="256"/>
      <c r="AI739" s="257"/>
      <c r="AJ739" s="258"/>
      <c r="AK739" s="24"/>
    </row>
    <row r="740" ht="15.75" customHeight="1">
      <c r="AH740" s="256"/>
      <c r="AI740" s="257"/>
      <c r="AJ740" s="258"/>
      <c r="AK740" s="24"/>
    </row>
    <row r="741" ht="15.75" customHeight="1">
      <c r="AH741" s="256"/>
      <c r="AI741" s="257"/>
      <c r="AJ741" s="258"/>
      <c r="AK741" s="24"/>
    </row>
    <row r="742" ht="15.75" customHeight="1">
      <c r="AH742" s="256"/>
      <c r="AI742" s="257"/>
      <c r="AJ742" s="258"/>
      <c r="AK742" s="24"/>
    </row>
    <row r="743" ht="15.75" customHeight="1">
      <c r="AH743" s="256"/>
      <c r="AI743" s="257"/>
      <c r="AJ743" s="258"/>
      <c r="AK743" s="24"/>
    </row>
    <row r="744" ht="15.75" customHeight="1">
      <c r="AH744" s="256"/>
      <c r="AI744" s="257"/>
      <c r="AJ744" s="258"/>
      <c r="AK744" s="24"/>
    </row>
    <row r="745" ht="15.75" customHeight="1">
      <c r="AH745" s="256"/>
      <c r="AI745" s="257"/>
      <c r="AJ745" s="258"/>
      <c r="AK745" s="24"/>
    </row>
    <row r="746" ht="15.75" customHeight="1">
      <c r="AH746" s="256"/>
      <c r="AI746" s="257"/>
      <c r="AJ746" s="258"/>
      <c r="AK746" s="24"/>
    </row>
    <row r="747" ht="15.75" customHeight="1">
      <c r="AH747" s="256"/>
      <c r="AI747" s="257"/>
      <c r="AJ747" s="258"/>
      <c r="AK747" s="24"/>
    </row>
    <row r="748" ht="15.75" customHeight="1">
      <c r="AH748" s="256"/>
      <c r="AI748" s="257"/>
      <c r="AJ748" s="258"/>
      <c r="AK748" s="24"/>
    </row>
    <row r="749" ht="15.75" customHeight="1">
      <c r="AH749" s="256"/>
      <c r="AI749" s="257"/>
      <c r="AJ749" s="258"/>
      <c r="AK749" s="24"/>
    </row>
    <row r="750" ht="15.75" customHeight="1">
      <c r="AH750" s="256"/>
      <c r="AI750" s="257"/>
      <c r="AJ750" s="258"/>
      <c r="AK750" s="24"/>
    </row>
    <row r="751" ht="15.75" customHeight="1">
      <c r="AH751" s="256"/>
      <c r="AI751" s="257"/>
      <c r="AJ751" s="258"/>
      <c r="AK751" s="24"/>
    </row>
    <row r="752" ht="15.75" customHeight="1">
      <c r="AH752" s="256"/>
      <c r="AI752" s="257"/>
      <c r="AJ752" s="258"/>
      <c r="AK752" s="24"/>
    </row>
    <row r="753" ht="15.75" customHeight="1">
      <c r="AH753" s="256"/>
      <c r="AI753" s="257"/>
      <c r="AJ753" s="258"/>
      <c r="AK753" s="24"/>
    </row>
    <row r="754" ht="15.75" customHeight="1">
      <c r="AH754" s="256"/>
      <c r="AI754" s="257"/>
      <c r="AJ754" s="258"/>
      <c r="AK754" s="24"/>
    </row>
    <row r="755" ht="15.75" customHeight="1">
      <c r="AH755" s="256"/>
      <c r="AI755" s="257"/>
      <c r="AJ755" s="258"/>
      <c r="AK755" s="24"/>
    </row>
    <row r="756" ht="15.75" customHeight="1">
      <c r="AH756" s="256"/>
      <c r="AI756" s="257"/>
      <c r="AJ756" s="258"/>
      <c r="AK756" s="24"/>
    </row>
    <row r="757" ht="15.75" customHeight="1">
      <c r="AH757" s="256"/>
      <c r="AI757" s="257"/>
      <c r="AJ757" s="258"/>
      <c r="AK757" s="24"/>
    </row>
    <row r="758" ht="15.75" customHeight="1">
      <c r="AH758" s="256"/>
      <c r="AI758" s="257"/>
      <c r="AJ758" s="258"/>
      <c r="AK758" s="24"/>
    </row>
    <row r="759" ht="15.75" customHeight="1">
      <c r="AH759" s="256"/>
      <c r="AI759" s="257"/>
      <c r="AJ759" s="258"/>
      <c r="AK759" s="24"/>
    </row>
    <row r="760" ht="15.75" customHeight="1">
      <c r="AH760" s="256"/>
      <c r="AI760" s="257"/>
      <c r="AJ760" s="258"/>
      <c r="AK760" s="24"/>
    </row>
    <row r="761" ht="15.75" customHeight="1">
      <c r="AH761" s="256"/>
      <c r="AI761" s="257"/>
      <c r="AJ761" s="258"/>
      <c r="AK761" s="24"/>
    </row>
    <row r="762" ht="15.75" customHeight="1">
      <c r="AH762" s="256"/>
      <c r="AI762" s="257"/>
      <c r="AJ762" s="258"/>
      <c r="AK762" s="24"/>
    </row>
    <row r="763" ht="15.75" customHeight="1">
      <c r="AH763" s="256"/>
      <c r="AI763" s="257"/>
      <c r="AJ763" s="258"/>
      <c r="AK763" s="24"/>
    </row>
    <row r="764" ht="15.75" customHeight="1">
      <c r="AH764" s="256"/>
      <c r="AI764" s="257"/>
      <c r="AJ764" s="258"/>
      <c r="AK764" s="24"/>
    </row>
    <row r="765" ht="15.75" customHeight="1">
      <c r="AH765" s="256"/>
      <c r="AI765" s="257"/>
      <c r="AJ765" s="258"/>
      <c r="AK765" s="24"/>
    </row>
    <row r="766" ht="15.75" customHeight="1">
      <c r="AH766" s="256"/>
      <c r="AI766" s="257"/>
      <c r="AJ766" s="258"/>
      <c r="AK766" s="24"/>
    </row>
    <row r="767" ht="15.75" customHeight="1">
      <c r="AH767" s="256"/>
      <c r="AI767" s="257"/>
      <c r="AJ767" s="258"/>
      <c r="AK767" s="24"/>
    </row>
    <row r="768" ht="15.75" customHeight="1">
      <c r="AH768" s="256"/>
      <c r="AI768" s="257"/>
      <c r="AJ768" s="258"/>
      <c r="AK768" s="24"/>
    </row>
    <row r="769" ht="15.75" customHeight="1">
      <c r="AH769" s="256"/>
      <c r="AI769" s="257"/>
      <c r="AJ769" s="258"/>
      <c r="AK769" s="24"/>
    </row>
    <row r="770" ht="15.75" customHeight="1">
      <c r="AH770" s="256"/>
      <c r="AI770" s="257"/>
      <c r="AJ770" s="258"/>
      <c r="AK770" s="24"/>
    </row>
    <row r="771" ht="15.75" customHeight="1">
      <c r="AH771" s="256"/>
      <c r="AI771" s="257"/>
      <c r="AJ771" s="258"/>
      <c r="AK771" s="24"/>
    </row>
    <row r="772" ht="15.75" customHeight="1">
      <c r="AH772" s="256"/>
      <c r="AI772" s="257"/>
      <c r="AJ772" s="258"/>
      <c r="AK772" s="24"/>
    </row>
    <row r="773" ht="15.75" customHeight="1">
      <c r="AH773" s="256"/>
      <c r="AI773" s="257"/>
      <c r="AJ773" s="258"/>
      <c r="AK773" s="24"/>
    </row>
    <row r="774" ht="15.75" customHeight="1">
      <c r="AH774" s="256"/>
      <c r="AI774" s="257"/>
      <c r="AJ774" s="258"/>
      <c r="AK774" s="24"/>
    </row>
    <row r="775" ht="15.75" customHeight="1">
      <c r="AH775" s="256"/>
      <c r="AI775" s="257"/>
      <c r="AJ775" s="258"/>
      <c r="AK775" s="24"/>
    </row>
    <row r="776" ht="15.75" customHeight="1">
      <c r="AH776" s="256"/>
      <c r="AI776" s="257"/>
      <c r="AJ776" s="258"/>
      <c r="AK776" s="24"/>
    </row>
    <row r="777" ht="15.75" customHeight="1">
      <c r="AH777" s="256"/>
      <c r="AI777" s="257"/>
      <c r="AJ777" s="258"/>
      <c r="AK777" s="24"/>
    </row>
    <row r="778" ht="15.75" customHeight="1">
      <c r="AH778" s="256"/>
      <c r="AI778" s="257"/>
      <c r="AJ778" s="258"/>
      <c r="AK778" s="24"/>
    </row>
    <row r="779" ht="15.75" customHeight="1">
      <c r="AH779" s="256"/>
      <c r="AI779" s="257"/>
      <c r="AJ779" s="258"/>
      <c r="AK779" s="24"/>
    </row>
    <row r="780" ht="15.75" customHeight="1">
      <c r="AH780" s="256"/>
      <c r="AI780" s="257"/>
      <c r="AJ780" s="258"/>
      <c r="AK780" s="24"/>
    </row>
    <row r="781" ht="15.75" customHeight="1">
      <c r="AH781" s="256"/>
      <c r="AI781" s="257"/>
      <c r="AJ781" s="258"/>
      <c r="AK781" s="24"/>
    </row>
    <row r="782" ht="15.75" customHeight="1">
      <c r="AH782" s="256"/>
      <c r="AI782" s="257"/>
      <c r="AJ782" s="258"/>
      <c r="AK782" s="24"/>
    </row>
    <row r="783" ht="15.75" customHeight="1">
      <c r="AH783" s="256"/>
      <c r="AI783" s="257"/>
      <c r="AJ783" s="258"/>
      <c r="AK783" s="24"/>
    </row>
    <row r="784" ht="15.75" customHeight="1">
      <c r="AH784" s="256"/>
      <c r="AI784" s="257"/>
      <c r="AJ784" s="258"/>
      <c r="AK784" s="24"/>
    </row>
    <row r="785" ht="15.75" customHeight="1">
      <c r="AH785" s="256"/>
      <c r="AI785" s="257"/>
      <c r="AJ785" s="258"/>
      <c r="AK785" s="24"/>
    </row>
    <row r="786" ht="15.75" customHeight="1">
      <c r="AH786" s="256"/>
      <c r="AI786" s="257"/>
      <c r="AJ786" s="258"/>
      <c r="AK786" s="24"/>
    </row>
    <row r="787" ht="15.75" customHeight="1">
      <c r="AH787" s="256"/>
      <c r="AI787" s="257"/>
      <c r="AJ787" s="258"/>
      <c r="AK787" s="24"/>
    </row>
    <row r="788" ht="15.75" customHeight="1">
      <c r="AH788" s="256"/>
      <c r="AI788" s="257"/>
      <c r="AJ788" s="258"/>
      <c r="AK788" s="24"/>
    </row>
    <row r="789" ht="15.75" customHeight="1">
      <c r="AH789" s="256"/>
      <c r="AI789" s="257"/>
      <c r="AJ789" s="258"/>
      <c r="AK789" s="24"/>
    </row>
    <row r="790" ht="15.75" customHeight="1">
      <c r="AH790" s="256"/>
      <c r="AI790" s="257"/>
      <c r="AJ790" s="258"/>
      <c r="AK790" s="24"/>
    </row>
    <row r="791" ht="15.75" customHeight="1">
      <c r="AH791" s="256"/>
      <c r="AI791" s="257"/>
      <c r="AJ791" s="258"/>
      <c r="AK791" s="24"/>
    </row>
    <row r="792" ht="15.75" customHeight="1">
      <c r="AH792" s="256"/>
      <c r="AI792" s="257"/>
      <c r="AJ792" s="258"/>
      <c r="AK792" s="24"/>
    </row>
    <row r="793" ht="15.75" customHeight="1">
      <c r="AH793" s="256"/>
      <c r="AI793" s="257"/>
      <c r="AJ793" s="258"/>
      <c r="AK793" s="24"/>
    </row>
    <row r="794" ht="15.75" customHeight="1">
      <c r="AH794" s="256"/>
      <c r="AI794" s="257"/>
      <c r="AJ794" s="258"/>
      <c r="AK794" s="24"/>
    </row>
    <row r="795" ht="15.75" customHeight="1">
      <c r="AH795" s="256"/>
      <c r="AI795" s="257"/>
      <c r="AJ795" s="258"/>
      <c r="AK795" s="24"/>
    </row>
    <row r="796" ht="15.75" customHeight="1">
      <c r="AH796" s="256"/>
      <c r="AI796" s="257"/>
      <c r="AJ796" s="258"/>
      <c r="AK796" s="24"/>
    </row>
    <row r="797" ht="15.75" customHeight="1">
      <c r="AH797" s="256"/>
      <c r="AI797" s="257"/>
      <c r="AJ797" s="258"/>
      <c r="AK797" s="24"/>
    </row>
    <row r="798" ht="15.75" customHeight="1">
      <c r="AH798" s="256"/>
      <c r="AI798" s="257"/>
      <c r="AJ798" s="258"/>
      <c r="AK798" s="24"/>
    </row>
    <row r="799" ht="15.75" customHeight="1">
      <c r="AH799" s="256"/>
      <c r="AI799" s="257"/>
      <c r="AJ799" s="258"/>
      <c r="AK799" s="24"/>
    </row>
    <row r="800" ht="15.75" customHeight="1">
      <c r="AH800" s="256"/>
      <c r="AI800" s="257"/>
      <c r="AJ800" s="258"/>
      <c r="AK800" s="24"/>
    </row>
    <row r="801" ht="15.75" customHeight="1">
      <c r="AH801" s="256"/>
      <c r="AI801" s="257"/>
      <c r="AJ801" s="258"/>
      <c r="AK801" s="24"/>
    </row>
    <row r="802" ht="15.75" customHeight="1">
      <c r="AH802" s="256"/>
      <c r="AI802" s="257"/>
      <c r="AJ802" s="258"/>
      <c r="AK802" s="24"/>
    </row>
    <row r="803" ht="15.75" customHeight="1">
      <c r="AH803" s="256"/>
      <c r="AI803" s="257"/>
      <c r="AJ803" s="258"/>
      <c r="AK803" s="24"/>
    </row>
    <row r="804" ht="15.75" customHeight="1">
      <c r="AH804" s="256"/>
      <c r="AI804" s="257"/>
      <c r="AJ804" s="258"/>
      <c r="AK804" s="24"/>
    </row>
    <row r="805" ht="15.75" customHeight="1">
      <c r="AH805" s="256"/>
      <c r="AI805" s="257"/>
      <c r="AJ805" s="258"/>
      <c r="AK805" s="24"/>
    </row>
    <row r="806" ht="15.75" customHeight="1">
      <c r="AH806" s="256"/>
      <c r="AI806" s="257"/>
      <c r="AJ806" s="258"/>
      <c r="AK806" s="24"/>
    </row>
    <row r="807" ht="15.75" customHeight="1">
      <c r="AH807" s="256"/>
      <c r="AI807" s="257"/>
      <c r="AJ807" s="258"/>
      <c r="AK807" s="24"/>
    </row>
    <row r="808" ht="15.75" customHeight="1">
      <c r="AH808" s="256"/>
      <c r="AI808" s="257"/>
      <c r="AJ808" s="258"/>
      <c r="AK808" s="24"/>
    </row>
    <row r="809" ht="15.75" customHeight="1">
      <c r="AH809" s="256"/>
      <c r="AI809" s="257"/>
      <c r="AJ809" s="258"/>
      <c r="AK809" s="24"/>
    </row>
    <row r="810" ht="15.75" customHeight="1">
      <c r="AH810" s="256"/>
      <c r="AI810" s="257"/>
      <c r="AJ810" s="258"/>
      <c r="AK810" s="24"/>
    </row>
    <row r="811" ht="15.75" customHeight="1">
      <c r="AH811" s="256"/>
      <c r="AI811" s="257"/>
      <c r="AJ811" s="258"/>
      <c r="AK811" s="24"/>
    </row>
    <row r="812" ht="15.75" customHeight="1">
      <c r="AH812" s="256"/>
      <c r="AI812" s="257"/>
      <c r="AJ812" s="258"/>
      <c r="AK812" s="24"/>
    </row>
    <row r="813" ht="15.75" customHeight="1">
      <c r="AH813" s="256"/>
      <c r="AI813" s="257"/>
      <c r="AJ813" s="258"/>
      <c r="AK813" s="24"/>
    </row>
    <row r="814" ht="15.75" customHeight="1">
      <c r="AH814" s="256"/>
      <c r="AI814" s="257"/>
      <c r="AJ814" s="258"/>
      <c r="AK814" s="24"/>
    </row>
    <row r="815" ht="15.75" customHeight="1">
      <c r="AH815" s="256"/>
      <c r="AI815" s="257"/>
      <c r="AJ815" s="258"/>
      <c r="AK815" s="24"/>
    </row>
    <row r="816" ht="15.75" customHeight="1">
      <c r="AH816" s="256"/>
      <c r="AI816" s="257"/>
      <c r="AJ816" s="258"/>
      <c r="AK816" s="24"/>
    </row>
    <row r="817" ht="15.75" customHeight="1">
      <c r="AH817" s="256"/>
      <c r="AI817" s="257"/>
      <c r="AJ817" s="258"/>
      <c r="AK817" s="24"/>
    </row>
    <row r="818" ht="15.75" customHeight="1">
      <c r="AH818" s="256"/>
      <c r="AI818" s="257"/>
      <c r="AJ818" s="258"/>
      <c r="AK818" s="24"/>
    </row>
    <row r="819" ht="15.75" customHeight="1">
      <c r="AH819" s="256"/>
      <c r="AI819" s="257"/>
      <c r="AJ819" s="258"/>
      <c r="AK819" s="24"/>
    </row>
    <row r="820" ht="15.75" customHeight="1">
      <c r="AH820" s="256"/>
      <c r="AI820" s="257"/>
      <c r="AJ820" s="258"/>
      <c r="AK820" s="24"/>
    </row>
    <row r="821" ht="15.75" customHeight="1">
      <c r="AH821" s="256"/>
      <c r="AI821" s="257"/>
      <c r="AJ821" s="258"/>
      <c r="AK821" s="24"/>
    </row>
    <row r="822" ht="15.75" customHeight="1">
      <c r="AH822" s="256"/>
      <c r="AI822" s="257"/>
      <c r="AJ822" s="258"/>
      <c r="AK822" s="24"/>
    </row>
    <row r="823" ht="15.75" customHeight="1">
      <c r="AH823" s="256"/>
      <c r="AI823" s="257"/>
      <c r="AJ823" s="258"/>
      <c r="AK823" s="24"/>
    </row>
    <row r="824" ht="15.75" customHeight="1">
      <c r="AH824" s="256"/>
      <c r="AI824" s="257"/>
      <c r="AJ824" s="258"/>
      <c r="AK824" s="24"/>
    </row>
    <row r="825" ht="15.75" customHeight="1">
      <c r="AH825" s="256"/>
      <c r="AI825" s="257"/>
      <c r="AJ825" s="258"/>
      <c r="AK825" s="24"/>
    </row>
    <row r="826" ht="15.75" customHeight="1">
      <c r="AH826" s="256"/>
      <c r="AI826" s="257"/>
      <c r="AJ826" s="258"/>
      <c r="AK826" s="24"/>
    </row>
    <row r="827" ht="15.75" customHeight="1">
      <c r="AH827" s="256"/>
      <c r="AI827" s="257"/>
      <c r="AJ827" s="258"/>
      <c r="AK827" s="24"/>
    </row>
    <row r="828" ht="15.75" customHeight="1">
      <c r="AH828" s="256"/>
      <c r="AI828" s="257"/>
      <c r="AJ828" s="258"/>
      <c r="AK828" s="24"/>
    </row>
    <row r="829" ht="15.75" customHeight="1">
      <c r="AH829" s="256"/>
      <c r="AI829" s="257"/>
      <c r="AJ829" s="258"/>
      <c r="AK829" s="24"/>
    </row>
    <row r="830" ht="15.75" customHeight="1">
      <c r="AH830" s="256"/>
      <c r="AI830" s="257"/>
      <c r="AJ830" s="258"/>
      <c r="AK830" s="24"/>
    </row>
    <row r="831" ht="15.75" customHeight="1">
      <c r="AH831" s="256"/>
      <c r="AI831" s="257"/>
      <c r="AJ831" s="258"/>
      <c r="AK831" s="24"/>
    </row>
    <row r="832" ht="15.75" customHeight="1">
      <c r="AH832" s="256"/>
      <c r="AI832" s="257"/>
      <c r="AJ832" s="258"/>
      <c r="AK832" s="24"/>
    </row>
    <row r="833" ht="15.75" customHeight="1">
      <c r="AH833" s="256"/>
      <c r="AI833" s="257"/>
      <c r="AJ833" s="258"/>
      <c r="AK833" s="24"/>
    </row>
    <row r="834" ht="15.75" customHeight="1">
      <c r="AH834" s="256"/>
      <c r="AI834" s="257"/>
      <c r="AJ834" s="258"/>
      <c r="AK834" s="24"/>
    </row>
    <row r="835" ht="15.75" customHeight="1">
      <c r="AH835" s="256"/>
      <c r="AI835" s="257"/>
      <c r="AJ835" s="258"/>
      <c r="AK835" s="24"/>
    </row>
    <row r="836" ht="15.75" customHeight="1">
      <c r="AH836" s="256"/>
      <c r="AI836" s="257"/>
      <c r="AJ836" s="258"/>
      <c r="AK836" s="24"/>
    </row>
    <row r="837" ht="15.75" customHeight="1">
      <c r="AH837" s="256"/>
      <c r="AI837" s="257"/>
      <c r="AJ837" s="258"/>
      <c r="AK837" s="24"/>
    </row>
    <row r="838" ht="15.75" customHeight="1">
      <c r="AH838" s="256"/>
      <c r="AI838" s="257"/>
      <c r="AJ838" s="258"/>
      <c r="AK838" s="24"/>
    </row>
    <row r="839" ht="15.75" customHeight="1">
      <c r="AH839" s="256"/>
      <c r="AI839" s="257"/>
      <c r="AJ839" s="258"/>
      <c r="AK839" s="24"/>
    </row>
    <row r="840" ht="15.75" customHeight="1">
      <c r="AH840" s="256"/>
      <c r="AI840" s="257"/>
      <c r="AJ840" s="258"/>
      <c r="AK840" s="24"/>
    </row>
    <row r="841" ht="15.75" customHeight="1">
      <c r="AH841" s="256"/>
      <c r="AI841" s="257"/>
      <c r="AJ841" s="258"/>
      <c r="AK841" s="24"/>
    </row>
    <row r="842" ht="15.75" customHeight="1">
      <c r="AH842" s="256"/>
      <c r="AI842" s="257"/>
      <c r="AJ842" s="258"/>
      <c r="AK842" s="24"/>
    </row>
    <row r="843" ht="15.75" customHeight="1">
      <c r="AH843" s="256"/>
      <c r="AI843" s="257"/>
      <c r="AJ843" s="258"/>
      <c r="AK843" s="24"/>
    </row>
    <row r="844" ht="15.75" customHeight="1">
      <c r="AH844" s="256"/>
      <c r="AI844" s="257"/>
      <c r="AJ844" s="258"/>
      <c r="AK844" s="24"/>
    </row>
    <row r="845" ht="15.75" customHeight="1">
      <c r="AH845" s="256"/>
      <c r="AI845" s="257"/>
      <c r="AJ845" s="258"/>
      <c r="AK845" s="24"/>
    </row>
    <row r="846" ht="15.75" customHeight="1">
      <c r="AH846" s="256"/>
      <c r="AI846" s="257"/>
      <c r="AJ846" s="258"/>
      <c r="AK846" s="24"/>
    </row>
    <row r="847" ht="15.75" customHeight="1">
      <c r="AH847" s="256"/>
      <c r="AI847" s="257"/>
      <c r="AJ847" s="258"/>
      <c r="AK847" s="24"/>
    </row>
    <row r="848" ht="15.75" customHeight="1">
      <c r="AH848" s="256"/>
      <c r="AI848" s="257"/>
      <c r="AJ848" s="258"/>
      <c r="AK848" s="24"/>
    </row>
    <row r="849" ht="15.75" customHeight="1">
      <c r="AH849" s="256"/>
      <c r="AI849" s="257"/>
      <c r="AJ849" s="258"/>
      <c r="AK849" s="24"/>
    </row>
    <row r="850" ht="15.75" customHeight="1">
      <c r="AH850" s="256"/>
      <c r="AI850" s="257"/>
      <c r="AJ850" s="258"/>
      <c r="AK850" s="24"/>
    </row>
    <row r="851" ht="15.75" customHeight="1">
      <c r="AH851" s="256"/>
      <c r="AI851" s="257"/>
      <c r="AJ851" s="258"/>
      <c r="AK851" s="24"/>
    </row>
    <row r="852" ht="15.75" customHeight="1">
      <c r="AH852" s="256"/>
      <c r="AI852" s="257"/>
      <c r="AJ852" s="258"/>
      <c r="AK852" s="24"/>
    </row>
    <row r="853" ht="15.75" customHeight="1">
      <c r="AH853" s="256"/>
      <c r="AI853" s="257"/>
      <c r="AJ853" s="258"/>
      <c r="AK853" s="24"/>
    </row>
    <row r="854" ht="15.75" customHeight="1">
      <c r="AH854" s="256"/>
      <c r="AI854" s="257"/>
      <c r="AJ854" s="258"/>
      <c r="AK854" s="24"/>
    </row>
    <row r="855" ht="15.75" customHeight="1">
      <c r="AH855" s="256"/>
      <c r="AI855" s="257"/>
      <c r="AJ855" s="258"/>
      <c r="AK855" s="24"/>
    </row>
    <row r="856" ht="15.75" customHeight="1">
      <c r="AH856" s="256"/>
      <c r="AI856" s="257"/>
      <c r="AJ856" s="258"/>
      <c r="AK856" s="24"/>
    </row>
    <row r="857" ht="15.75" customHeight="1">
      <c r="AH857" s="256"/>
      <c r="AI857" s="257"/>
      <c r="AJ857" s="258"/>
      <c r="AK857" s="24"/>
    </row>
    <row r="858" ht="15.75" customHeight="1">
      <c r="AH858" s="256"/>
      <c r="AI858" s="257"/>
      <c r="AJ858" s="258"/>
      <c r="AK858" s="24"/>
    </row>
    <row r="859" ht="15.75" customHeight="1">
      <c r="AH859" s="256"/>
      <c r="AI859" s="257"/>
      <c r="AJ859" s="258"/>
      <c r="AK859" s="24"/>
    </row>
    <row r="860" ht="15.75" customHeight="1">
      <c r="AH860" s="256"/>
      <c r="AI860" s="257"/>
      <c r="AJ860" s="258"/>
      <c r="AK860" s="24"/>
    </row>
    <row r="861" ht="15.75" customHeight="1">
      <c r="AH861" s="256"/>
      <c r="AI861" s="257"/>
      <c r="AJ861" s="258"/>
      <c r="AK861" s="24"/>
    </row>
    <row r="862" ht="15.75" customHeight="1">
      <c r="AH862" s="256"/>
      <c r="AI862" s="257"/>
      <c r="AJ862" s="258"/>
      <c r="AK862" s="24"/>
    </row>
    <row r="863" ht="15.75" customHeight="1">
      <c r="AH863" s="256"/>
      <c r="AI863" s="257"/>
      <c r="AJ863" s="258"/>
      <c r="AK863" s="24"/>
    </row>
    <row r="864" ht="15.75" customHeight="1">
      <c r="AH864" s="256"/>
      <c r="AI864" s="257"/>
      <c r="AJ864" s="258"/>
      <c r="AK864" s="24"/>
    </row>
    <row r="865" ht="15.75" customHeight="1">
      <c r="AH865" s="256"/>
      <c r="AI865" s="257"/>
      <c r="AJ865" s="258"/>
      <c r="AK865" s="24"/>
    </row>
    <row r="866" ht="15.75" customHeight="1">
      <c r="AH866" s="256"/>
      <c r="AI866" s="257"/>
      <c r="AJ866" s="258"/>
      <c r="AK866" s="24"/>
    </row>
    <row r="867" ht="15.75" customHeight="1">
      <c r="AH867" s="256"/>
      <c r="AI867" s="257"/>
      <c r="AJ867" s="258"/>
      <c r="AK867" s="24"/>
    </row>
    <row r="868" ht="15.75" customHeight="1">
      <c r="AH868" s="256"/>
      <c r="AI868" s="257"/>
      <c r="AJ868" s="258"/>
      <c r="AK868" s="24"/>
    </row>
    <row r="869" ht="15.75" customHeight="1">
      <c r="AH869" s="256"/>
      <c r="AI869" s="257"/>
      <c r="AJ869" s="258"/>
      <c r="AK869" s="24"/>
    </row>
    <row r="870" ht="15.75" customHeight="1">
      <c r="AH870" s="256"/>
      <c r="AI870" s="257"/>
      <c r="AJ870" s="258"/>
      <c r="AK870" s="24"/>
    </row>
    <row r="871" ht="15.75" customHeight="1">
      <c r="AH871" s="256"/>
      <c r="AI871" s="257"/>
      <c r="AJ871" s="258"/>
      <c r="AK871" s="24"/>
    </row>
    <row r="872" ht="15.75" customHeight="1">
      <c r="AH872" s="256"/>
      <c r="AI872" s="257"/>
      <c r="AJ872" s="258"/>
      <c r="AK872" s="24"/>
    </row>
    <row r="873" ht="15.75" customHeight="1">
      <c r="AH873" s="256"/>
      <c r="AI873" s="257"/>
      <c r="AJ873" s="258"/>
      <c r="AK873" s="24"/>
    </row>
    <row r="874" ht="15.75" customHeight="1">
      <c r="AH874" s="256"/>
      <c r="AI874" s="257"/>
      <c r="AJ874" s="258"/>
      <c r="AK874" s="24"/>
    </row>
    <row r="875" ht="15.75" customHeight="1">
      <c r="AH875" s="256"/>
      <c r="AI875" s="257"/>
      <c r="AJ875" s="258"/>
      <c r="AK875" s="24"/>
    </row>
    <row r="876" ht="15.75" customHeight="1">
      <c r="AH876" s="256"/>
      <c r="AI876" s="257"/>
      <c r="AJ876" s="258"/>
      <c r="AK876" s="24"/>
    </row>
    <row r="877" ht="15.75" customHeight="1">
      <c r="AH877" s="256"/>
      <c r="AI877" s="257"/>
      <c r="AJ877" s="258"/>
      <c r="AK877" s="24"/>
    </row>
    <row r="878" ht="15.75" customHeight="1">
      <c r="AH878" s="256"/>
      <c r="AI878" s="257"/>
      <c r="AJ878" s="258"/>
      <c r="AK878" s="24"/>
    </row>
    <row r="879" ht="15.75" customHeight="1">
      <c r="AH879" s="256"/>
      <c r="AI879" s="257"/>
      <c r="AJ879" s="258"/>
      <c r="AK879" s="24"/>
    </row>
    <row r="880" ht="15.75" customHeight="1">
      <c r="AH880" s="256"/>
      <c r="AI880" s="257"/>
      <c r="AJ880" s="258"/>
      <c r="AK880" s="24"/>
    </row>
    <row r="881" ht="15.75" customHeight="1">
      <c r="AH881" s="256"/>
      <c r="AI881" s="257"/>
      <c r="AJ881" s="258"/>
      <c r="AK881" s="24"/>
    </row>
    <row r="882" ht="15.75" customHeight="1">
      <c r="AH882" s="256"/>
      <c r="AI882" s="257"/>
      <c r="AJ882" s="258"/>
      <c r="AK882" s="24"/>
    </row>
    <row r="883" ht="15.75" customHeight="1">
      <c r="AH883" s="256"/>
      <c r="AI883" s="257"/>
      <c r="AJ883" s="258"/>
      <c r="AK883" s="24"/>
    </row>
    <row r="884" ht="15.75" customHeight="1">
      <c r="AH884" s="256"/>
      <c r="AI884" s="257"/>
      <c r="AJ884" s="258"/>
      <c r="AK884" s="24"/>
    </row>
    <row r="885" ht="15.75" customHeight="1">
      <c r="AH885" s="256"/>
      <c r="AI885" s="257"/>
      <c r="AJ885" s="258"/>
      <c r="AK885" s="24"/>
    </row>
    <row r="886" ht="15.75" customHeight="1">
      <c r="AH886" s="256"/>
      <c r="AI886" s="257"/>
      <c r="AJ886" s="258"/>
      <c r="AK886" s="24"/>
    </row>
    <row r="887" ht="15.75" customHeight="1">
      <c r="AH887" s="256"/>
      <c r="AI887" s="257"/>
      <c r="AJ887" s="258"/>
      <c r="AK887" s="24"/>
    </row>
    <row r="888" ht="15.75" customHeight="1">
      <c r="AH888" s="256"/>
      <c r="AI888" s="257"/>
      <c r="AJ888" s="258"/>
      <c r="AK888" s="24"/>
    </row>
    <row r="889" ht="15.75" customHeight="1">
      <c r="AH889" s="256"/>
      <c r="AI889" s="257"/>
      <c r="AJ889" s="258"/>
      <c r="AK889" s="24"/>
    </row>
    <row r="890" ht="15.75" customHeight="1">
      <c r="AH890" s="256"/>
      <c r="AI890" s="257"/>
      <c r="AJ890" s="258"/>
      <c r="AK890" s="24"/>
    </row>
    <row r="891" ht="15.75" customHeight="1">
      <c r="AH891" s="256"/>
      <c r="AI891" s="257"/>
      <c r="AJ891" s="258"/>
      <c r="AK891" s="24"/>
    </row>
    <row r="892" ht="15.75" customHeight="1">
      <c r="AH892" s="256"/>
      <c r="AI892" s="257"/>
      <c r="AJ892" s="258"/>
      <c r="AK892" s="24"/>
    </row>
    <row r="893" ht="15.75" customHeight="1">
      <c r="AH893" s="256"/>
      <c r="AI893" s="257"/>
      <c r="AJ893" s="258"/>
      <c r="AK893" s="24"/>
    </row>
    <row r="894" ht="15.75" customHeight="1">
      <c r="AH894" s="256"/>
      <c r="AI894" s="257"/>
      <c r="AJ894" s="258"/>
      <c r="AK894" s="24"/>
    </row>
    <row r="895" ht="15.75" customHeight="1">
      <c r="AH895" s="256"/>
      <c r="AI895" s="257"/>
      <c r="AJ895" s="258"/>
      <c r="AK895" s="24"/>
    </row>
    <row r="896" ht="15.75" customHeight="1">
      <c r="AH896" s="256"/>
      <c r="AI896" s="257"/>
      <c r="AJ896" s="258"/>
      <c r="AK896" s="24"/>
    </row>
    <row r="897" ht="15.75" customHeight="1">
      <c r="AH897" s="256"/>
      <c r="AI897" s="257"/>
      <c r="AJ897" s="258"/>
      <c r="AK897" s="24"/>
    </row>
    <row r="898" ht="15.75" customHeight="1">
      <c r="AH898" s="256"/>
      <c r="AI898" s="257"/>
      <c r="AJ898" s="258"/>
      <c r="AK898" s="24"/>
    </row>
    <row r="899" ht="15.75" customHeight="1">
      <c r="AH899" s="256"/>
      <c r="AI899" s="257"/>
      <c r="AJ899" s="258"/>
      <c r="AK899" s="24"/>
    </row>
    <row r="900" ht="15.75" customHeight="1">
      <c r="AH900" s="256"/>
      <c r="AI900" s="257"/>
      <c r="AJ900" s="258"/>
      <c r="AK900" s="24"/>
    </row>
    <row r="901" ht="15.75" customHeight="1">
      <c r="AH901" s="256"/>
      <c r="AI901" s="257"/>
      <c r="AJ901" s="258"/>
      <c r="AK901" s="24"/>
    </row>
    <row r="902" ht="15.75" customHeight="1">
      <c r="AH902" s="256"/>
      <c r="AI902" s="257"/>
      <c r="AJ902" s="258"/>
      <c r="AK902" s="24"/>
    </row>
    <row r="903" ht="15.75" customHeight="1">
      <c r="AH903" s="256"/>
      <c r="AI903" s="257"/>
      <c r="AJ903" s="258"/>
      <c r="AK903" s="24"/>
    </row>
    <row r="904" ht="15.75" customHeight="1">
      <c r="AH904" s="256"/>
      <c r="AI904" s="257"/>
      <c r="AJ904" s="258"/>
      <c r="AK904" s="24"/>
    </row>
    <row r="905" ht="15.75" customHeight="1">
      <c r="AH905" s="256"/>
      <c r="AI905" s="257"/>
      <c r="AJ905" s="258"/>
      <c r="AK905" s="24"/>
    </row>
    <row r="906" ht="15.75" customHeight="1">
      <c r="AH906" s="256"/>
      <c r="AI906" s="257"/>
      <c r="AJ906" s="258"/>
      <c r="AK906" s="24"/>
    </row>
    <row r="907" ht="15.75" customHeight="1">
      <c r="AH907" s="256"/>
      <c r="AI907" s="257"/>
      <c r="AJ907" s="258"/>
      <c r="AK907" s="24"/>
    </row>
    <row r="908" ht="15.75" customHeight="1">
      <c r="AH908" s="256"/>
      <c r="AI908" s="257"/>
      <c r="AJ908" s="258"/>
      <c r="AK908" s="24"/>
    </row>
    <row r="909" ht="15.75" customHeight="1">
      <c r="AH909" s="256"/>
      <c r="AI909" s="257"/>
      <c r="AJ909" s="258"/>
      <c r="AK909" s="24"/>
    </row>
    <row r="910" ht="15.75" customHeight="1">
      <c r="AH910" s="256"/>
      <c r="AI910" s="257"/>
      <c r="AJ910" s="258"/>
      <c r="AK910" s="24"/>
    </row>
    <row r="911" ht="15.75" customHeight="1">
      <c r="AH911" s="256"/>
      <c r="AI911" s="257"/>
      <c r="AJ911" s="258"/>
      <c r="AK911" s="24"/>
    </row>
    <row r="912" ht="15.75" customHeight="1">
      <c r="AH912" s="256"/>
      <c r="AI912" s="257"/>
      <c r="AJ912" s="258"/>
      <c r="AK912" s="24"/>
    </row>
    <row r="913" ht="15.75" customHeight="1">
      <c r="AH913" s="256"/>
      <c r="AI913" s="257"/>
      <c r="AJ913" s="258"/>
      <c r="AK913" s="24"/>
    </row>
    <row r="914" ht="15.75" customHeight="1">
      <c r="AH914" s="256"/>
      <c r="AI914" s="257"/>
      <c r="AJ914" s="258"/>
      <c r="AK914" s="24"/>
    </row>
    <row r="915" ht="15.75" customHeight="1">
      <c r="AH915" s="256"/>
      <c r="AI915" s="257"/>
      <c r="AJ915" s="258"/>
      <c r="AK915" s="24"/>
    </row>
    <row r="916" ht="15.75" customHeight="1">
      <c r="AH916" s="256"/>
      <c r="AI916" s="257"/>
      <c r="AJ916" s="258"/>
      <c r="AK916" s="24"/>
    </row>
    <row r="917" ht="15.75" customHeight="1">
      <c r="AH917" s="256"/>
      <c r="AI917" s="257"/>
      <c r="AJ917" s="258"/>
      <c r="AK917" s="24"/>
    </row>
    <row r="918" ht="15.75" customHeight="1">
      <c r="AH918" s="256"/>
      <c r="AI918" s="257"/>
      <c r="AJ918" s="258"/>
      <c r="AK918" s="24"/>
    </row>
    <row r="919" ht="15.75" customHeight="1">
      <c r="AH919" s="256"/>
      <c r="AI919" s="257"/>
      <c r="AJ919" s="258"/>
      <c r="AK919" s="24"/>
    </row>
    <row r="920" ht="15.75" customHeight="1">
      <c r="AH920" s="256"/>
      <c r="AI920" s="257"/>
      <c r="AJ920" s="258"/>
      <c r="AK920" s="24"/>
    </row>
    <row r="921" ht="15.75" customHeight="1">
      <c r="AH921" s="256"/>
      <c r="AI921" s="257"/>
      <c r="AJ921" s="258"/>
      <c r="AK921" s="24"/>
    </row>
    <row r="922" ht="15.75" customHeight="1">
      <c r="AH922" s="256"/>
      <c r="AI922" s="257"/>
      <c r="AJ922" s="258"/>
      <c r="AK922" s="24"/>
    </row>
    <row r="923" ht="15.75" customHeight="1">
      <c r="AH923" s="256"/>
      <c r="AI923" s="257"/>
      <c r="AJ923" s="258"/>
      <c r="AK923" s="24"/>
    </row>
    <row r="924" ht="15.75" customHeight="1">
      <c r="AH924" s="256"/>
      <c r="AI924" s="257"/>
      <c r="AJ924" s="258"/>
      <c r="AK924" s="24"/>
    </row>
    <row r="925" ht="15.75" customHeight="1">
      <c r="AH925" s="256"/>
      <c r="AI925" s="257"/>
      <c r="AJ925" s="258"/>
      <c r="AK925" s="24"/>
    </row>
    <row r="926" ht="15.75" customHeight="1">
      <c r="AH926" s="256"/>
      <c r="AI926" s="257"/>
      <c r="AJ926" s="258"/>
      <c r="AK926" s="24"/>
    </row>
    <row r="927" ht="15.75" customHeight="1">
      <c r="AH927" s="256"/>
      <c r="AI927" s="257"/>
      <c r="AJ927" s="258"/>
      <c r="AK927" s="24"/>
    </row>
    <row r="928" ht="15.75" customHeight="1">
      <c r="AH928" s="256"/>
      <c r="AI928" s="257"/>
      <c r="AJ928" s="258"/>
      <c r="AK928" s="24"/>
    </row>
    <row r="929" ht="15.75" customHeight="1">
      <c r="AH929" s="256"/>
      <c r="AI929" s="257"/>
      <c r="AJ929" s="258"/>
      <c r="AK929" s="24"/>
    </row>
    <row r="930" ht="15.75" customHeight="1">
      <c r="AH930" s="256"/>
      <c r="AI930" s="257"/>
      <c r="AJ930" s="258"/>
      <c r="AK930" s="24"/>
    </row>
    <row r="931" ht="15.75" customHeight="1">
      <c r="AH931" s="256"/>
      <c r="AI931" s="257"/>
      <c r="AJ931" s="258"/>
      <c r="AK931" s="24"/>
    </row>
    <row r="932" ht="15.75" customHeight="1">
      <c r="AH932" s="256"/>
      <c r="AI932" s="257"/>
      <c r="AJ932" s="258"/>
      <c r="AK932" s="24"/>
    </row>
    <row r="933" ht="15.75" customHeight="1">
      <c r="AH933" s="256"/>
      <c r="AI933" s="257"/>
      <c r="AJ933" s="258"/>
      <c r="AK933" s="24"/>
    </row>
    <row r="934" ht="15.75" customHeight="1">
      <c r="AH934" s="256"/>
      <c r="AI934" s="257"/>
      <c r="AJ934" s="258"/>
      <c r="AK934" s="24"/>
    </row>
    <row r="935" ht="15.75" customHeight="1">
      <c r="AH935" s="256"/>
      <c r="AI935" s="257"/>
      <c r="AJ935" s="258"/>
      <c r="AK935" s="24"/>
    </row>
    <row r="936" ht="15.75" customHeight="1">
      <c r="AH936" s="256"/>
      <c r="AI936" s="257"/>
      <c r="AJ936" s="258"/>
      <c r="AK936" s="24"/>
    </row>
    <row r="937" ht="15.75" customHeight="1">
      <c r="AH937" s="256"/>
      <c r="AI937" s="257"/>
      <c r="AJ937" s="258"/>
      <c r="AK937" s="24"/>
    </row>
    <row r="938" ht="15.75" customHeight="1">
      <c r="AH938" s="256"/>
      <c r="AI938" s="257"/>
      <c r="AJ938" s="258"/>
      <c r="AK938" s="24"/>
    </row>
    <row r="939" ht="15.75" customHeight="1">
      <c r="AH939" s="256"/>
      <c r="AI939" s="257"/>
      <c r="AJ939" s="258"/>
      <c r="AK939" s="24"/>
    </row>
    <row r="940" ht="15.75" customHeight="1">
      <c r="AH940" s="256"/>
      <c r="AI940" s="257"/>
      <c r="AJ940" s="258"/>
      <c r="AK940" s="24"/>
    </row>
    <row r="941" ht="15.75" customHeight="1">
      <c r="AH941" s="256"/>
      <c r="AI941" s="257"/>
      <c r="AJ941" s="258"/>
      <c r="AK941" s="24"/>
    </row>
    <row r="942" ht="15.75" customHeight="1">
      <c r="AH942" s="256"/>
      <c r="AI942" s="257"/>
      <c r="AJ942" s="258"/>
      <c r="AK942" s="24"/>
    </row>
    <row r="943" ht="15.75" customHeight="1">
      <c r="AH943" s="256"/>
      <c r="AI943" s="257"/>
      <c r="AJ943" s="258"/>
      <c r="AK943" s="24"/>
    </row>
    <row r="944" ht="15.75" customHeight="1">
      <c r="AH944" s="256"/>
      <c r="AI944" s="257"/>
      <c r="AJ944" s="258"/>
      <c r="AK944" s="24"/>
    </row>
    <row r="945" ht="15.75" customHeight="1">
      <c r="AH945" s="256"/>
      <c r="AI945" s="257"/>
      <c r="AJ945" s="258"/>
      <c r="AK945" s="24"/>
    </row>
    <row r="946" ht="15.75" customHeight="1">
      <c r="AH946" s="256"/>
      <c r="AI946" s="257"/>
      <c r="AJ946" s="258"/>
      <c r="AK946" s="24"/>
    </row>
    <row r="947" ht="15.75" customHeight="1">
      <c r="AH947" s="256"/>
      <c r="AI947" s="257"/>
      <c r="AJ947" s="258"/>
      <c r="AK947" s="24"/>
    </row>
    <row r="948" ht="15.75" customHeight="1">
      <c r="AH948" s="256"/>
      <c r="AI948" s="257"/>
      <c r="AJ948" s="258"/>
      <c r="AK948" s="24"/>
    </row>
    <row r="949" ht="15.75" customHeight="1">
      <c r="AH949" s="256"/>
      <c r="AI949" s="257"/>
      <c r="AJ949" s="258"/>
      <c r="AK949" s="24"/>
    </row>
    <row r="950" ht="15.75" customHeight="1">
      <c r="AH950" s="256"/>
      <c r="AI950" s="257"/>
      <c r="AJ950" s="258"/>
      <c r="AK950" s="24"/>
    </row>
    <row r="951" ht="15.75" customHeight="1">
      <c r="AH951" s="256"/>
      <c r="AI951" s="257"/>
      <c r="AJ951" s="258"/>
      <c r="AK951" s="24"/>
    </row>
    <row r="952" ht="15.75" customHeight="1">
      <c r="AH952" s="256"/>
      <c r="AI952" s="257"/>
      <c r="AJ952" s="258"/>
      <c r="AK952" s="24"/>
    </row>
    <row r="953" ht="15.75" customHeight="1">
      <c r="AH953" s="256"/>
      <c r="AI953" s="257"/>
      <c r="AJ953" s="258"/>
      <c r="AK953" s="24"/>
    </row>
    <row r="954" ht="15.75" customHeight="1">
      <c r="AH954" s="256"/>
      <c r="AI954" s="257"/>
      <c r="AJ954" s="258"/>
      <c r="AK954" s="24"/>
    </row>
    <row r="955" ht="15.75" customHeight="1">
      <c r="AH955" s="256"/>
      <c r="AI955" s="257"/>
      <c r="AJ955" s="258"/>
      <c r="AK955" s="24"/>
    </row>
    <row r="956" ht="15.75" customHeight="1">
      <c r="AH956" s="256"/>
      <c r="AI956" s="257"/>
      <c r="AJ956" s="258"/>
      <c r="AK956" s="24"/>
    </row>
    <row r="957" ht="15.75" customHeight="1">
      <c r="AH957" s="256"/>
      <c r="AI957" s="257"/>
      <c r="AJ957" s="258"/>
      <c r="AK957" s="24"/>
    </row>
    <row r="958" ht="15.75" customHeight="1">
      <c r="AH958" s="256"/>
      <c r="AI958" s="257"/>
      <c r="AJ958" s="258"/>
      <c r="AK958" s="24"/>
    </row>
    <row r="959" ht="15.75" customHeight="1">
      <c r="AH959" s="256"/>
      <c r="AI959" s="257"/>
      <c r="AJ959" s="258"/>
      <c r="AK959" s="24"/>
    </row>
    <row r="960" ht="15.75" customHeight="1">
      <c r="AH960" s="256"/>
      <c r="AI960" s="257"/>
      <c r="AJ960" s="258"/>
      <c r="AK960" s="24"/>
    </row>
    <row r="961" ht="15.75" customHeight="1">
      <c r="AH961" s="256"/>
      <c r="AI961" s="257"/>
      <c r="AJ961" s="258"/>
      <c r="AK961" s="24"/>
    </row>
    <row r="962" ht="15.75" customHeight="1">
      <c r="AH962" s="256"/>
      <c r="AI962" s="257"/>
      <c r="AJ962" s="258"/>
      <c r="AK962" s="24"/>
    </row>
    <row r="963" ht="15.75" customHeight="1">
      <c r="AH963" s="256"/>
      <c r="AI963" s="257"/>
      <c r="AJ963" s="258"/>
      <c r="AK963" s="24"/>
    </row>
    <row r="964" ht="15.75" customHeight="1">
      <c r="AH964" s="256"/>
      <c r="AI964" s="257"/>
      <c r="AJ964" s="258"/>
      <c r="AK964" s="24"/>
    </row>
    <row r="965" ht="15.75" customHeight="1">
      <c r="AH965" s="256"/>
      <c r="AI965" s="257"/>
      <c r="AJ965" s="258"/>
      <c r="AK965" s="24"/>
    </row>
    <row r="966" ht="15.75" customHeight="1">
      <c r="AH966" s="256"/>
      <c r="AI966" s="257"/>
      <c r="AJ966" s="258"/>
      <c r="AK966" s="24"/>
    </row>
    <row r="967" ht="15.75" customHeight="1">
      <c r="AH967" s="256"/>
      <c r="AI967" s="257"/>
      <c r="AJ967" s="258"/>
      <c r="AK967" s="24"/>
    </row>
    <row r="968" ht="15.75" customHeight="1">
      <c r="AH968" s="256"/>
      <c r="AI968" s="257"/>
      <c r="AJ968" s="258"/>
      <c r="AK968" s="24"/>
    </row>
    <row r="969" ht="15.75" customHeight="1">
      <c r="AH969" s="256"/>
      <c r="AI969" s="257"/>
      <c r="AJ969" s="258"/>
      <c r="AK969" s="24"/>
    </row>
    <row r="970" ht="15.75" customHeight="1">
      <c r="AH970" s="256"/>
      <c r="AI970" s="257"/>
      <c r="AJ970" s="258"/>
      <c r="AK970" s="24"/>
    </row>
    <row r="971" ht="15.75" customHeight="1">
      <c r="AH971" s="256"/>
      <c r="AI971" s="257"/>
      <c r="AJ971" s="258"/>
      <c r="AK971" s="24"/>
    </row>
    <row r="972" ht="15.75" customHeight="1">
      <c r="AH972" s="256"/>
      <c r="AI972" s="257"/>
      <c r="AJ972" s="258"/>
      <c r="AK972" s="24"/>
    </row>
    <row r="973" ht="15.75" customHeight="1">
      <c r="AH973" s="256"/>
      <c r="AI973" s="257"/>
      <c r="AJ973" s="258"/>
      <c r="AK973" s="24"/>
    </row>
    <row r="974" ht="15.75" customHeight="1">
      <c r="AH974" s="256"/>
      <c r="AI974" s="257"/>
      <c r="AJ974" s="258"/>
      <c r="AK974" s="24"/>
    </row>
    <row r="975" ht="15.75" customHeight="1">
      <c r="AH975" s="256"/>
      <c r="AI975" s="257"/>
      <c r="AJ975" s="258"/>
      <c r="AK975" s="24"/>
    </row>
    <row r="976" ht="15.75" customHeight="1">
      <c r="AH976" s="256"/>
      <c r="AI976" s="257"/>
      <c r="AJ976" s="258"/>
      <c r="AK976" s="24"/>
    </row>
    <row r="977" ht="15.75" customHeight="1">
      <c r="AH977" s="256"/>
      <c r="AI977" s="257"/>
      <c r="AJ977" s="258"/>
      <c r="AK977" s="24"/>
    </row>
    <row r="978" ht="15.75" customHeight="1">
      <c r="AH978" s="256"/>
      <c r="AI978" s="257"/>
      <c r="AJ978" s="258"/>
      <c r="AK978" s="24"/>
    </row>
    <row r="979" ht="15.75" customHeight="1">
      <c r="AH979" s="256"/>
      <c r="AI979" s="257"/>
      <c r="AJ979" s="258"/>
      <c r="AK979" s="24"/>
    </row>
    <row r="980" ht="15.75" customHeight="1">
      <c r="AH980" s="256"/>
      <c r="AI980" s="257"/>
      <c r="AJ980" s="258"/>
      <c r="AK980" s="24"/>
    </row>
    <row r="981" ht="15.75" customHeight="1">
      <c r="AH981" s="256"/>
      <c r="AI981" s="257"/>
      <c r="AJ981" s="258"/>
      <c r="AK981" s="24"/>
    </row>
    <row r="982" ht="15.75" customHeight="1">
      <c r="AH982" s="256"/>
      <c r="AI982" s="257"/>
      <c r="AJ982" s="258"/>
      <c r="AK982" s="24"/>
    </row>
    <row r="983" ht="15.75" customHeight="1">
      <c r="AH983" s="256"/>
      <c r="AI983" s="257"/>
      <c r="AJ983" s="258"/>
      <c r="AK983" s="24"/>
    </row>
    <row r="984" ht="15.75" customHeight="1">
      <c r="AH984" s="256"/>
      <c r="AI984" s="257"/>
      <c r="AJ984" s="258"/>
      <c r="AK984" s="24"/>
    </row>
    <row r="985" ht="15.75" customHeight="1">
      <c r="AH985" s="256"/>
      <c r="AI985" s="257"/>
      <c r="AJ985" s="258"/>
      <c r="AK985" s="24"/>
    </row>
    <row r="986" ht="15.75" customHeight="1">
      <c r="AH986" s="256"/>
      <c r="AI986" s="257"/>
      <c r="AJ986" s="258"/>
      <c r="AK986" s="24"/>
    </row>
    <row r="987" ht="15.75" customHeight="1">
      <c r="AH987" s="256"/>
      <c r="AI987" s="257"/>
      <c r="AJ987" s="258"/>
      <c r="AK987" s="24"/>
    </row>
    <row r="988" ht="15.75" customHeight="1">
      <c r="AH988" s="256"/>
      <c r="AI988" s="257"/>
      <c r="AJ988" s="258"/>
      <c r="AK988" s="24"/>
    </row>
    <row r="989" ht="15.75" customHeight="1">
      <c r="AH989" s="256"/>
      <c r="AI989" s="257"/>
      <c r="AJ989" s="258"/>
      <c r="AK989" s="24"/>
    </row>
    <row r="990" ht="15.75" customHeight="1">
      <c r="AH990" s="256"/>
      <c r="AI990" s="257"/>
      <c r="AJ990" s="258"/>
      <c r="AK990" s="24"/>
    </row>
    <row r="991" ht="15.75" customHeight="1">
      <c r="AH991" s="256"/>
      <c r="AI991" s="257"/>
      <c r="AJ991" s="258"/>
      <c r="AK991" s="24"/>
    </row>
    <row r="992" ht="15.75" customHeight="1">
      <c r="AH992" s="256"/>
      <c r="AI992" s="257"/>
      <c r="AJ992" s="258"/>
      <c r="AK992" s="24"/>
    </row>
    <row r="993" ht="15.75" customHeight="1">
      <c r="AH993" s="256"/>
      <c r="AI993" s="257"/>
      <c r="AJ993" s="258"/>
      <c r="AK993" s="24"/>
    </row>
    <row r="994" ht="15.75" customHeight="1">
      <c r="AH994" s="256"/>
      <c r="AI994" s="257"/>
      <c r="AJ994" s="258"/>
      <c r="AK994" s="24"/>
    </row>
    <row r="995" ht="15.75" customHeight="1">
      <c r="AH995" s="256"/>
      <c r="AI995" s="257"/>
      <c r="AJ995" s="258"/>
      <c r="AK995" s="24"/>
    </row>
    <row r="996" ht="15.75" customHeight="1">
      <c r="AH996" s="256"/>
      <c r="AI996" s="257"/>
      <c r="AJ996" s="258"/>
      <c r="AK996" s="24"/>
    </row>
    <row r="997" ht="15.75" customHeight="1">
      <c r="AH997" s="256"/>
      <c r="AI997" s="257"/>
      <c r="AJ997" s="258"/>
      <c r="AK997" s="24"/>
    </row>
    <row r="998" ht="15.75" customHeight="1">
      <c r="AH998" s="256"/>
      <c r="AI998" s="257"/>
      <c r="AJ998" s="258"/>
      <c r="AK998" s="24"/>
    </row>
    <row r="999" ht="15.75" customHeight="1">
      <c r="AH999" s="256"/>
      <c r="AI999" s="257"/>
      <c r="AJ999" s="258"/>
      <c r="AK999" s="24"/>
    </row>
    <row r="1000" ht="15.75" customHeight="1">
      <c r="AH1000" s="256"/>
      <c r="AI1000" s="257"/>
      <c r="AJ1000" s="258"/>
      <c r="AK1000" s="24"/>
    </row>
    <row r="1001" ht="15.75" customHeight="1">
      <c r="AH1001" s="256"/>
      <c r="AI1001" s="257"/>
      <c r="AJ1001" s="258"/>
      <c r="AK1001" s="24"/>
    </row>
  </sheetData>
  <mergeCells count="28">
    <mergeCell ref="AU43:AU45"/>
    <mergeCell ref="AV43:AV45"/>
    <mergeCell ref="AU41:AV42"/>
    <mergeCell ref="AU46:AU47"/>
    <mergeCell ref="AV46:AV47"/>
    <mergeCell ref="AN47:AO50"/>
    <mergeCell ref="AP47:AQ50"/>
    <mergeCell ref="A58:A65"/>
    <mergeCell ref="A66:A73"/>
    <mergeCell ref="A74:A81"/>
    <mergeCell ref="A82:A89"/>
    <mergeCell ref="A90:A97"/>
    <mergeCell ref="A2:A9"/>
    <mergeCell ref="A10:A17"/>
    <mergeCell ref="A18:A25"/>
    <mergeCell ref="A26:A33"/>
    <mergeCell ref="A34:A41"/>
    <mergeCell ref="A42:A49"/>
    <mergeCell ref="A50:A57"/>
    <mergeCell ref="AM63:AN65"/>
    <mergeCell ref="AM69:AN70"/>
    <mergeCell ref="AN45:AQ46"/>
    <mergeCell ref="AN51:AO52"/>
    <mergeCell ref="AP51:AQ52"/>
    <mergeCell ref="AM53:AM55"/>
    <mergeCell ref="AN53:AN55"/>
    <mergeCell ref="AM57:AM58"/>
    <mergeCell ref="AN57:AN58"/>
  </mergeCells>
  <printOptions/>
  <pageMargins bottom="0.75" footer="0.0" header="0.0" left="0.7" right="0.7" top="0.75"/>
  <pageSetup paperSize="5" orientation="landscape"/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4" max="4" width="12.22"/>
    <col customWidth="1" min="5" max="5" width="13.78"/>
    <col customWidth="1" min="13" max="13" width="13.33"/>
  </cols>
  <sheetData>
    <row r="2">
      <c r="B2" s="37" t="s">
        <v>127</v>
      </c>
      <c r="C2" s="38"/>
      <c r="D2" s="38"/>
      <c r="E2" s="39"/>
      <c r="L2" s="40"/>
      <c r="M2" s="40" t="s">
        <v>40</v>
      </c>
      <c r="N2" s="40"/>
    </row>
    <row r="3">
      <c r="B3" s="41"/>
      <c r="C3" s="15"/>
      <c r="D3" s="15"/>
      <c r="E3" s="42">
        <f>+SUM(E4:E14)</f>
        <v>1</v>
      </c>
      <c r="F3" s="15"/>
      <c r="G3" s="15"/>
      <c r="H3" s="15"/>
      <c r="L3" s="43"/>
      <c r="M3" s="43"/>
      <c r="N3" s="43"/>
    </row>
    <row r="4">
      <c r="B4" s="44" t="s">
        <v>41</v>
      </c>
      <c r="C4" s="15"/>
      <c r="D4" s="249">
        <f>+'Planilha de Rentabilidade'!E14</f>
        <v>-70858</v>
      </c>
      <c r="E4" s="42">
        <f t="shared" ref="E4:E14" si="1">D4/$E$15</f>
        <v>-0.020999058</v>
      </c>
      <c r="F4" s="15"/>
      <c r="G4" s="15"/>
      <c r="H4" s="15"/>
      <c r="L4" s="43" t="s">
        <v>42</v>
      </c>
      <c r="M4" s="46">
        <f>SUM(D5:D7)</f>
        <v>419476.55</v>
      </c>
      <c r="N4" s="47">
        <f t="shared" ref="N4:N14" si="2">M4/$M$15</f>
        <v>0.1243135906</v>
      </c>
    </row>
    <row r="5">
      <c r="B5" s="44" t="s">
        <v>43</v>
      </c>
      <c r="C5" s="15"/>
      <c r="D5" s="249">
        <f>+'Planilha de Rentabilidade'!Q14</f>
        <v>63978.03</v>
      </c>
      <c r="E5" s="42">
        <f t="shared" si="1"/>
        <v>0.01896015076</v>
      </c>
      <c r="F5" s="15"/>
      <c r="G5" s="15"/>
      <c r="H5" s="15"/>
      <c r="L5" s="43"/>
      <c r="M5" s="43">
        <v>0.0</v>
      </c>
      <c r="N5" s="47">
        <f t="shared" si="2"/>
        <v>0</v>
      </c>
    </row>
    <row r="6">
      <c r="B6" s="44" t="s">
        <v>44</v>
      </c>
      <c r="C6" s="15"/>
      <c r="D6" s="249">
        <f>+'Planilha de Rentabilidade'!P14</f>
        <v>232984.34</v>
      </c>
      <c r="E6" s="42">
        <f t="shared" si="1"/>
        <v>0.0690458617</v>
      </c>
      <c r="F6" s="15"/>
      <c r="G6" s="15"/>
      <c r="H6" s="15"/>
      <c r="L6" s="43"/>
      <c r="M6" s="43">
        <v>0.0</v>
      </c>
      <c r="N6" s="47">
        <f t="shared" si="2"/>
        <v>0</v>
      </c>
    </row>
    <row r="7">
      <c r="B7" s="44" t="s">
        <v>45</v>
      </c>
      <c r="C7" s="15"/>
      <c r="D7" s="249">
        <f>'Planilha de Rentabilidade'!O14</f>
        <v>122514.18</v>
      </c>
      <c r="E7" s="42">
        <f t="shared" si="1"/>
        <v>0.03630757813</v>
      </c>
      <c r="F7" s="15"/>
      <c r="G7" s="15"/>
      <c r="H7" s="15"/>
      <c r="L7" s="43" t="s">
        <v>46</v>
      </c>
      <c r="M7" s="46">
        <f>+D11</f>
        <v>0</v>
      </c>
      <c r="N7" s="47">
        <f t="shared" si="2"/>
        <v>0</v>
      </c>
    </row>
    <row r="8">
      <c r="B8" s="44" t="s">
        <v>47</v>
      </c>
      <c r="C8" s="15"/>
      <c r="D8" s="249">
        <f>+'Planilha de Rentabilidade'!C14+'Planilha de Rentabilidade'!D14+'Planilha de Rentabilidade'!F14+'Planilha de Rentabilidade'!S14</f>
        <v>312525.35</v>
      </c>
      <c r="E8" s="42">
        <f t="shared" si="1"/>
        <v>0.09261816521</v>
      </c>
      <c r="F8" s="15"/>
      <c r="G8" s="15"/>
      <c r="H8" s="15"/>
      <c r="L8" s="43" t="s">
        <v>48</v>
      </c>
      <c r="M8" s="46">
        <f>D8+D12+D13</f>
        <v>1104875.49</v>
      </c>
      <c r="N8" s="47">
        <f t="shared" si="2"/>
        <v>0.3274343687</v>
      </c>
    </row>
    <row r="9">
      <c r="B9" s="44" t="s">
        <v>49</v>
      </c>
      <c r="C9" s="15"/>
      <c r="D9" s="249">
        <f>'Planilha de Rentabilidade'!L14</f>
        <v>98858</v>
      </c>
      <c r="E9" s="42">
        <f t="shared" si="1"/>
        <v>0.02929697247</v>
      </c>
      <c r="F9" s="15"/>
      <c r="G9" s="15"/>
      <c r="H9" s="15"/>
      <c r="L9" s="43" t="s">
        <v>128</v>
      </c>
      <c r="M9" s="46">
        <f>+D10</f>
        <v>390657.99</v>
      </c>
      <c r="N9" s="47">
        <f t="shared" si="2"/>
        <v>0.1157730925</v>
      </c>
    </row>
    <row r="10">
      <c r="B10" s="44" t="s">
        <v>51</v>
      </c>
      <c r="C10" s="15"/>
      <c r="D10" s="249">
        <f>'Planilha de Rentabilidade'!M14</f>
        <v>390657.99</v>
      </c>
      <c r="E10" s="42">
        <f t="shared" si="1"/>
        <v>0.1157730925</v>
      </c>
      <c r="F10" s="15"/>
      <c r="G10" s="15"/>
      <c r="H10" s="15"/>
      <c r="L10" s="43" t="s">
        <v>49</v>
      </c>
      <c r="M10" s="46">
        <f>D9</f>
        <v>98858</v>
      </c>
      <c r="N10" s="47">
        <f t="shared" si="2"/>
        <v>0.02929697247</v>
      </c>
    </row>
    <row r="11">
      <c r="B11" s="44" t="s">
        <v>46</v>
      </c>
      <c r="C11" s="15"/>
      <c r="D11" s="249">
        <f>0</f>
        <v>0</v>
      </c>
      <c r="E11" s="42">
        <f t="shared" si="1"/>
        <v>0</v>
      </c>
      <c r="F11" s="15"/>
      <c r="G11" s="15"/>
      <c r="H11" s="15"/>
      <c r="L11" s="43"/>
      <c r="M11" s="43"/>
      <c r="N11" s="47">
        <f t="shared" si="2"/>
        <v>0</v>
      </c>
    </row>
    <row r="12">
      <c r="B12" s="44" t="s">
        <v>52</v>
      </c>
      <c r="C12" s="15"/>
      <c r="D12" s="249">
        <f>'Planilha de Rentabilidade'!G14+'Planilha de Rentabilidade'!I14+'Planilha de Rentabilidade'!J14</f>
        <v>544972.59</v>
      </c>
      <c r="E12" s="42">
        <f t="shared" si="1"/>
        <v>0.1615048551</v>
      </c>
      <c r="F12" s="15"/>
      <c r="G12" s="15"/>
      <c r="H12" s="15"/>
      <c r="L12" s="43" t="s">
        <v>41</v>
      </c>
      <c r="M12" s="46">
        <f>+D4</f>
        <v>-70858</v>
      </c>
      <c r="N12" s="47">
        <f t="shared" si="2"/>
        <v>-0.020999058</v>
      </c>
    </row>
    <row r="13">
      <c r="B13" s="44" t="s">
        <v>53</v>
      </c>
      <c r="C13" s="15"/>
      <c r="D13" s="254">
        <f>+'Planilha de Rentabilidade'!H14+'Planilha de Rentabilidade'!K14</f>
        <v>247377.55</v>
      </c>
      <c r="E13" s="42">
        <f t="shared" si="1"/>
        <v>0.07331134833</v>
      </c>
      <c r="F13" s="15"/>
      <c r="G13" s="15"/>
      <c r="H13" s="15"/>
      <c r="L13" s="43"/>
      <c r="M13" s="43"/>
      <c r="N13" s="47">
        <f t="shared" si="2"/>
        <v>0</v>
      </c>
    </row>
    <row r="14">
      <c r="B14" s="44" t="s">
        <v>54</v>
      </c>
      <c r="C14" s="15"/>
      <c r="D14" s="249">
        <f>B33</f>
        <v>1431331.81</v>
      </c>
      <c r="E14" s="42">
        <f t="shared" si="1"/>
        <v>0.4241810338</v>
      </c>
      <c r="F14" s="15"/>
      <c r="G14" s="15"/>
      <c r="H14" s="15"/>
      <c r="L14" s="43" t="s">
        <v>129</v>
      </c>
      <c r="M14" s="46">
        <f>D14</f>
        <v>1431331.81</v>
      </c>
      <c r="N14" s="47">
        <f t="shared" si="2"/>
        <v>0.4241810338</v>
      </c>
    </row>
    <row r="15">
      <c r="B15" s="49"/>
      <c r="C15" s="50" t="s">
        <v>56</v>
      </c>
      <c r="D15" s="50"/>
      <c r="E15" s="259">
        <f>SUM(D4:D14)</f>
        <v>3374341.84</v>
      </c>
      <c r="F15" s="15"/>
      <c r="G15" s="15"/>
      <c r="H15" s="15"/>
      <c r="L15" s="52"/>
      <c r="M15" s="53">
        <f t="shared" ref="M15:N15" si="3">SUM(M4:M14)</f>
        <v>3374341.84</v>
      </c>
      <c r="N15" s="54">
        <f t="shared" si="3"/>
        <v>1</v>
      </c>
    </row>
    <row r="16">
      <c r="C16" s="55"/>
      <c r="D16" s="15"/>
      <c r="E16" s="15"/>
      <c r="F16" s="15"/>
      <c r="G16" s="15"/>
      <c r="H16" s="15"/>
    </row>
    <row r="17">
      <c r="C17" s="55"/>
      <c r="D17" s="15"/>
      <c r="E17" s="15"/>
      <c r="F17" s="15"/>
      <c r="G17" s="15"/>
      <c r="H17" s="15"/>
    </row>
    <row r="18">
      <c r="B18" s="37" t="s">
        <v>130</v>
      </c>
      <c r="C18" s="56"/>
      <c r="D18" s="57"/>
      <c r="E18" s="58"/>
      <c r="G18" s="15"/>
      <c r="H18" s="15"/>
    </row>
    <row r="19">
      <c r="B19" s="59"/>
      <c r="C19" s="60" t="s">
        <v>58</v>
      </c>
      <c r="D19" s="15"/>
      <c r="E19" s="61"/>
      <c r="F19" s="15"/>
      <c r="G19" s="15"/>
      <c r="H19" s="15"/>
    </row>
    <row r="20">
      <c r="B20" s="260">
        <f>'Planilha de Rentabilidade'!Z14+'Planilha de Rentabilidade'!AA14+'Planilha de Rentabilidade'!W14</f>
        <v>0</v>
      </c>
      <c r="C20" s="55">
        <f t="shared" ref="C20:C33" si="4">B20/$B$33</f>
        <v>0</v>
      </c>
      <c r="D20" s="62" t="s">
        <v>59</v>
      </c>
      <c r="E20" s="61"/>
      <c r="F20" s="15"/>
      <c r="G20" s="15"/>
      <c r="H20" s="15"/>
    </row>
    <row r="21">
      <c r="B21" s="261">
        <f>0</f>
        <v>0</v>
      </c>
      <c r="C21" s="55">
        <f t="shared" si="4"/>
        <v>0</v>
      </c>
      <c r="D21" s="63" t="s">
        <v>60</v>
      </c>
      <c r="E21" s="61"/>
      <c r="F21" s="15"/>
      <c r="G21" s="15"/>
      <c r="H21" s="15"/>
    </row>
    <row r="22">
      <c r="B22" s="261">
        <f>'Planilha de Rentabilidade'!U14+'Planilha de Rentabilidade'!AF14</f>
        <v>936746.16</v>
      </c>
      <c r="C22" s="55">
        <f t="shared" si="4"/>
        <v>0.6544577249</v>
      </c>
      <c r="D22" s="63" t="s">
        <v>61</v>
      </c>
      <c r="E22" s="61"/>
      <c r="F22" s="15"/>
      <c r="G22" s="15"/>
      <c r="H22" s="15"/>
    </row>
    <row r="23">
      <c r="B23" s="261">
        <f>'Planilha de Rentabilidade'!AD14+'Planilha de Rentabilidade'!V14</f>
        <v>192245</v>
      </c>
      <c r="C23" s="55">
        <f t="shared" si="4"/>
        <v>0.1343119734</v>
      </c>
      <c r="D23" s="64" t="s">
        <v>62</v>
      </c>
      <c r="E23" s="61"/>
      <c r="F23" s="15"/>
      <c r="G23" s="15"/>
      <c r="H23" s="15"/>
    </row>
    <row r="24">
      <c r="B24" s="261">
        <f>'Planilha de Rentabilidade'!AH14</f>
        <v>0</v>
      </c>
      <c r="C24" s="55">
        <f t="shared" si="4"/>
        <v>0</v>
      </c>
      <c r="D24" s="63" t="s">
        <v>63</v>
      </c>
      <c r="E24" s="65"/>
      <c r="F24" s="15"/>
      <c r="G24" s="15"/>
      <c r="H24" s="15"/>
    </row>
    <row r="25">
      <c r="B25" s="261">
        <v>0.0</v>
      </c>
      <c r="C25" s="55">
        <f t="shared" si="4"/>
        <v>0</v>
      </c>
      <c r="D25" s="63" t="s">
        <v>64</v>
      </c>
      <c r="E25" s="61"/>
      <c r="F25" s="15"/>
      <c r="G25" s="15"/>
      <c r="H25" s="15"/>
    </row>
    <row r="26">
      <c r="B26" s="261">
        <v>0.0</v>
      </c>
      <c r="C26" s="55">
        <f t="shared" si="4"/>
        <v>0</v>
      </c>
      <c r="D26" s="63" t="s">
        <v>65</v>
      </c>
      <c r="E26" s="61"/>
      <c r="F26" s="15"/>
      <c r="G26" s="15"/>
      <c r="H26" s="15"/>
    </row>
    <row r="27">
      <c r="B27" s="261">
        <v>0.0</v>
      </c>
      <c r="C27" s="55">
        <f t="shared" si="4"/>
        <v>0</v>
      </c>
      <c r="D27" s="63" t="s">
        <v>66</v>
      </c>
      <c r="E27" s="61"/>
      <c r="F27" s="15"/>
      <c r="G27" s="15"/>
      <c r="H27" s="15"/>
    </row>
    <row r="28">
      <c r="B28" s="261">
        <f>+'Planilha de Rentabilidade'!R14</f>
        <v>73020</v>
      </c>
      <c r="C28" s="55">
        <f t="shared" si="4"/>
        <v>0.05101542458</v>
      </c>
      <c r="D28" s="64" t="s">
        <v>67</v>
      </c>
      <c r="E28" s="61"/>
      <c r="F28" s="15"/>
      <c r="G28" s="15"/>
      <c r="H28" s="15"/>
    </row>
    <row r="29">
      <c r="B29" s="261">
        <f>+'Planilha de Rentabilidade'!X14+'Planilha de Rentabilidade'!AC14</f>
        <v>200168.15</v>
      </c>
      <c r="C29" s="55">
        <f t="shared" si="4"/>
        <v>0.1398474823</v>
      </c>
      <c r="D29" s="63" t="s">
        <v>68</v>
      </c>
      <c r="E29" s="61"/>
      <c r="F29" s="15"/>
      <c r="G29" s="15"/>
      <c r="H29" s="15"/>
    </row>
    <row r="30">
      <c r="B30" s="261">
        <f>'Planilha de Rentabilidade'!AB79+'Planilha de Rentabilidade'!AC79</f>
        <v>0</v>
      </c>
      <c r="C30" s="55">
        <f t="shared" si="4"/>
        <v>0</v>
      </c>
      <c r="D30" s="63" t="s">
        <v>69</v>
      </c>
      <c r="E30" s="61"/>
      <c r="F30" s="15"/>
      <c r="G30" s="15"/>
      <c r="H30" s="15"/>
    </row>
    <row r="31">
      <c r="B31" s="261">
        <f>+'Planilha de Rentabilidade'!N14</f>
        <v>29152.5</v>
      </c>
      <c r="C31" s="55">
        <f t="shared" si="4"/>
        <v>0.02036739476</v>
      </c>
      <c r="D31" s="63" t="s">
        <v>70</v>
      </c>
      <c r="E31" s="61"/>
      <c r="F31" s="15"/>
      <c r="G31" s="15"/>
      <c r="H31" s="15"/>
    </row>
    <row r="32">
      <c r="B32" s="261">
        <f>+'Planilha de Rentabilidade'!AB14</f>
        <v>0</v>
      </c>
      <c r="C32" s="55">
        <f t="shared" si="4"/>
        <v>0</v>
      </c>
      <c r="D32" s="63" t="s">
        <v>71</v>
      </c>
      <c r="E32" s="61"/>
      <c r="F32" s="15"/>
      <c r="G32" s="15"/>
      <c r="H32" s="15"/>
    </row>
    <row r="33">
      <c r="B33" s="66">
        <f>SUM(B20:B32)</f>
        <v>1431331.81</v>
      </c>
      <c r="C33" s="67">
        <f t="shared" si="4"/>
        <v>1</v>
      </c>
      <c r="D33" s="68"/>
      <c r="E33" s="69"/>
      <c r="F33" s="15"/>
      <c r="G33" s="15"/>
      <c r="H33" s="1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6.0"/>
    <col customWidth="1" min="2" max="2" width="13.33"/>
    <col customWidth="1" min="3" max="3" width="18.33"/>
    <col customWidth="1" min="4" max="4" width="17.56"/>
    <col customWidth="1" min="5" max="5" width="14.22"/>
    <col customWidth="1" min="10" max="10" width="9.22"/>
    <col customWidth="1" min="11" max="11" width="4.56"/>
    <col customWidth="1" min="12" max="12" width="14.33"/>
    <col customWidth="1" min="13" max="13" width="12.89"/>
    <col customWidth="1" min="14" max="14" width="6.56"/>
  </cols>
  <sheetData>
    <row r="2">
      <c r="B2" s="37" t="s">
        <v>131</v>
      </c>
      <c r="C2" s="38"/>
      <c r="D2" s="38"/>
      <c r="E2" s="39"/>
      <c r="L2" s="40"/>
      <c r="M2" s="40" t="s">
        <v>40</v>
      </c>
      <c r="N2" s="40"/>
    </row>
    <row r="3">
      <c r="B3" s="41"/>
      <c r="C3" s="15"/>
      <c r="D3" s="15"/>
      <c r="E3" s="42" t="str">
        <f>+SUM(E4:E14)</f>
        <v>#DIV/0!</v>
      </c>
      <c r="F3" s="15"/>
      <c r="G3" s="15"/>
      <c r="H3" s="15"/>
      <c r="L3" s="43"/>
      <c r="M3" s="43"/>
      <c r="N3" s="43"/>
    </row>
    <row r="4">
      <c r="B4" s="262" t="s">
        <v>41</v>
      </c>
      <c r="C4" s="15"/>
      <c r="D4" s="249">
        <f>+'Planilha de Rentabilidade'!E30</f>
        <v>0</v>
      </c>
      <c r="E4" s="42" t="str">
        <f t="shared" ref="E4:E14" si="1">D4/$E$15</f>
        <v>#DIV/0!</v>
      </c>
      <c r="F4" s="15"/>
      <c r="G4" s="15"/>
      <c r="H4" s="15"/>
      <c r="L4" s="43" t="s">
        <v>42</v>
      </c>
      <c r="M4" s="46">
        <f>SUM(D5:D7)</f>
        <v>0</v>
      </c>
      <c r="N4" s="47" t="str">
        <f t="shared" ref="N4:N14" si="2">M4/$M$15</f>
        <v>#DIV/0!</v>
      </c>
    </row>
    <row r="5">
      <c r="B5" s="262" t="s">
        <v>132</v>
      </c>
      <c r="C5" s="15"/>
      <c r="D5" s="249">
        <f>+'Planilha de Rentabilidade'!Q30</f>
        <v>0</v>
      </c>
      <c r="E5" s="42" t="str">
        <f t="shared" si="1"/>
        <v>#DIV/0!</v>
      </c>
      <c r="F5" s="15"/>
      <c r="G5" s="15"/>
      <c r="H5" s="15"/>
      <c r="L5" s="43"/>
      <c r="M5" s="43">
        <v>0.0</v>
      </c>
      <c r="N5" s="47" t="str">
        <f t="shared" si="2"/>
        <v>#DIV/0!</v>
      </c>
    </row>
    <row r="6">
      <c r="B6" s="262" t="s">
        <v>133</v>
      </c>
      <c r="C6" s="15"/>
      <c r="D6" s="249">
        <f>+'Planilha de Rentabilidade'!P30</f>
        <v>0</v>
      </c>
      <c r="E6" s="42" t="str">
        <f t="shared" si="1"/>
        <v>#DIV/0!</v>
      </c>
      <c r="F6" s="15"/>
      <c r="G6" s="15"/>
      <c r="H6" s="15"/>
      <c r="L6" s="43"/>
      <c r="M6" s="43">
        <v>0.0</v>
      </c>
      <c r="N6" s="47" t="str">
        <f t="shared" si="2"/>
        <v>#DIV/0!</v>
      </c>
    </row>
    <row r="7">
      <c r="B7" s="262" t="s">
        <v>45</v>
      </c>
      <c r="C7" s="15"/>
      <c r="D7" s="249">
        <v>0.0</v>
      </c>
      <c r="E7" s="42" t="str">
        <f t="shared" si="1"/>
        <v>#DIV/0!</v>
      </c>
      <c r="F7" s="15"/>
      <c r="G7" s="15"/>
      <c r="H7" s="15"/>
      <c r="L7" s="43" t="s">
        <v>46</v>
      </c>
      <c r="M7" s="46">
        <f>+D11</f>
        <v>0</v>
      </c>
      <c r="N7" s="47" t="str">
        <f t="shared" si="2"/>
        <v>#DIV/0!</v>
      </c>
    </row>
    <row r="8">
      <c r="B8" s="262" t="s">
        <v>47</v>
      </c>
      <c r="C8" s="250" t="s">
        <v>126</v>
      </c>
      <c r="D8" s="249">
        <f>+'Planilha de Rentabilidade'!C30+'Planilha de Rentabilidade'!D30+'Planilha de Rentabilidade'!F30</f>
        <v>0</v>
      </c>
      <c r="E8" s="42" t="str">
        <f t="shared" si="1"/>
        <v>#DIV/0!</v>
      </c>
      <c r="F8" s="15"/>
      <c r="G8" s="15"/>
      <c r="H8" s="15"/>
      <c r="L8" s="43" t="s">
        <v>48</v>
      </c>
      <c r="M8" s="46">
        <f>D8+D12+D13</f>
        <v>0</v>
      </c>
      <c r="N8" s="47" t="str">
        <f t="shared" si="2"/>
        <v>#DIV/0!</v>
      </c>
    </row>
    <row r="9">
      <c r="B9" s="262" t="s">
        <v>49</v>
      </c>
      <c r="C9" s="15"/>
      <c r="D9" s="249">
        <f>'Planilha de Rentabilidade'!L30</f>
        <v>0</v>
      </c>
      <c r="E9" s="42" t="str">
        <f t="shared" si="1"/>
        <v>#DIV/0!</v>
      </c>
      <c r="F9" s="15"/>
      <c r="G9" s="15"/>
      <c r="H9" s="15"/>
      <c r="L9" s="43" t="s">
        <v>134</v>
      </c>
      <c r="M9" s="46">
        <f>+D10+D9</f>
        <v>0</v>
      </c>
      <c r="N9" s="47" t="str">
        <f t="shared" si="2"/>
        <v>#DIV/0!</v>
      </c>
    </row>
    <row r="10">
      <c r="B10" s="262" t="s">
        <v>135</v>
      </c>
      <c r="C10" s="15"/>
      <c r="D10" s="249">
        <f>'Planilha de Rentabilidade'!M30</f>
        <v>0</v>
      </c>
      <c r="E10" s="42" t="str">
        <f t="shared" si="1"/>
        <v>#DIV/0!</v>
      </c>
      <c r="F10" s="15"/>
      <c r="G10" s="15"/>
      <c r="H10" s="15"/>
      <c r="L10" s="43"/>
      <c r="M10" s="46"/>
      <c r="N10" s="47" t="str">
        <f t="shared" si="2"/>
        <v>#DIV/0!</v>
      </c>
    </row>
    <row r="11">
      <c r="B11" s="262" t="s">
        <v>46</v>
      </c>
      <c r="C11" s="15"/>
      <c r="D11" s="249">
        <f>+0</f>
        <v>0</v>
      </c>
      <c r="E11" s="42" t="str">
        <f t="shared" si="1"/>
        <v>#DIV/0!</v>
      </c>
      <c r="F11" s="15"/>
      <c r="G11" s="15"/>
      <c r="H11" s="15"/>
      <c r="L11" s="43"/>
      <c r="M11" s="43"/>
      <c r="N11" s="47" t="str">
        <f t="shared" si="2"/>
        <v>#DIV/0!</v>
      </c>
    </row>
    <row r="12">
      <c r="B12" s="262" t="s">
        <v>52</v>
      </c>
      <c r="C12" s="15"/>
      <c r="D12" s="249">
        <f>+'Planilha de Rentabilidade'!G30+'Planilha de Rentabilidade'!I30</f>
        <v>0</v>
      </c>
      <c r="E12" s="42" t="str">
        <f t="shared" si="1"/>
        <v>#DIV/0!</v>
      </c>
      <c r="F12" s="15"/>
      <c r="G12" s="15"/>
      <c r="H12" s="15"/>
      <c r="L12" s="43" t="s">
        <v>41</v>
      </c>
      <c r="M12" s="46">
        <f>+D4</f>
        <v>0</v>
      </c>
      <c r="N12" s="47" t="str">
        <f t="shared" si="2"/>
        <v>#DIV/0!</v>
      </c>
    </row>
    <row r="13">
      <c r="B13" s="262" t="s">
        <v>53</v>
      </c>
      <c r="C13" s="15"/>
      <c r="D13" s="254">
        <f>+'Planilha de Rentabilidade'!H30+'Planilha de Rentabilidade'!J30+'Planilha de Rentabilidade'!K30+'Planilha de Rentabilidade'!S30+'Planilha de Rentabilidade'!V30</f>
        <v>0</v>
      </c>
      <c r="E13" s="42" t="str">
        <f t="shared" si="1"/>
        <v>#DIV/0!</v>
      </c>
      <c r="F13" s="15"/>
      <c r="G13" s="15"/>
      <c r="H13" s="15"/>
      <c r="L13" s="43"/>
      <c r="M13" s="43"/>
      <c r="N13" s="47" t="str">
        <f t="shared" si="2"/>
        <v>#DIV/0!</v>
      </c>
    </row>
    <row r="14">
      <c r="B14" s="262" t="s">
        <v>54</v>
      </c>
      <c r="C14" s="15"/>
      <c r="D14" s="249">
        <f>B35</f>
        <v>0</v>
      </c>
      <c r="E14" s="42" t="str">
        <f t="shared" si="1"/>
        <v>#DIV/0!</v>
      </c>
      <c r="F14" s="15"/>
      <c r="G14" s="15"/>
      <c r="H14" s="15"/>
      <c r="L14" s="43" t="s">
        <v>129</v>
      </c>
      <c r="M14" s="46">
        <f>D14</f>
        <v>0</v>
      </c>
      <c r="N14" s="47" t="str">
        <f t="shared" si="2"/>
        <v>#DIV/0!</v>
      </c>
    </row>
    <row r="15">
      <c r="B15" s="49"/>
      <c r="C15" s="50"/>
      <c r="D15" s="50"/>
      <c r="E15" s="51">
        <f>SUM(D4:D14)</f>
        <v>0</v>
      </c>
      <c r="F15" s="15"/>
      <c r="G15" s="15"/>
      <c r="H15" s="15"/>
      <c r="L15" s="52"/>
      <c r="M15" s="53">
        <f t="shared" ref="M15:N15" si="3">SUM(M4:M14)</f>
        <v>0</v>
      </c>
      <c r="N15" s="54" t="str">
        <f t="shared" si="3"/>
        <v>#DIV/0!</v>
      </c>
    </row>
    <row r="16">
      <c r="C16" s="55"/>
      <c r="D16" s="15"/>
      <c r="E16" s="15"/>
      <c r="F16" s="15"/>
      <c r="G16" s="15"/>
      <c r="H16" s="15"/>
    </row>
    <row r="17">
      <c r="C17" s="55"/>
      <c r="D17" s="15"/>
      <c r="E17" s="15"/>
      <c r="F17" s="15"/>
      <c r="G17" s="15"/>
      <c r="H17" s="15"/>
    </row>
    <row r="18">
      <c r="B18" s="37" t="s">
        <v>136</v>
      </c>
      <c r="C18" s="56"/>
      <c r="D18" s="57"/>
      <c r="E18" s="58"/>
      <c r="G18" s="15"/>
      <c r="H18" s="15"/>
    </row>
    <row r="19">
      <c r="B19" s="59"/>
      <c r="C19" s="60" t="s">
        <v>58</v>
      </c>
      <c r="D19" s="15"/>
      <c r="E19" s="61"/>
      <c r="F19" s="15"/>
      <c r="G19" s="15"/>
      <c r="H19" s="15"/>
    </row>
    <row r="20">
      <c r="B20" s="260">
        <f>+'Planilha de Rentabilidade'!Z30</f>
        <v>0</v>
      </c>
      <c r="C20" s="55" t="str">
        <f t="shared" ref="C20:C31" si="4">B20/$B$35</f>
        <v>#DIV/0!</v>
      </c>
      <c r="D20" s="62" t="s">
        <v>59</v>
      </c>
      <c r="E20" s="61"/>
      <c r="F20" s="15"/>
      <c r="G20" s="15"/>
      <c r="H20" s="15"/>
    </row>
    <row r="21">
      <c r="B21" s="261">
        <f>+'Planilha de Rentabilidade'!O30</f>
        <v>0</v>
      </c>
      <c r="C21" s="55" t="str">
        <f t="shared" si="4"/>
        <v>#DIV/0!</v>
      </c>
      <c r="D21" s="63" t="s">
        <v>60</v>
      </c>
      <c r="E21" s="61"/>
      <c r="F21" s="15"/>
      <c r="G21" s="15"/>
      <c r="H21" s="15"/>
    </row>
    <row r="22">
      <c r="B22" s="261">
        <f>+'Planilha de Rentabilidade'!U30+'Planilha de Rentabilidade'!AB30</f>
        <v>0</v>
      </c>
      <c r="C22" s="55" t="str">
        <f t="shared" si="4"/>
        <v>#DIV/0!</v>
      </c>
      <c r="D22" s="63" t="s">
        <v>61</v>
      </c>
      <c r="E22" s="61"/>
      <c r="F22" s="15"/>
      <c r="G22" s="15"/>
      <c r="H22" s="15"/>
    </row>
    <row r="23">
      <c r="B23" s="261">
        <v>0.0</v>
      </c>
      <c r="C23" s="55" t="str">
        <f t="shared" si="4"/>
        <v>#DIV/0!</v>
      </c>
      <c r="D23" s="63" t="s">
        <v>137</v>
      </c>
      <c r="E23" s="61"/>
      <c r="F23" s="15"/>
      <c r="G23" s="15"/>
      <c r="H23" s="15"/>
    </row>
    <row r="24">
      <c r="B24" s="261">
        <v>0.0</v>
      </c>
      <c r="C24" s="55" t="str">
        <f t="shared" si="4"/>
        <v>#DIV/0!</v>
      </c>
      <c r="D24" s="63" t="s">
        <v>63</v>
      </c>
      <c r="E24" s="61"/>
      <c r="F24" s="15"/>
      <c r="G24" s="15"/>
      <c r="H24" s="15"/>
    </row>
    <row r="25">
      <c r="B25" s="261">
        <v>0.0</v>
      </c>
      <c r="C25" s="55" t="str">
        <f t="shared" si="4"/>
        <v>#DIV/0!</v>
      </c>
      <c r="D25" s="63" t="s">
        <v>138</v>
      </c>
      <c r="E25" s="61"/>
      <c r="F25" s="15"/>
      <c r="G25" s="15"/>
      <c r="H25" s="15"/>
    </row>
    <row r="26">
      <c r="B26" s="261">
        <v>0.0</v>
      </c>
      <c r="C26" s="55" t="str">
        <f t="shared" si="4"/>
        <v>#DIV/0!</v>
      </c>
      <c r="D26" s="63" t="s">
        <v>65</v>
      </c>
      <c r="E26" s="65"/>
      <c r="F26" s="15"/>
      <c r="G26" s="15"/>
      <c r="H26" s="15"/>
    </row>
    <row r="27">
      <c r="B27" s="261">
        <f>+'Planilha de Rentabilidade'!AA30+'Planilha de Rentabilidade'!AC30</f>
        <v>0</v>
      </c>
      <c r="C27" s="55" t="str">
        <f t="shared" si="4"/>
        <v>#DIV/0!</v>
      </c>
      <c r="D27" s="63" t="s">
        <v>66</v>
      </c>
      <c r="E27" s="61"/>
      <c r="F27" s="15"/>
      <c r="G27" s="15"/>
      <c r="H27" s="15"/>
    </row>
    <row r="28">
      <c r="B28" s="261">
        <v>0.0</v>
      </c>
      <c r="C28" s="55" t="str">
        <f t="shared" si="4"/>
        <v>#DIV/0!</v>
      </c>
      <c r="D28" s="63" t="s">
        <v>139</v>
      </c>
      <c r="E28" s="61"/>
      <c r="F28" s="15"/>
      <c r="G28" s="15"/>
      <c r="H28" s="15"/>
    </row>
    <row r="29">
      <c r="B29" s="261">
        <f>+'Planilha de Rentabilidade'!X30+'Planilha de Rentabilidade'!Y30</f>
        <v>0</v>
      </c>
      <c r="C29" s="55" t="str">
        <f t="shared" si="4"/>
        <v>#DIV/0!</v>
      </c>
      <c r="D29" s="63" t="s">
        <v>140</v>
      </c>
      <c r="E29" s="61"/>
      <c r="F29" s="15"/>
      <c r="G29" s="15"/>
      <c r="H29" s="15"/>
    </row>
    <row r="30">
      <c r="B30" s="261">
        <f>+'Planilha de Rentabilidade'!T30</f>
        <v>0</v>
      </c>
      <c r="C30" s="55" t="str">
        <f t="shared" si="4"/>
        <v>#DIV/0!</v>
      </c>
      <c r="D30" s="63" t="s">
        <v>69</v>
      </c>
      <c r="E30" s="61"/>
      <c r="F30" s="15"/>
      <c r="G30" s="15"/>
      <c r="H30" s="15"/>
    </row>
    <row r="31">
      <c r="B31" s="261">
        <f>+'Planilha de Rentabilidade'!N30+'Planilha de Rentabilidade'!AH30</f>
        <v>0</v>
      </c>
      <c r="C31" s="55" t="str">
        <f t="shared" si="4"/>
        <v>#DIV/0!</v>
      </c>
      <c r="D31" s="63" t="s">
        <v>70</v>
      </c>
      <c r="E31" s="61"/>
      <c r="F31" s="15"/>
      <c r="G31" s="15"/>
      <c r="H31" s="15"/>
    </row>
    <row r="32">
      <c r="B32" s="261">
        <v>0.0</v>
      </c>
      <c r="C32" s="55">
        <v>0.0</v>
      </c>
      <c r="D32" s="63" t="s">
        <v>141</v>
      </c>
      <c r="E32" s="61"/>
      <c r="F32" s="15"/>
      <c r="G32" s="15"/>
      <c r="H32" s="15"/>
    </row>
    <row r="33">
      <c r="B33" s="41"/>
      <c r="C33" s="55" t="str">
        <f>SUM(C20:C32)</f>
        <v>#DIV/0!</v>
      </c>
      <c r="D33" s="15"/>
      <c r="E33" s="61"/>
      <c r="F33" s="15"/>
      <c r="G33" s="15"/>
      <c r="H33" s="15"/>
    </row>
    <row r="34">
      <c r="B34" s="41"/>
      <c r="C34" s="55"/>
      <c r="D34" s="15"/>
      <c r="E34" s="61"/>
      <c r="F34" s="15"/>
      <c r="G34" s="15"/>
      <c r="H34" s="15"/>
    </row>
    <row r="35">
      <c r="B35" s="66">
        <f>SUM(B20:B34)</f>
        <v>0</v>
      </c>
      <c r="C35" s="67" t="str">
        <f>B35/$B$35</f>
        <v>#DIV/0!</v>
      </c>
      <c r="D35" s="68"/>
      <c r="E35" s="69"/>
      <c r="F35" s="15"/>
      <c r="G35" s="15"/>
      <c r="H35" s="15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2" max="2" width="13.33"/>
    <col customWidth="1" min="3" max="3" width="13.0"/>
    <col customWidth="1" min="4" max="4" width="15.33"/>
    <col customWidth="1" min="5" max="5" width="14.22"/>
    <col customWidth="1" min="12" max="12" width="9.56"/>
    <col customWidth="1" min="13" max="13" width="12.56"/>
    <col customWidth="1" min="14" max="14" width="7.67"/>
    <col customWidth="1" min="15" max="15" width="9.22"/>
  </cols>
  <sheetData>
    <row r="2">
      <c r="B2" s="37" t="s">
        <v>142</v>
      </c>
      <c r="C2" s="38"/>
      <c r="D2" s="38"/>
      <c r="E2" s="39"/>
      <c r="L2" s="40"/>
      <c r="M2" s="40" t="s">
        <v>40</v>
      </c>
      <c r="N2" s="40"/>
    </row>
    <row r="3">
      <c r="B3" s="41"/>
      <c r="C3" s="15"/>
      <c r="D3" s="15"/>
      <c r="E3" s="42" t="str">
        <f>+SUM(E4:E14)</f>
        <v>#DIV/0!</v>
      </c>
      <c r="F3" s="15"/>
      <c r="G3" s="15"/>
      <c r="H3" s="15"/>
      <c r="L3" s="43"/>
      <c r="M3" s="43"/>
      <c r="N3" s="43"/>
    </row>
    <row r="4">
      <c r="B4" s="262" t="s">
        <v>41</v>
      </c>
      <c r="C4" s="15"/>
      <c r="D4" s="249">
        <f>+'Planilha de Rentabilidade'!E22</f>
        <v>0</v>
      </c>
      <c r="E4" s="42" t="str">
        <f t="shared" ref="E4:E14" si="1">D4/$E$15</f>
        <v>#DIV/0!</v>
      </c>
      <c r="F4" s="15"/>
      <c r="G4" s="15"/>
      <c r="H4" s="15"/>
      <c r="L4" s="43" t="s">
        <v>42</v>
      </c>
      <c r="M4" s="46">
        <f>SUM(D5:D7)</f>
        <v>0</v>
      </c>
      <c r="N4" s="47" t="str">
        <f t="shared" ref="N4:N14" si="2">M4/$M$15</f>
        <v>#DIV/0!</v>
      </c>
    </row>
    <row r="5">
      <c r="B5" s="262" t="s">
        <v>132</v>
      </c>
      <c r="C5" s="15"/>
      <c r="D5" s="249">
        <f>+'Planilha de Rentabilidade'!Q22</f>
        <v>0</v>
      </c>
      <c r="E5" s="42" t="str">
        <f t="shared" si="1"/>
        <v>#DIV/0!</v>
      </c>
      <c r="F5" s="15"/>
      <c r="G5" s="15"/>
      <c r="H5" s="15"/>
      <c r="L5" s="43"/>
      <c r="M5" s="43">
        <v>0.0</v>
      </c>
      <c r="N5" s="47" t="str">
        <f t="shared" si="2"/>
        <v>#DIV/0!</v>
      </c>
    </row>
    <row r="6">
      <c r="B6" s="262" t="s">
        <v>133</v>
      </c>
      <c r="C6" s="15"/>
      <c r="D6" s="249">
        <f>+'Planilha de Rentabilidade'!P22</f>
        <v>0</v>
      </c>
      <c r="E6" s="42" t="str">
        <f t="shared" si="1"/>
        <v>#DIV/0!</v>
      </c>
      <c r="F6" s="15"/>
      <c r="G6" s="15"/>
      <c r="H6" s="15"/>
      <c r="L6" s="43"/>
      <c r="M6" s="43">
        <v>0.0</v>
      </c>
      <c r="N6" s="47" t="str">
        <f t="shared" si="2"/>
        <v>#DIV/0!</v>
      </c>
    </row>
    <row r="7">
      <c r="B7" s="262" t="s">
        <v>45</v>
      </c>
      <c r="C7" s="15"/>
      <c r="D7" s="249">
        <v>0.0</v>
      </c>
      <c r="E7" s="42" t="str">
        <f t="shared" si="1"/>
        <v>#DIV/0!</v>
      </c>
      <c r="F7" s="15"/>
      <c r="G7" s="15"/>
      <c r="H7" s="15"/>
      <c r="L7" s="43" t="s">
        <v>46</v>
      </c>
      <c r="M7" s="46">
        <f>+D11</f>
        <v>0</v>
      </c>
      <c r="N7" s="47" t="str">
        <f t="shared" si="2"/>
        <v>#DIV/0!</v>
      </c>
    </row>
    <row r="8">
      <c r="B8" s="262" t="s">
        <v>47</v>
      </c>
      <c r="C8" s="15"/>
      <c r="D8" s="249">
        <f>'Planilha de Rentabilidade'!C22+'Planilha de Rentabilidade'!D22+'Planilha de Rentabilidade'!F22</f>
        <v>0</v>
      </c>
      <c r="E8" s="42" t="str">
        <f t="shared" si="1"/>
        <v>#DIV/0!</v>
      </c>
      <c r="F8" s="15"/>
      <c r="G8" s="15"/>
      <c r="H8" s="15"/>
      <c r="L8" s="43" t="s">
        <v>48</v>
      </c>
      <c r="M8" s="46">
        <f>D8+D12+D13</f>
        <v>0</v>
      </c>
      <c r="N8" s="47" t="str">
        <f t="shared" si="2"/>
        <v>#DIV/0!</v>
      </c>
    </row>
    <row r="9">
      <c r="B9" s="262" t="s">
        <v>49</v>
      </c>
      <c r="C9" s="15"/>
      <c r="D9" s="249">
        <f>'Planilha de Rentabilidade'!L22</f>
        <v>0</v>
      </c>
      <c r="E9" s="42" t="str">
        <f t="shared" si="1"/>
        <v>#DIV/0!</v>
      </c>
      <c r="F9" s="15"/>
      <c r="G9" s="15"/>
      <c r="H9" s="15"/>
      <c r="L9" s="43" t="s">
        <v>128</v>
      </c>
      <c r="M9" s="46">
        <f>+D10</f>
        <v>0</v>
      </c>
      <c r="N9" s="47" t="str">
        <f t="shared" si="2"/>
        <v>#DIV/0!</v>
      </c>
    </row>
    <row r="10">
      <c r="B10" s="262" t="s">
        <v>135</v>
      </c>
      <c r="C10" s="15"/>
      <c r="D10" s="249">
        <f>'Planilha de Rentabilidade'!M22</f>
        <v>0</v>
      </c>
      <c r="E10" s="42" t="str">
        <f t="shared" si="1"/>
        <v>#DIV/0!</v>
      </c>
      <c r="F10" s="15"/>
      <c r="G10" s="15"/>
      <c r="H10" s="15"/>
      <c r="L10" s="43" t="s">
        <v>49</v>
      </c>
      <c r="M10" s="46">
        <f>D9</f>
        <v>0</v>
      </c>
      <c r="N10" s="47" t="str">
        <f t="shared" si="2"/>
        <v>#DIV/0!</v>
      </c>
    </row>
    <row r="11">
      <c r="B11" s="262" t="s">
        <v>46</v>
      </c>
      <c r="C11" s="15"/>
      <c r="D11" s="249">
        <v>0.0</v>
      </c>
      <c r="E11" s="42" t="str">
        <f t="shared" si="1"/>
        <v>#DIV/0!</v>
      </c>
      <c r="F11" s="15"/>
      <c r="G11" s="15"/>
      <c r="H11" s="15"/>
      <c r="L11" s="43"/>
      <c r="M11" s="43"/>
      <c r="N11" s="47" t="str">
        <f t="shared" si="2"/>
        <v>#DIV/0!</v>
      </c>
    </row>
    <row r="12">
      <c r="B12" s="262" t="s">
        <v>52</v>
      </c>
      <c r="C12" s="15"/>
      <c r="D12" s="249">
        <f>'Planilha de Rentabilidade'!I22+'Planilha de Rentabilidade'!G22</f>
        <v>0</v>
      </c>
      <c r="E12" s="42" t="str">
        <f t="shared" si="1"/>
        <v>#DIV/0!</v>
      </c>
      <c r="F12" s="15"/>
      <c r="G12" s="15"/>
      <c r="H12" s="15"/>
      <c r="L12" s="43" t="s">
        <v>41</v>
      </c>
      <c r="M12" s="46">
        <f>+D4</f>
        <v>0</v>
      </c>
      <c r="N12" s="47" t="str">
        <f t="shared" si="2"/>
        <v>#DIV/0!</v>
      </c>
    </row>
    <row r="13">
      <c r="B13" s="262" t="s">
        <v>53</v>
      </c>
      <c r="C13" s="15"/>
      <c r="D13" s="254">
        <f>+'Planilha de Rentabilidade'!H22+'Planilha de Rentabilidade'!K22+'Planilha de Rentabilidade'!S22+'Planilha de Rentabilidade'!V22+'Planilha de Rentabilidade'!J22</f>
        <v>0</v>
      </c>
      <c r="E13" s="42" t="str">
        <f t="shared" si="1"/>
        <v>#DIV/0!</v>
      </c>
      <c r="F13" s="15"/>
      <c r="G13" s="15"/>
      <c r="H13" s="15"/>
      <c r="L13" s="43"/>
      <c r="M13" s="43"/>
      <c r="N13" s="47" t="str">
        <f t="shared" si="2"/>
        <v>#DIV/0!</v>
      </c>
    </row>
    <row r="14">
      <c r="B14" s="262" t="s">
        <v>54</v>
      </c>
      <c r="C14" s="15"/>
      <c r="D14" s="249">
        <f>B35</f>
        <v>0</v>
      </c>
      <c r="E14" s="42" t="str">
        <f t="shared" si="1"/>
        <v>#DIV/0!</v>
      </c>
      <c r="F14" s="15"/>
      <c r="G14" s="15"/>
      <c r="H14" s="15"/>
      <c r="L14" s="43" t="s">
        <v>129</v>
      </c>
      <c r="M14" s="46">
        <f>D14</f>
        <v>0</v>
      </c>
      <c r="N14" s="47" t="str">
        <f t="shared" si="2"/>
        <v>#DIV/0!</v>
      </c>
    </row>
    <row r="15">
      <c r="B15" s="49"/>
      <c r="C15" s="50" t="s">
        <v>56</v>
      </c>
      <c r="D15" s="50"/>
      <c r="E15" s="51">
        <f>SUM(D4:D14)</f>
        <v>0</v>
      </c>
      <c r="F15" s="15"/>
      <c r="G15" s="15"/>
      <c r="H15" s="15"/>
      <c r="L15" s="52"/>
      <c r="M15" s="53">
        <f t="shared" ref="M15:N15" si="3">SUM(M4:M14)</f>
        <v>0</v>
      </c>
      <c r="N15" s="54" t="str">
        <f t="shared" si="3"/>
        <v>#DIV/0!</v>
      </c>
    </row>
    <row r="16">
      <c r="C16" s="55"/>
      <c r="D16" s="15"/>
      <c r="E16" s="15"/>
      <c r="F16" s="15"/>
      <c r="G16" s="15"/>
      <c r="H16" s="15"/>
    </row>
    <row r="17">
      <c r="C17" s="55"/>
      <c r="D17" s="15"/>
      <c r="E17" s="15"/>
      <c r="F17" s="15"/>
      <c r="G17" s="15"/>
      <c r="H17" s="15"/>
    </row>
    <row r="18">
      <c r="B18" s="37" t="s">
        <v>143</v>
      </c>
      <c r="C18" s="56"/>
      <c r="D18" s="57"/>
      <c r="E18" s="58"/>
      <c r="G18" s="15"/>
      <c r="H18" s="15"/>
    </row>
    <row r="19">
      <c r="B19" s="59"/>
      <c r="C19" s="60" t="s">
        <v>58</v>
      </c>
      <c r="D19" s="15"/>
      <c r="E19" s="61"/>
      <c r="F19" s="15"/>
      <c r="G19" s="15"/>
      <c r="H19" s="15"/>
    </row>
    <row r="20">
      <c r="B20" s="260">
        <f>'Planilha de Rentabilidade'!Z22+'Planilha de Rentabilidade'!W22</f>
        <v>0</v>
      </c>
      <c r="C20" s="55" t="str">
        <f t="shared" ref="C20:C32" si="4">B20/$B$35</f>
        <v>#DIV/0!</v>
      </c>
      <c r="D20" s="62" t="s">
        <v>144</v>
      </c>
      <c r="E20" s="61"/>
      <c r="F20" s="15"/>
      <c r="G20" s="15"/>
      <c r="H20" s="15"/>
    </row>
    <row r="21">
      <c r="B21" s="261">
        <f>+'Planilha de Rentabilidade'!O22</f>
        <v>0</v>
      </c>
      <c r="C21" s="55" t="str">
        <f t="shared" si="4"/>
        <v>#DIV/0!</v>
      </c>
      <c r="D21" s="63" t="s">
        <v>60</v>
      </c>
      <c r="E21" s="61"/>
      <c r="F21" s="15"/>
      <c r="G21" s="15"/>
      <c r="H21" s="15"/>
    </row>
    <row r="22">
      <c r="B22" s="261">
        <f>'Planilha de Rentabilidade'!AB22+'Planilha de Rentabilidade'!U22</f>
        <v>0</v>
      </c>
      <c r="C22" s="55" t="str">
        <f t="shared" si="4"/>
        <v>#DIV/0!</v>
      </c>
      <c r="D22" s="63" t="s">
        <v>61</v>
      </c>
      <c r="E22" s="61"/>
      <c r="F22" s="15"/>
      <c r="G22" s="15"/>
      <c r="H22" s="15"/>
    </row>
    <row r="23">
      <c r="B23" s="261">
        <v>0.0</v>
      </c>
      <c r="C23" s="55" t="str">
        <f t="shared" si="4"/>
        <v>#DIV/0!</v>
      </c>
      <c r="D23" s="63" t="s">
        <v>137</v>
      </c>
      <c r="E23" s="61"/>
      <c r="F23" s="15"/>
      <c r="G23" s="15"/>
      <c r="H23" s="15"/>
    </row>
    <row r="24">
      <c r="B24" s="261">
        <v>0.0</v>
      </c>
      <c r="C24" s="55" t="str">
        <f t="shared" si="4"/>
        <v>#DIV/0!</v>
      </c>
      <c r="D24" s="63" t="s">
        <v>63</v>
      </c>
      <c r="E24" s="61"/>
      <c r="F24" s="15"/>
      <c r="G24" s="15"/>
      <c r="H24" s="15"/>
    </row>
    <row r="25">
      <c r="B25" s="261">
        <v>0.0</v>
      </c>
      <c r="C25" s="55" t="str">
        <f t="shared" si="4"/>
        <v>#DIV/0!</v>
      </c>
      <c r="D25" s="63" t="s">
        <v>138</v>
      </c>
      <c r="E25" s="61"/>
      <c r="F25" s="15"/>
      <c r="G25" s="15"/>
      <c r="H25" s="15"/>
    </row>
    <row r="26">
      <c r="B26" s="261">
        <f>'Planilha de Rentabilidade'!AH22</f>
        <v>0</v>
      </c>
      <c r="C26" s="55" t="str">
        <f t="shared" si="4"/>
        <v>#DIV/0!</v>
      </c>
      <c r="D26" s="63" t="s">
        <v>65</v>
      </c>
      <c r="E26" s="65"/>
      <c r="F26" s="15"/>
      <c r="G26" s="15"/>
      <c r="H26" s="15"/>
    </row>
    <row r="27">
      <c r="B27" s="261">
        <f>'Planilha de Rentabilidade'!AA22+'Planilha de Rentabilidade'!AC22</f>
        <v>0</v>
      </c>
      <c r="C27" s="55" t="str">
        <f t="shared" si="4"/>
        <v>#DIV/0!</v>
      </c>
      <c r="D27" s="63" t="s">
        <v>66</v>
      </c>
      <c r="E27" s="61"/>
      <c r="F27" s="15"/>
      <c r="G27" s="15"/>
      <c r="H27" s="15"/>
    </row>
    <row r="28">
      <c r="B28" s="261">
        <v>0.0</v>
      </c>
      <c r="C28" s="55" t="str">
        <f t="shared" si="4"/>
        <v>#DIV/0!</v>
      </c>
      <c r="D28" s="63" t="s">
        <v>139</v>
      </c>
      <c r="E28" s="61"/>
      <c r="F28" s="15"/>
      <c r="G28" s="15"/>
      <c r="H28" s="15"/>
    </row>
    <row r="29">
      <c r="B29" s="261">
        <f>+'Planilha de Rentabilidade'!Y22+'Planilha de Rentabilidade'!X22</f>
        <v>0</v>
      </c>
      <c r="C29" s="55" t="str">
        <f t="shared" si="4"/>
        <v>#DIV/0!</v>
      </c>
      <c r="D29" s="63" t="s">
        <v>140</v>
      </c>
      <c r="E29" s="61"/>
      <c r="F29" s="15"/>
      <c r="G29" s="15"/>
      <c r="H29" s="15"/>
    </row>
    <row r="30">
      <c r="B30" s="261">
        <v>0.0</v>
      </c>
      <c r="C30" s="55" t="str">
        <f t="shared" si="4"/>
        <v>#DIV/0!</v>
      </c>
      <c r="D30" s="63" t="s">
        <v>69</v>
      </c>
      <c r="E30" s="61"/>
      <c r="F30" s="15"/>
      <c r="G30" s="15"/>
      <c r="H30" s="15"/>
    </row>
    <row r="31">
      <c r="B31" s="261">
        <f>+'Planilha de Rentabilidade'!N22</f>
        <v>0</v>
      </c>
      <c r="C31" s="55" t="str">
        <f t="shared" si="4"/>
        <v>#DIV/0!</v>
      </c>
      <c r="D31" s="63" t="s">
        <v>70</v>
      </c>
      <c r="E31" s="61"/>
      <c r="F31" s="15"/>
      <c r="G31" s="15"/>
      <c r="H31" s="15"/>
    </row>
    <row r="32">
      <c r="B32" s="261">
        <v>0.0</v>
      </c>
      <c r="C32" s="55" t="str">
        <f t="shared" si="4"/>
        <v>#DIV/0!</v>
      </c>
      <c r="D32" s="63" t="s">
        <v>141</v>
      </c>
      <c r="E32" s="61"/>
      <c r="F32" s="15"/>
      <c r="G32" s="15"/>
      <c r="H32" s="15"/>
    </row>
    <row r="33">
      <c r="B33" s="41"/>
      <c r="C33" s="55" t="str">
        <f>SUM(C20:C32)</f>
        <v>#DIV/0!</v>
      </c>
      <c r="D33" s="15"/>
      <c r="E33" s="61"/>
      <c r="F33" s="15"/>
      <c r="G33" s="15"/>
      <c r="H33" s="15"/>
    </row>
    <row r="34">
      <c r="B34" s="41"/>
      <c r="C34" s="55"/>
      <c r="D34" s="15"/>
      <c r="E34" s="61"/>
      <c r="F34" s="15"/>
      <c r="G34" s="15"/>
      <c r="H34" s="15"/>
    </row>
    <row r="35">
      <c r="B35" s="66">
        <f>SUM(B20:B34)</f>
        <v>0</v>
      </c>
      <c r="C35" s="67" t="str">
        <f>B35/$B$35</f>
        <v>#DIV/0!</v>
      </c>
      <c r="D35" s="68"/>
      <c r="E35" s="69"/>
      <c r="F35" s="15"/>
      <c r="G35" s="15"/>
      <c r="H35" s="1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2" max="2" width="21.0"/>
    <col customWidth="1" min="3" max="3" width="19.33"/>
    <col customWidth="1" min="4" max="4" width="18.0"/>
    <col customWidth="1" min="5" max="5" width="17.11"/>
    <col customWidth="1" min="12" max="13" width="14.33"/>
  </cols>
  <sheetData>
    <row r="2">
      <c r="B2" s="263" t="s">
        <v>145</v>
      </c>
      <c r="C2" s="26"/>
      <c r="D2" s="26"/>
      <c r="E2" s="264"/>
      <c r="L2" s="40"/>
      <c r="M2" s="40" t="s">
        <v>40</v>
      </c>
      <c r="N2" s="40"/>
    </row>
    <row r="3">
      <c r="B3" s="265"/>
      <c r="C3" s="15"/>
      <c r="D3" s="15"/>
      <c r="E3" s="266" t="str">
        <f>SUM(E4:E14)</f>
        <v>#ERROR!</v>
      </c>
      <c r="F3" s="15"/>
      <c r="G3" s="15"/>
      <c r="H3" s="15"/>
      <c r="L3" s="43"/>
      <c r="M3" s="43"/>
      <c r="N3" s="43"/>
    </row>
    <row r="4">
      <c r="B4" s="267" t="s">
        <v>41</v>
      </c>
      <c r="C4" s="15"/>
      <c r="D4" s="249">
        <f>'Planilha de Rentabilidade'!E38</f>
        <v>0</v>
      </c>
      <c r="E4" s="266" t="str">
        <f t="shared" ref="E4:E14" si="1">D4/$D$15</f>
        <v>#ERROR!</v>
      </c>
      <c r="F4" s="15"/>
      <c r="G4" s="15"/>
      <c r="H4" s="15"/>
      <c r="L4" s="43" t="s">
        <v>42</v>
      </c>
      <c r="M4" s="46">
        <f>SUM(D5:D7)</f>
        <v>0</v>
      </c>
      <c r="N4" s="47" t="str">
        <f t="shared" ref="N4:N14" si="2">M4/$M$15</f>
        <v>#ERROR!</v>
      </c>
    </row>
    <row r="5">
      <c r="B5" s="267" t="s">
        <v>132</v>
      </c>
      <c r="C5" s="15"/>
      <c r="D5" s="249">
        <f>'Planilha de Rentabilidade'!Q38</f>
        <v>0</v>
      </c>
      <c r="E5" s="266" t="str">
        <f t="shared" si="1"/>
        <v>#ERROR!</v>
      </c>
      <c r="F5" s="15"/>
      <c r="G5" s="15"/>
      <c r="H5" s="15"/>
      <c r="L5" s="43"/>
      <c r="M5" s="43"/>
      <c r="N5" s="47" t="str">
        <f t="shared" si="2"/>
        <v>#ERROR!</v>
      </c>
    </row>
    <row r="6">
      <c r="B6" s="267" t="s">
        <v>133</v>
      </c>
      <c r="C6" s="15"/>
      <c r="D6" s="249">
        <f>'Planilha de Rentabilidade'!P38</f>
        <v>0</v>
      </c>
      <c r="E6" s="266" t="str">
        <f t="shared" si="1"/>
        <v>#ERROR!</v>
      </c>
      <c r="F6" s="15"/>
      <c r="G6" s="15"/>
      <c r="H6" s="15"/>
      <c r="L6" s="43"/>
      <c r="M6" s="46">
        <v>0.0</v>
      </c>
      <c r="N6" s="47" t="str">
        <f t="shared" si="2"/>
        <v>#ERROR!</v>
      </c>
    </row>
    <row r="7">
      <c r="B7" s="267" t="s">
        <v>45</v>
      </c>
      <c r="C7" s="15"/>
      <c r="D7" s="249">
        <v>0.0</v>
      </c>
      <c r="E7" s="266" t="str">
        <f t="shared" si="1"/>
        <v>#ERROR!</v>
      </c>
      <c r="F7" s="15"/>
      <c r="G7" s="15"/>
      <c r="H7" s="15"/>
      <c r="L7" s="43" t="s">
        <v>46</v>
      </c>
      <c r="M7" s="43"/>
      <c r="N7" s="47" t="str">
        <f t="shared" si="2"/>
        <v>#ERROR!</v>
      </c>
    </row>
    <row r="8">
      <c r="B8" s="267" t="s">
        <v>47</v>
      </c>
      <c r="C8" s="15"/>
      <c r="D8" s="249">
        <f>'Planilha de Rentabilidade'!C38+'Planilha de Rentabilidade'!D38+'Planilha de Rentabilidade'!F38</f>
        <v>0</v>
      </c>
      <c r="E8" s="266" t="str">
        <f t="shared" si="1"/>
        <v>#ERROR!</v>
      </c>
      <c r="F8" s="15"/>
      <c r="G8" s="15"/>
      <c r="H8" s="15"/>
      <c r="L8" s="43" t="s">
        <v>48</v>
      </c>
      <c r="M8" s="46">
        <f>SUM(D8,D12,D13)</f>
        <v>0</v>
      </c>
      <c r="N8" s="47" t="str">
        <f t="shared" si="2"/>
        <v>#ERROR!</v>
      </c>
    </row>
    <row r="9">
      <c r="B9" s="267" t="s">
        <v>49</v>
      </c>
      <c r="C9" s="15"/>
      <c r="D9" s="249">
        <f>'Planilha de Rentabilidade'!L38</f>
        <v>0</v>
      </c>
      <c r="E9" s="266" t="str">
        <f t="shared" si="1"/>
        <v>#ERROR!</v>
      </c>
      <c r="F9" s="15"/>
      <c r="G9" s="15"/>
      <c r="H9" s="15"/>
      <c r="L9" s="43" t="s">
        <v>134</v>
      </c>
      <c r="M9" s="46">
        <f>SUM(D9+D10)</f>
        <v>0</v>
      </c>
      <c r="N9" s="47" t="str">
        <f t="shared" si="2"/>
        <v>#ERROR!</v>
      </c>
    </row>
    <row r="10">
      <c r="B10" s="267" t="s">
        <v>135</v>
      </c>
      <c r="C10" s="15"/>
      <c r="D10" s="249">
        <f>'Planilha de Rentabilidade'!M38</f>
        <v>0</v>
      </c>
      <c r="E10" s="266" t="str">
        <f t="shared" si="1"/>
        <v>#ERROR!</v>
      </c>
      <c r="F10" s="15"/>
      <c r="G10" s="15"/>
      <c r="H10" s="15"/>
      <c r="L10" s="43"/>
      <c r="M10" s="46"/>
      <c r="N10" s="47" t="str">
        <f t="shared" si="2"/>
        <v>#ERROR!</v>
      </c>
    </row>
    <row r="11">
      <c r="B11" s="267" t="s">
        <v>46</v>
      </c>
      <c r="C11" s="15"/>
      <c r="D11" s="254">
        <v>0.0</v>
      </c>
      <c r="E11" s="266" t="str">
        <f t="shared" si="1"/>
        <v>#ERROR!</v>
      </c>
      <c r="F11" s="15"/>
      <c r="G11" s="15"/>
      <c r="H11" s="15"/>
      <c r="L11" s="43"/>
      <c r="M11" s="43"/>
      <c r="N11" s="47" t="str">
        <f t="shared" si="2"/>
        <v>#ERROR!</v>
      </c>
    </row>
    <row r="12">
      <c r="B12" s="267" t="s">
        <v>52</v>
      </c>
      <c r="C12" s="15"/>
      <c r="D12" s="254">
        <f>'Planilha de Rentabilidade'!G38+'Planilha de Rentabilidade'!I38</f>
        <v>0</v>
      </c>
      <c r="E12" s="266" t="str">
        <f t="shared" si="1"/>
        <v>#ERROR!</v>
      </c>
      <c r="F12" s="15"/>
      <c r="G12" s="15"/>
      <c r="H12" s="15"/>
      <c r="L12" s="43" t="s">
        <v>41</v>
      </c>
      <c r="M12" s="46">
        <f>D4</f>
        <v>0</v>
      </c>
      <c r="N12" s="47" t="str">
        <f t="shared" si="2"/>
        <v>#ERROR!</v>
      </c>
    </row>
    <row r="13">
      <c r="B13" s="267" t="s">
        <v>53</v>
      </c>
      <c r="C13" s="15"/>
      <c r="D13" s="254">
        <f>'Planilha de Rentabilidade'!H38+'Planilha de Rentabilidade'!J38+'Planilha de Rentabilidade'!K38+'Planilha de Rentabilidade'!S38+'Planilha de Rentabilidade'!V38</f>
        <v>0</v>
      </c>
      <c r="E13" s="266" t="str">
        <f t="shared" si="1"/>
        <v>#ERROR!</v>
      </c>
      <c r="F13" s="15"/>
      <c r="G13" s="15"/>
      <c r="H13" s="15"/>
      <c r="L13" s="43"/>
      <c r="M13" s="46"/>
      <c r="N13" s="47" t="str">
        <f t="shared" si="2"/>
        <v>#ERROR!</v>
      </c>
    </row>
    <row r="14">
      <c r="B14" s="267" t="s">
        <v>54</v>
      </c>
      <c r="C14" s="15"/>
      <c r="D14" s="254" t="str">
        <f>B33</f>
        <v>#ERROR!</v>
      </c>
      <c r="E14" s="266" t="str">
        <f t="shared" si="1"/>
        <v>#ERROR!</v>
      </c>
      <c r="F14" s="15"/>
      <c r="G14" s="15"/>
      <c r="H14" s="15"/>
      <c r="L14" s="43" t="s">
        <v>146</v>
      </c>
      <c r="M14" s="46" t="str">
        <f>D14</f>
        <v>#ERROR!</v>
      </c>
      <c r="N14" s="47" t="str">
        <f t="shared" si="2"/>
        <v>#ERROR!</v>
      </c>
    </row>
    <row r="15">
      <c r="B15" s="28" t="s">
        <v>56</v>
      </c>
      <c r="C15" s="268"/>
      <c r="D15" s="269" t="str">
        <f t="shared" ref="D15:E15" si="3">SUM(D4:D14)</f>
        <v>#ERROR!</v>
      </c>
      <c r="E15" s="270" t="str">
        <f t="shared" si="3"/>
        <v>#ERROR!</v>
      </c>
      <c r="F15" s="15"/>
      <c r="G15" s="15"/>
      <c r="H15" s="15"/>
      <c r="L15" s="52"/>
      <c r="M15" s="53" t="str">
        <f t="shared" ref="M15:N15" si="4">SUM(M4:M14)</f>
        <v>#ERROR!</v>
      </c>
      <c r="N15" s="271" t="str">
        <f t="shared" si="4"/>
        <v>#ERROR!</v>
      </c>
    </row>
    <row r="16">
      <c r="B16" s="63" t="s">
        <v>109</v>
      </c>
      <c r="C16" s="55"/>
      <c r="D16" s="254" t="s">
        <v>109</v>
      </c>
      <c r="E16" s="15" t="s">
        <v>109</v>
      </c>
      <c r="F16" s="15"/>
      <c r="G16" s="15"/>
      <c r="H16" s="15"/>
    </row>
    <row r="17">
      <c r="C17" s="55"/>
      <c r="D17" s="15"/>
      <c r="E17" s="15"/>
      <c r="F17" s="15"/>
      <c r="G17" s="15"/>
      <c r="H17" s="15"/>
    </row>
    <row r="18">
      <c r="B18" s="37" t="s">
        <v>147</v>
      </c>
      <c r="C18" s="56"/>
      <c r="D18" s="57"/>
      <c r="E18" s="58"/>
      <c r="F18" s="15"/>
      <c r="G18" s="15"/>
      <c r="H18" s="15"/>
    </row>
    <row r="19">
      <c r="B19" s="59"/>
      <c r="C19" s="60" t="s">
        <v>58</v>
      </c>
      <c r="D19" s="15"/>
      <c r="E19" s="61"/>
      <c r="F19" s="15"/>
      <c r="G19" s="15"/>
      <c r="H19" s="15"/>
    </row>
    <row r="20">
      <c r="B20" s="260">
        <f>'Planilha de Rentabilidade'!Z38</f>
        <v>0</v>
      </c>
      <c r="C20" s="55" t="str">
        <f t="shared" ref="C20:C33" si="5">B20/$B$33</f>
        <v>#ERROR!</v>
      </c>
      <c r="D20" s="62" t="s">
        <v>59</v>
      </c>
      <c r="E20" s="61"/>
      <c r="F20" s="15"/>
      <c r="G20" s="15"/>
      <c r="H20" s="15"/>
    </row>
    <row r="21">
      <c r="B21" s="261">
        <f>'Planilha de Rentabilidade'!O38</f>
        <v>0</v>
      </c>
      <c r="C21" s="55" t="str">
        <f t="shared" si="5"/>
        <v>#ERROR!</v>
      </c>
      <c r="D21" s="63" t="s">
        <v>60</v>
      </c>
      <c r="E21" s="61"/>
      <c r="F21" s="15"/>
      <c r="G21" s="15"/>
      <c r="H21" s="15"/>
    </row>
    <row r="22">
      <c r="A22" s="15" t="s">
        <v>148</v>
      </c>
      <c r="B22" s="261">
        <f>'Planilha de Rentabilidade'!U38+'Planilha de Rentabilidade'!AB38</f>
        <v>0</v>
      </c>
      <c r="C22" s="55" t="str">
        <f t="shared" si="5"/>
        <v>#ERROR!</v>
      </c>
      <c r="D22" s="63" t="s">
        <v>61</v>
      </c>
      <c r="E22" s="61"/>
      <c r="F22" s="15"/>
      <c r="G22" s="15"/>
      <c r="H22" s="15"/>
    </row>
    <row r="23">
      <c r="A23" s="15" t="s">
        <v>149</v>
      </c>
      <c r="B23" s="261">
        <f>+'Planilha de Rentabilidade'!AG38</f>
        <v>0</v>
      </c>
      <c r="C23" s="55" t="str">
        <f t="shared" si="5"/>
        <v>#ERROR!</v>
      </c>
      <c r="D23" s="63" t="s">
        <v>137</v>
      </c>
      <c r="E23" s="61"/>
      <c r="F23" s="15"/>
      <c r="G23" s="15"/>
      <c r="H23" s="15"/>
    </row>
    <row r="24">
      <c r="A24" s="15" t="s">
        <v>150</v>
      </c>
      <c r="B24" s="261" t="str">
        <f>+</f>
        <v>#ERROR!</v>
      </c>
      <c r="C24" s="55" t="str">
        <f t="shared" si="5"/>
        <v>#ERROR!</v>
      </c>
      <c r="D24" s="63" t="s">
        <v>63</v>
      </c>
      <c r="E24" s="65"/>
      <c r="F24" s="15"/>
      <c r="G24" s="15"/>
      <c r="H24" s="15"/>
    </row>
    <row r="25">
      <c r="A25" s="15" t="s">
        <v>151</v>
      </c>
      <c r="B25" s="261">
        <f>+'Planilha de Rentabilidade'!AE38</f>
        <v>0</v>
      </c>
      <c r="C25" s="55" t="str">
        <f t="shared" si="5"/>
        <v>#ERROR!</v>
      </c>
      <c r="D25" s="63" t="s">
        <v>152</v>
      </c>
      <c r="E25" s="61"/>
      <c r="F25" s="15"/>
      <c r="G25" s="15"/>
      <c r="H25" s="15"/>
    </row>
    <row r="26">
      <c r="A26" s="15" t="s">
        <v>153</v>
      </c>
      <c r="B26" s="261">
        <v>0.0</v>
      </c>
      <c r="C26" s="55" t="str">
        <f t="shared" si="5"/>
        <v>#ERROR!</v>
      </c>
      <c r="D26" s="63" t="s">
        <v>65</v>
      </c>
      <c r="E26" s="61"/>
      <c r="F26" s="15"/>
      <c r="G26" s="15"/>
      <c r="H26" s="15"/>
    </row>
    <row r="27">
      <c r="A27" s="15" t="s">
        <v>154</v>
      </c>
      <c r="B27" s="261">
        <f>'Planilha de Rentabilidade'!AA38+'Planilha de Rentabilidade'!AC38</f>
        <v>0</v>
      </c>
      <c r="C27" s="55" t="str">
        <f t="shared" si="5"/>
        <v>#ERROR!</v>
      </c>
      <c r="D27" s="63" t="s">
        <v>66</v>
      </c>
      <c r="E27" s="61"/>
      <c r="F27" s="15"/>
      <c r="G27" s="15"/>
      <c r="H27" s="15"/>
    </row>
    <row r="28">
      <c r="A28" s="15" t="s">
        <v>155</v>
      </c>
      <c r="B28" s="261">
        <v>0.0</v>
      </c>
      <c r="C28" s="55" t="str">
        <f t="shared" si="5"/>
        <v>#ERROR!</v>
      </c>
      <c r="D28" s="63" t="s">
        <v>139</v>
      </c>
      <c r="E28" s="61"/>
      <c r="F28" s="15"/>
      <c r="G28" s="15"/>
      <c r="H28" s="15"/>
    </row>
    <row r="29">
      <c r="A29" s="15" t="s">
        <v>156</v>
      </c>
      <c r="B29" s="261">
        <f>'Planilha de Rentabilidade'!Y38+'Planilha de Rentabilidade'!X38</f>
        <v>0</v>
      </c>
      <c r="C29" s="55" t="str">
        <f t="shared" si="5"/>
        <v>#ERROR!</v>
      </c>
      <c r="D29" s="63" t="s">
        <v>140</v>
      </c>
      <c r="E29" s="61"/>
      <c r="F29" s="15"/>
      <c r="G29" s="15"/>
      <c r="H29" s="15"/>
    </row>
    <row r="30">
      <c r="A30" s="15" t="s">
        <v>157</v>
      </c>
      <c r="B30" s="261">
        <f>'Planilha de Rentabilidade'!T38</f>
        <v>0</v>
      </c>
      <c r="C30" s="55" t="str">
        <f t="shared" si="5"/>
        <v>#ERROR!</v>
      </c>
      <c r="D30" s="63" t="s">
        <v>69</v>
      </c>
      <c r="E30" s="61"/>
      <c r="F30" s="15"/>
      <c r="G30" s="15"/>
      <c r="H30" s="15"/>
    </row>
    <row r="31">
      <c r="A31" s="15"/>
      <c r="B31" s="261">
        <f>'Planilha de Rentabilidade'!AH38+'Planilha de Rentabilidade'!N38</f>
        <v>0</v>
      </c>
      <c r="C31" s="55" t="str">
        <f t="shared" si="5"/>
        <v>#ERROR!</v>
      </c>
      <c r="D31" s="63" t="s">
        <v>70</v>
      </c>
      <c r="E31" s="61"/>
      <c r="F31" s="15"/>
      <c r="G31" s="15"/>
      <c r="H31" s="15"/>
    </row>
    <row r="32">
      <c r="A32" s="15"/>
      <c r="B32" s="261">
        <v>0.0</v>
      </c>
      <c r="C32" s="55" t="str">
        <f t="shared" si="5"/>
        <v>#ERROR!</v>
      </c>
      <c r="D32" s="63" t="s">
        <v>141</v>
      </c>
      <c r="E32" s="61"/>
      <c r="F32" s="15"/>
      <c r="G32" s="15"/>
      <c r="H32" s="15"/>
    </row>
    <row r="33">
      <c r="A33" s="15"/>
      <c r="B33" s="66" t="str">
        <f>SUM(B20:B32)</f>
        <v>#ERROR!</v>
      </c>
      <c r="C33" s="67" t="str">
        <f t="shared" si="5"/>
        <v>#ERROR!</v>
      </c>
      <c r="D33" s="68"/>
      <c r="E33" s="69"/>
      <c r="F33" s="15"/>
      <c r="G33" s="15"/>
      <c r="H33" s="15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4" max="4" width="14.89"/>
    <col customWidth="1" min="5" max="5" width="13.67"/>
    <col customWidth="1" min="11" max="11" width="14.33"/>
    <col customWidth="1" min="12" max="12" width="13.44"/>
    <col customWidth="1" min="13" max="13" width="13.22"/>
  </cols>
  <sheetData>
    <row r="2">
      <c r="B2" s="37" t="s">
        <v>158</v>
      </c>
      <c r="C2" s="38"/>
      <c r="D2" s="38"/>
      <c r="E2" s="39"/>
      <c r="L2" s="40"/>
      <c r="M2" s="40" t="s">
        <v>40</v>
      </c>
      <c r="N2" s="40"/>
    </row>
    <row r="3">
      <c r="B3" s="41"/>
      <c r="C3" s="15"/>
      <c r="D3" s="15"/>
      <c r="E3" s="42" t="str">
        <f>+SUM(E4:E14)</f>
        <v>#DIV/0!</v>
      </c>
      <c r="F3" s="15"/>
      <c r="G3" s="15"/>
      <c r="H3" s="15"/>
      <c r="L3" s="43"/>
      <c r="M3" s="43"/>
      <c r="N3" s="43"/>
    </row>
    <row r="4">
      <c r="B4" s="267" t="s">
        <v>41</v>
      </c>
      <c r="C4" s="15"/>
      <c r="D4" s="249">
        <f>+'Planilha de Rentabilidade'!E46</f>
        <v>0</v>
      </c>
      <c r="E4" s="42" t="str">
        <f t="shared" ref="E4:E14" si="1">D4/$E$15</f>
        <v>#DIV/0!</v>
      </c>
      <c r="F4" s="15"/>
      <c r="G4" s="15"/>
      <c r="H4" s="15"/>
      <c r="L4" s="43" t="s">
        <v>42</v>
      </c>
      <c r="M4" s="46">
        <f>+D5+D6</f>
        <v>0</v>
      </c>
      <c r="N4" s="47" t="str">
        <f t="shared" ref="N4:N14" si="2">M4/$M$15</f>
        <v>#DIV/0!</v>
      </c>
    </row>
    <row r="5">
      <c r="B5" s="267" t="s">
        <v>132</v>
      </c>
      <c r="C5" s="15"/>
      <c r="D5" s="249">
        <f>+'Planilha de Rentabilidade'!Q46</f>
        <v>0</v>
      </c>
      <c r="E5" s="42" t="str">
        <f t="shared" si="1"/>
        <v>#DIV/0!</v>
      </c>
      <c r="F5" s="15"/>
      <c r="G5" s="15"/>
      <c r="H5" s="15"/>
      <c r="L5" s="43"/>
      <c r="M5" s="43"/>
      <c r="N5" s="47" t="str">
        <f t="shared" si="2"/>
        <v>#DIV/0!</v>
      </c>
    </row>
    <row r="6">
      <c r="B6" s="267" t="s">
        <v>133</v>
      </c>
      <c r="C6" s="15"/>
      <c r="D6" s="249">
        <f>+'Planilha de Rentabilidade'!P46</f>
        <v>0</v>
      </c>
      <c r="E6" s="42" t="str">
        <f t="shared" si="1"/>
        <v>#DIV/0!</v>
      </c>
      <c r="F6" s="15"/>
      <c r="G6" s="15"/>
      <c r="H6" s="15"/>
      <c r="L6" s="43"/>
      <c r="M6" s="46"/>
      <c r="N6" s="47" t="str">
        <f t="shared" si="2"/>
        <v>#DIV/0!</v>
      </c>
    </row>
    <row r="7">
      <c r="B7" s="267" t="s">
        <v>45</v>
      </c>
      <c r="C7" s="15"/>
      <c r="D7" s="249">
        <v>0.0</v>
      </c>
      <c r="E7" s="42" t="str">
        <f t="shared" si="1"/>
        <v>#DIV/0!</v>
      </c>
      <c r="F7" s="15"/>
      <c r="G7" s="15"/>
      <c r="H7" s="15"/>
      <c r="L7" s="43" t="s">
        <v>46</v>
      </c>
      <c r="M7" s="43">
        <v>0.0</v>
      </c>
      <c r="N7" s="47" t="str">
        <f t="shared" si="2"/>
        <v>#DIV/0!</v>
      </c>
    </row>
    <row r="8">
      <c r="B8" s="267" t="s">
        <v>47</v>
      </c>
      <c r="C8" s="15"/>
      <c r="D8" s="249">
        <f>+'Planilha de Rentabilidade'!C46+'Planilha de Rentabilidade'!D46+'Planilha de Rentabilidade'!F46</f>
        <v>0</v>
      </c>
      <c r="E8" s="42" t="str">
        <f t="shared" si="1"/>
        <v>#DIV/0!</v>
      </c>
      <c r="F8" s="15"/>
      <c r="G8" s="15"/>
      <c r="H8" s="15"/>
      <c r="L8" s="43" t="s">
        <v>48</v>
      </c>
      <c r="M8" s="46">
        <f>+D8+D12+D13</f>
        <v>0</v>
      </c>
      <c r="N8" s="47" t="str">
        <f t="shared" si="2"/>
        <v>#DIV/0!</v>
      </c>
    </row>
    <row r="9">
      <c r="B9" s="267" t="s">
        <v>49</v>
      </c>
      <c r="C9" s="15"/>
      <c r="D9" s="249">
        <f>+'Planilha de Rentabilidade'!L46</f>
        <v>0</v>
      </c>
      <c r="E9" s="42" t="str">
        <f t="shared" si="1"/>
        <v>#DIV/0!</v>
      </c>
      <c r="F9" s="15"/>
      <c r="G9" s="15"/>
      <c r="H9" s="15"/>
      <c r="L9" s="43" t="s">
        <v>134</v>
      </c>
      <c r="M9" s="46">
        <f>+D9+D10</f>
        <v>0</v>
      </c>
      <c r="N9" s="47" t="str">
        <f t="shared" si="2"/>
        <v>#DIV/0!</v>
      </c>
    </row>
    <row r="10">
      <c r="B10" s="267" t="s">
        <v>135</v>
      </c>
      <c r="C10" s="15"/>
      <c r="D10" s="249">
        <f>+'Planilha de Rentabilidade'!M46</f>
        <v>0</v>
      </c>
      <c r="E10" s="42" t="str">
        <f t="shared" si="1"/>
        <v>#DIV/0!</v>
      </c>
      <c r="F10" s="15"/>
      <c r="G10" s="15"/>
      <c r="H10" s="15"/>
      <c r="L10" s="43"/>
      <c r="M10" s="46">
        <v>0.0</v>
      </c>
      <c r="N10" s="47" t="str">
        <f t="shared" si="2"/>
        <v>#DIV/0!</v>
      </c>
    </row>
    <row r="11">
      <c r="B11" s="267" t="s">
        <v>46</v>
      </c>
      <c r="C11" s="15"/>
      <c r="D11" s="249">
        <v>0.0</v>
      </c>
      <c r="E11" s="42" t="str">
        <f t="shared" si="1"/>
        <v>#DIV/0!</v>
      </c>
      <c r="F11" s="15"/>
      <c r="G11" s="15"/>
      <c r="H11" s="15"/>
      <c r="L11" s="43"/>
      <c r="M11" s="43"/>
      <c r="N11" s="47" t="str">
        <f t="shared" si="2"/>
        <v>#DIV/0!</v>
      </c>
    </row>
    <row r="12">
      <c r="B12" s="267" t="s">
        <v>52</v>
      </c>
      <c r="C12" s="15"/>
      <c r="D12" s="249">
        <f>+'Planilha de Rentabilidade'!G46+'Planilha de Rentabilidade'!I46</f>
        <v>0</v>
      </c>
      <c r="E12" s="42" t="str">
        <f t="shared" si="1"/>
        <v>#DIV/0!</v>
      </c>
      <c r="F12" s="15"/>
      <c r="G12" s="15"/>
      <c r="H12" s="15"/>
      <c r="L12" s="43" t="s">
        <v>41</v>
      </c>
      <c r="M12" s="46">
        <f>+D4</f>
        <v>0</v>
      </c>
      <c r="N12" s="47" t="str">
        <f t="shared" si="2"/>
        <v>#DIV/0!</v>
      </c>
    </row>
    <row r="13">
      <c r="B13" s="267" t="s">
        <v>53</v>
      </c>
      <c r="C13" s="15"/>
      <c r="D13" s="254">
        <f>+'Planilha de Rentabilidade'!H46+'Planilha de Rentabilidade'!J46+'Planilha de Rentabilidade'!K46+'Planilha de Rentabilidade'!S46+'Planilha de Rentabilidade'!V46</f>
        <v>0</v>
      </c>
      <c r="E13" s="42" t="str">
        <f t="shared" si="1"/>
        <v>#DIV/0!</v>
      </c>
      <c r="F13" s="15"/>
      <c r="G13" s="15"/>
      <c r="H13" s="15"/>
      <c r="L13" s="43"/>
      <c r="M13" s="43"/>
      <c r="N13" s="47" t="str">
        <f t="shared" si="2"/>
        <v>#DIV/0!</v>
      </c>
    </row>
    <row r="14">
      <c r="B14" s="267" t="s">
        <v>54</v>
      </c>
      <c r="C14" s="15"/>
      <c r="D14" s="249">
        <f>B33</f>
        <v>0</v>
      </c>
      <c r="E14" s="42" t="str">
        <f t="shared" si="1"/>
        <v>#DIV/0!</v>
      </c>
      <c r="F14" s="15"/>
      <c r="G14" s="15"/>
      <c r="H14" s="15"/>
      <c r="L14" s="43" t="s">
        <v>146</v>
      </c>
      <c r="M14" s="46">
        <f>D14</f>
        <v>0</v>
      </c>
      <c r="N14" s="47" t="str">
        <f t="shared" si="2"/>
        <v>#DIV/0!</v>
      </c>
    </row>
    <row r="15">
      <c r="B15" s="49"/>
      <c r="C15" s="50" t="s">
        <v>56</v>
      </c>
      <c r="D15" s="50"/>
      <c r="E15" s="51">
        <f>SUM(D4:D14)</f>
        <v>0</v>
      </c>
      <c r="F15" s="15"/>
      <c r="G15" s="15"/>
      <c r="H15" s="15"/>
      <c r="L15" s="52"/>
      <c r="M15" s="272">
        <f t="shared" ref="M15:N15" si="3">SUM(M4:M14)</f>
        <v>0</v>
      </c>
      <c r="N15" s="271" t="str">
        <f t="shared" si="3"/>
        <v>#DIV/0!</v>
      </c>
    </row>
    <row r="16">
      <c r="C16" s="55"/>
      <c r="D16" s="15"/>
      <c r="E16" s="15"/>
      <c r="F16" s="15"/>
      <c r="G16" s="15"/>
      <c r="H16" s="15"/>
    </row>
    <row r="17">
      <c r="C17" s="55"/>
      <c r="D17" s="15"/>
      <c r="E17" s="15"/>
      <c r="F17" s="15"/>
      <c r="G17" s="15"/>
      <c r="H17" s="15"/>
    </row>
    <row r="18">
      <c r="B18" s="37" t="s">
        <v>159</v>
      </c>
      <c r="C18" s="56"/>
      <c r="D18" s="57"/>
      <c r="E18" s="58"/>
      <c r="F18" s="15"/>
      <c r="G18" s="15"/>
      <c r="H18" s="15"/>
    </row>
    <row r="19">
      <c r="B19" s="59"/>
      <c r="C19" s="60" t="s">
        <v>58</v>
      </c>
      <c r="D19" s="15"/>
      <c r="E19" s="61"/>
      <c r="F19" s="15"/>
      <c r="G19" s="15"/>
      <c r="H19" s="15"/>
    </row>
    <row r="20">
      <c r="B20" s="260">
        <f>+'Planilha de Rentabilidade'!Z46</f>
        <v>0</v>
      </c>
      <c r="C20" s="55" t="str">
        <f t="shared" ref="C20:C33" si="4">B20/$B$33</f>
        <v>#DIV/0!</v>
      </c>
      <c r="D20" s="62" t="s">
        <v>59</v>
      </c>
      <c r="E20" s="61"/>
      <c r="F20" s="15"/>
      <c r="G20" s="15"/>
      <c r="H20" s="15"/>
    </row>
    <row r="21">
      <c r="B21" s="261">
        <f>+'Planilha de Rentabilidade'!O46</f>
        <v>0</v>
      </c>
      <c r="C21" s="55" t="str">
        <f t="shared" si="4"/>
        <v>#DIV/0!</v>
      </c>
      <c r="D21" s="63" t="s">
        <v>60</v>
      </c>
      <c r="E21" s="61"/>
      <c r="F21" s="15"/>
      <c r="G21" s="15"/>
      <c r="H21" s="15"/>
    </row>
    <row r="22">
      <c r="A22" s="15"/>
      <c r="B22" s="261">
        <f>+'Planilha de Rentabilidade'!U46+'Planilha de Rentabilidade'!AB46+'Planilha de Rentabilidade'!AF46</f>
        <v>0</v>
      </c>
      <c r="C22" s="55" t="str">
        <f t="shared" si="4"/>
        <v>#DIV/0!</v>
      </c>
      <c r="D22" s="63" t="s">
        <v>61</v>
      </c>
      <c r="E22" s="61"/>
      <c r="F22" s="15"/>
      <c r="G22" s="15"/>
      <c r="H22" s="15"/>
    </row>
    <row r="23">
      <c r="A23" s="15"/>
      <c r="B23" s="261">
        <v>0.0</v>
      </c>
      <c r="C23" s="55" t="str">
        <f t="shared" si="4"/>
        <v>#DIV/0!</v>
      </c>
      <c r="D23" s="63" t="s">
        <v>137</v>
      </c>
      <c r="E23" s="61"/>
      <c r="F23" s="15"/>
      <c r="G23" s="15"/>
      <c r="H23" s="15"/>
    </row>
    <row r="24">
      <c r="A24" s="15"/>
      <c r="B24" s="261">
        <v>0.0</v>
      </c>
      <c r="C24" s="55" t="str">
        <f t="shared" si="4"/>
        <v>#DIV/0!</v>
      </c>
      <c r="D24" s="63" t="s">
        <v>63</v>
      </c>
      <c r="E24" s="65"/>
      <c r="F24" s="15"/>
      <c r="G24" s="15"/>
      <c r="H24" s="15"/>
    </row>
    <row r="25">
      <c r="A25" s="15"/>
      <c r="B25" s="261">
        <f>'Planilha de Rentabilidade'!AE46</f>
        <v>0</v>
      </c>
      <c r="C25" s="55" t="str">
        <f t="shared" si="4"/>
        <v>#DIV/0!</v>
      </c>
      <c r="D25" s="63" t="s">
        <v>152</v>
      </c>
      <c r="E25" s="61"/>
      <c r="F25" s="15"/>
      <c r="G25" s="15"/>
      <c r="H25" s="15"/>
    </row>
    <row r="26">
      <c r="A26" s="15"/>
      <c r="B26" s="261">
        <f>'Planilha de Rentabilidade'!R46</f>
        <v>0</v>
      </c>
      <c r="C26" s="55" t="str">
        <f t="shared" si="4"/>
        <v>#DIV/0!</v>
      </c>
      <c r="D26" s="63" t="s">
        <v>65</v>
      </c>
      <c r="E26" s="61"/>
      <c r="F26" s="15"/>
      <c r="G26" s="15"/>
      <c r="H26" s="15"/>
    </row>
    <row r="27">
      <c r="A27" s="15"/>
      <c r="B27" s="261">
        <v>0.0</v>
      </c>
      <c r="C27" s="55" t="str">
        <f t="shared" si="4"/>
        <v>#DIV/0!</v>
      </c>
      <c r="D27" s="63" t="s">
        <v>66</v>
      </c>
      <c r="E27" s="61"/>
      <c r="F27" s="15"/>
      <c r="G27" s="15"/>
      <c r="H27" s="15"/>
    </row>
    <row r="28">
      <c r="A28" s="15"/>
      <c r="B28" s="261">
        <v>0.0</v>
      </c>
      <c r="C28" s="55" t="str">
        <f t="shared" si="4"/>
        <v>#DIV/0!</v>
      </c>
      <c r="D28" s="63" t="s">
        <v>139</v>
      </c>
      <c r="E28" s="61"/>
      <c r="F28" s="15"/>
      <c r="G28" s="15"/>
      <c r="H28" s="15"/>
    </row>
    <row r="29">
      <c r="A29" s="15"/>
      <c r="B29" s="261">
        <f>+'Planilha de Rentabilidade'!X46+'Planilha de Rentabilidade'!Y46</f>
        <v>0</v>
      </c>
      <c r="C29" s="55" t="str">
        <f t="shared" si="4"/>
        <v>#DIV/0!</v>
      </c>
      <c r="D29" s="63" t="s">
        <v>140</v>
      </c>
      <c r="E29" s="61"/>
      <c r="F29" s="15"/>
      <c r="G29" s="15"/>
      <c r="H29" s="15"/>
    </row>
    <row r="30">
      <c r="A30" s="15"/>
      <c r="B30" s="261">
        <f>+'Planilha de Rentabilidade'!T46+'Planilha de Rentabilidade'!AG46</f>
        <v>0</v>
      </c>
      <c r="C30" s="55" t="str">
        <f t="shared" si="4"/>
        <v>#DIV/0!</v>
      </c>
      <c r="D30" s="63" t="s">
        <v>69</v>
      </c>
      <c r="E30" s="61"/>
      <c r="F30" s="15"/>
      <c r="G30" s="15"/>
      <c r="H30" s="15"/>
    </row>
    <row r="31">
      <c r="A31" s="15"/>
      <c r="B31" s="261">
        <f>+'Planilha de Rentabilidade'!AH46+'Planilha de Rentabilidade'!N46</f>
        <v>0</v>
      </c>
      <c r="C31" s="55" t="str">
        <f t="shared" si="4"/>
        <v>#DIV/0!</v>
      </c>
      <c r="D31" s="63" t="s">
        <v>70</v>
      </c>
      <c r="E31" s="61"/>
      <c r="F31" s="15"/>
      <c r="G31" s="15"/>
      <c r="H31" s="15"/>
    </row>
    <row r="32">
      <c r="A32" s="15"/>
      <c r="B32" s="261">
        <v>0.0</v>
      </c>
      <c r="C32" s="55" t="str">
        <f t="shared" si="4"/>
        <v>#DIV/0!</v>
      </c>
      <c r="D32" s="63" t="s">
        <v>141</v>
      </c>
      <c r="E32" s="61"/>
      <c r="F32" s="15"/>
      <c r="G32" s="15"/>
      <c r="H32" s="15"/>
    </row>
    <row r="33">
      <c r="A33" s="15"/>
      <c r="B33" s="66">
        <f>SUM(B20:B32)</f>
        <v>0</v>
      </c>
      <c r="C33" s="67" t="str">
        <f t="shared" si="4"/>
        <v>#DIV/0!</v>
      </c>
      <c r="D33" s="68"/>
      <c r="E33" s="69"/>
      <c r="F33" s="15"/>
      <c r="G33" s="15"/>
      <c r="H33" s="15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4" max="4" width="13.0"/>
    <col customWidth="1" min="5" max="5" width="14.78"/>
    <col customWidth="1" min="8" max="8" width="16.11"/>
    <col customWidth="1" min="13" max="13" width="12.89"/>
  </cols>
  <sheetData>
    <row r="2">
      <c r="B2" s="37" t="s">
        <v>160</v>
      </c>
      <c r="C2" s="38"/>
      <c r="D2" s="38"/>
      <c r="E2" s="39"/>
      <c r="L2" s="40"/>
      <c r="M2" s="40" t="s">
        <v>40</v>
      </c>
      <c r="N2" s="40"/>
    </row>
    <row r="3">
      <c r="B3" s="41"/>
      <c r="C3" s="15"/>
      <c r="D3" s="15"/>
      <c r="E3" s="42" t="str">
        <f>+SUM(E4:E12)</f>
        <v>#DIV/0!</v>
      </c>
      <c r="F3" s="15"/>
      <c r="G3" s="15"/>
      <c r="H3" s="15"/>
      <c r="L3" s="43"/>
      <c r="M3" s="43"/>
      <c r="N3" s="43"/>
    </row>
    <row r="4">
      <c r="B4" s="267" t="s">
        <v>41</v>
      </c>
      <c r="C4" s="15"/>
      <c r="D4" s="249">
        <f>+'Planilha de Rentabilidade'!E54</f>
        <v>0</v>
      </c>
      <c r="E4" s="42" t="str">
        <f t="shared" ref="E4:E14" si="1">D4/$E$15</f>
        <v>#DIV/0!</v>
      </c>
      <c r="F4" s="15"/>
      <c r="G4" s="15"/>
      <c r="H4" s="15"/>
      <c r="L4" s="43" t="s">
        <v>42</v>
      </c>
      <c r="M4" s="46">
        <f>+D5+D6</f>
        <v>0</v>
      </c>
      <c r="N4" s="47" t="str">
        <f t="shared" ref="N4:N14" si="2">M4/$M$15</f>
        <v>#DIV/0!</v>
      </c>
    </row>
    <row r="5">
      <c r="B5" s="267" t="s">
        <v>161</v>
      </c>
      <c r="C5" s="15"/>
      <c r="D5" s="249">
        <f>+'Planilha de Rentabilidade'!Q54</f>
        <v>0</v>
      </c>
      <c r="E5" s="42" t="str">
        <f t="shared" si="1"/>
        <v>#DIV/0!</v>
      </c>
      <c r="F5" s="15"/>
      <c r="G5" s="15"/>
      <c r="H5" s="15"/>
      <c r="L5" s="43"/>
      <c r="M5" s="43"/>
      <c r="N5" s="47" t="str">
        <f t="shared" si="2"/>
        <v>#DIV/0!</v>
      </c>
    </row>
    <row r="6">
      <c r="B6" s="267" t="s">
        <v>133</v>
      </c>
      <c r="C6" s="15"/>
      <c r="D6" s="249">
        <f>+'Planilha de Rentabilidade'!P54</f>
        <v>0</v>
      </c>
      <c r="E6" s="42" t="str">
        <f t="shared" si="1"/>
        <v>#DIV/0!</v>
      </c>
      <c r="F6" s="15"/>
      <c r="G6" s="15"/>
      <c r="H6" s="15"/>
      <c r="L6" s="43"/>
      <c r="M6" s="46"/>
      <c r="N6" s="47" t="str">
        <f t="shared" si="2"/>
        <v>#DIV/0!</v>
      </c>
    </row>
    <row r="7">
      <c r="B7" s="267" t="s">
        <v>45</v>
      </c>
      <c r="C7" s="15"/>
      <c r="D7" s="249">
        <v>0.0</v>
      </c>
      <c r="E7" s="42" t="str">
        <f t="shared" si="1"/>
        <v>#DIV/0!</v>
      </c>
      <c r="F7" s="15"/>
      <c r="G7" s="15"/>
      <c r="H7" s="15"/>
      <c r="L7" s="43" t="s">
        <v>162</v>
      </c>
      <c r="M7" s="46">
        <f>+D12</f>
        <v>0</v>
      </c>
      <c r="N7" s="47" t="str">
        <f t="shared" si="2"/>
        <v>#DIV/0!</v>
      </c>
    </row>
    <row r="8">
      <c r="B8" s="267" t="s">
        <v>163</v>
      </c>
      <c r="C8" s="15"/>
      <c r="D8" s="249">
        <f>+'Planilha de Rentabilidade'!C54+'Planilha de Rentabilidade'!D54+'Planilha de Rentabilidade'!F54</f>
        <v>0</v>
      </c>
      <c r="E8" s="42" t="str">
        <f t="shared" si="1"/>
        <v>#DIV/0!</v>
      </c>
      <c r="F8" s="15"/>
      <c r="G8" s="15"/>
      <c r="H8" s="15"/>
      <c r="L8" s="43" t="s">
        <v>48</v>
      </c>
      <c r="M8" s="46">
        <f>+D8+D13</f>
        <v>0</v>
      </c>
      <c r="N8" s="47" t="str">
        <f t="shared" si="2"/>
        <v>#DIV/0!</v>
      </c>
    </row>
    <row r="9">
      <c r="B9" s="267" t="s">
        <v>49</v>
      </c>
      <c r="C9" s="15"/>
      <c r="D9" s="249">
        <f>+'Planilha de Rentabilidade'!L54</f>
        <v>0</v>
      </c>
      <c r="E9" s="42" t="str">
        <f t="shared" si="1"/>
        <v>#DIV/0!</v>
      </c>
      <c r="F9" s="15"/>
      <c r="G9" s="15"/>
      <c r="H9" s="15"/>
      <c r="L9" s="43" t="s">
        <v>134</v>
      </c>
      <c r="M9" s="46">
        <f>+D9+D10</f>
        <v>0</v>
      </c>
      <c r="N9" s="47" t="str">
        <f t="shared" si="2"/>
        <v>#DIV/0!</v>
      </c>
    </row>
    <row r="10">
      <c r="B10" s="267" t="s">
        <v>135</v>
      </c>
      <c r="C10" s="15"/>
      <c r="D10" s="249">
        <f>+'Planilha de Rentabilidade'!M54</f>
        <v>0</v>
      </c>
      <c r="E10" s="42" t="str">
        <f t="shared" si="1"/>
        <v>#DIV/0!</v>
      </c>
      <c r="F10" s="15"/>
      <c r="G10" s="15"/>
      <c r="H10" s="15"/>
      <c r="L10" s="43"/>
      <c r="M10" s="46">
        <v>0.0</v>
      </c>
      <c r="N10" s="47" t="str">
        <f t="shared" si="2"/>
        <v>#DIV/0!</v>
      </c>
    </row>
    <row r="11">
      <c r="B11" s="267" t="s">
        <v>46</v>
      </c>
      <c r="C11" s="15"/>
      <c r="D11" s="249">
        <v>0.0</v>
      </c>
      <c r="E11" s="42" t="str">
        <f t="shared" si="1"/>
        <v>#DIV/0!</v>
      </c>
      <c r="F11" s="15"/>
      <c r="G11" s="15"/>
      <c r="H11" s="15"/>
      <c r="L11" s="43"/>
      <c r="M11" s="43"/>
      <c r="N11" s="47" t="str">
        <f t="shared" si="2"/>
        <v>#DIV/0!</v>
      </c>
    </row>
    <row r="12">
      <c r="B12" s="267" t="s">
        <v>52</v>
      </c>
      <c r="C12" s="15"/>
      <c r="D12" s="249">
        <f>+'Planilha de Rentabilidade'!G54+'Planilha de Rentabilidade'!I54+'Planilha de Rentabilidade'!J54</f>
        <v>0</v>
      </c>
      <c r="E12" s="42" t="str">
        <f t="shared" si="1"/>
        <v>#DIV/0!</v>
      </c>
      <c r="F12" s="15"/>
      <c r="G12" s="15"/>
      <c r="H12" s="15"/>
      <c r="L12" s="43" t="s">
        <v>41</v>
      </c>
      <c r="M12" s="46">
        <f>+D4</f>
        <v>0</v>
      </c>
      <c r="N12" s="47" t="str">
        <f t="shared" si="2"/>
        <v>#DIV/0!</v>
      </c>
    </row>
    <row r="13">
      <c r="B13" s="267" t="s">
        <v>53</v>
      </c>
      <c r="C13" s="15"/>
      <c r="D13" s="254">
        <f>+'Planilha de Rentabilidade'!H54+'Planilha de Rentabilidade'!K54+'Planilha de Rentabilidade'!S54+'Planilha de Rentabilidade'!V54</f>
        <v>0</v>
      </c>
      <c r="E13" s="42" t="str">
        <f t="shared" si="1"/>
        <v>#DIV/0!</v>
      </c>
      <c r="F13" s="15"/>
      <c r="G13" s="15"/>
      <c r="H13" s="15"/>
      <c r="L13" s="43"/>
      <c r="M13" s="43"/>
      <c r="N13" s="47" t="str">
        <f t="shared" si="2"/>
        <v>#DIV/0!</v>
      </c>
    </row>
    <row r="14">
      <c r="B14" s="267" t="s">
        <v>54</v>
      </c>
      <c r="C14" s="15"/>
      <c r="D14" s="249">
        <f>B33</f>
        <v>0</v>
      </c>
      <c r="E14" s="42" t="str">
        <f t="shared" si="1"/>
        <v>#DIV/0!</v>
      </c>
      <c r="F14" s="15"/>
      <c r="G14" s="15"/>
      <c r="H14" s="15"/>
      <c r="L14" s="43" t="s">
        <v>146</v>
      </c>
      <c r="M14" s="46">
        <f>D14</f>
        <v>0</v>
      </c>
      <c r="N14" s="47" t="str">
        <f t="shared" si="2"/>
        <v>#DIV/0!</v>
      </c>
    </row>
    <row r="15">
      <c r="B15" s="49"/>
      <c r="C15" s="50" t="s">
        <v>56</v>
      </c>
      <c r="D15" s="50"/>
      <c r="E15" s="51">
        <f>SUM(D4:D14)</f>
        <v>0</v>
      </c>
      <c r="F15" s="15"/>
      <c r="G15" s="15"/>
      <c r="H15" s="15"/>
      <c r="L15" s="273"/>
      <c r="M15" s="274">
        <f t="shared" ref="M15:N15" si="3">SUM(M4:M14)</f>
        <v>0</v>
      </c>
      <c r="N15" s="271" t="str">
        <f t="shared" si="3"/>
        <v>#DIV/0!</v>
      </c>
    </row>
    <row r="16">
      <c r="C16" s="55"/>
      <c r="D16" s="15"/>
      <c r="E16" s="15"/>
      <c r="F16" s="15"/>
      <c r="G16" s="15"/>
      <c r="H16" s="15"/>
    </row>
    <row r="17">
      <c r="C17" s="55"/>
      <c r="D17" s="15"/>
      <c r="E17" s="15"/>
      <c r="F17" s="15"/>
      <c r="G17" s="15"/>
      <c r="H17" s="15"/>
    </row>
    <row r="18">
      <c r="B18" s="37" t="s">
        <v>164</v>
      </c>
      <c r="C18" s="56"/>
      <c r="D18" s="57"/>
      <c r="E18" s="58"/>
      <c r="F18" s="15"/>
      <c r="G18" s="15"/>
      <c r="H18" s="15"/>
    </row>
    <row r="19">
      <c r="B19" s="59"/>
      <c r="C19" s="60" t="s">
        <v>58</v>
      </c>
      <c r="D19" s="15"/>
      <c r="E19" s="61"/>
      <c r="F19" s="15"/>
      <c r="G19" s="15"/>
      <c r="H19" s="15"/>
    </row>
    <row r="20">
      <c r="B20" s="260">
        <f>+'Planilha de Rentabilidade'!Z54+'Planilha de Rentabilidade'!W54</f>
        <v>0</v>
      </c>
      <c r="C20" s="55" t="str">
        <f t="shared" ref="C20:C33" si="4">B20/$B$33</f>
        <v>#DIV/0!</v>
      </c>
      <c r="D20" s="62" t="s">
        <v>59</v>
      </c>
      <c r="E20" s="61"/>
      <c r="F20" s="15"/>
      <c r="G20" s="15"/>
      <c r="H20" s="15"/>
    </row>
    <row r="21">
      <c r="B21" s="261">
        <f>+'Planilha de Rentabilidade'!O54</f>
        <v>0</v>
      </c>
      <c r="C21" s="55" t="str">
        <f t="shared" si="4"/>
        <v>#DIV/0!</v>
      </c>
      <c r="D21" s="63" t="s">
        <v>60</v>
      </c>
      <c r="E21" s="61"/>
      <c r="F21" s="15"/>
      <c r="G21" s="15"/>
      <c r="H21" s="15"/>
    </row>
    <row r="22">
      <c r="A22" s="15" t="s">
        <v>148</v>
      </c>
      <c r="B22" s="261">
        <f>+'Planilha de Rentabilidade'!U54+'Planilha de Rentabilidade'!AB54+'Planilha de Rentabilidade'!AF54</f>
        <v>0</v>
      </c>
      <c r="C22" s="55" t="str">
        <f t="shared" si="4"/>
        <v>#DIV/0!</v>
      </c>
      <c r="D22" s="63" t="s">
        <v>61</v>
      </c>
      <c r="E22" s="61"/>
      <c r="F22" s="15"/>
      <c r="G22" s="15"/>
      <c r="H22" s="15"/>
    </row>
    <row r="23">
      <c r="A23" s="15" t="s">
        <v>149</v>
      </c>
      <c r="B23" s="261">
        <v>0.0</v>
      </c>
      <c r="C23" s="55" t="str">
        <f t="shared" si="4"/>
        <v>#DIV/0!</v>
      </c>
      <c r="D23" s="63" t="s">
        <v>137</v>
      </c>
      <c r="E23" s="61"/>
      <c r="F23" s="15"/>
      <c r="G23" s="15"/>
      <c r="H23" s="15"/>
    </row>
    <row r="24">
      <c r="A24" s="15" t="s">
        <v>150</v>
      </c>
      <c r="B24" s="261">
        <v>0.0</v>
      </c>
      <c r="C24" s="55" t="str">
        <f t="shared" si="4"/>
        <v>#DIV/0!</v>
      </c>
      <c r="D24" s="63" t="s">
        <v>63</v>
      </c>
      <c r="E24" s="65"/>
      <c r="F24" s="15"/>
      <c r="G24" s="15"/>
      <c r="H24" s="15"/>
    </row>
    <row r="25">
      <c r="A25" s="15" t="s">
        <v>151</v>
      </c>
      <c r="B25" s="261">
        <f>'Planilha de Rentabilidade'!AE54+'Planilha de Rentabilidade'!AD54</f>
        <v>0</v>
      </c>
      <c r="C25" s="55" t="str">
        <f t="shared" si="4"/>
        <v>#DIV/0!</v>
      </c>
      <c r="D25" s="63" t="s">
        <v>152</v>
      </c>
      <c r="E25" s="61"/>
      <c r="F25" s="15"/>
      <c r="G25" s="15"/>
      <c r="H25" s="15"/>
    </row>
    <row r="26">
      <c r="A26" s="15" t="s">
        <v>153</v>
      </c>
      <c r="B26" s="261">
        <f>'Planilha de Rentabilidade'!R54</f>
        <v>0</v>
      </c>
      <c r="C26" s="55" t="str">
        <f t="shared" si="4"/>
        <v>#DIV/0!</v>
      </c>
      <c r="D26" s="63" t="s">
        <v>65</v>
      </c>
      <c r="E26" s="61"/>
      <c r="F26" s="15"/>
      <c r="G26" s="15"/>
      <c r="H26" s="15"/>
    </row>
    <row r="27">
      <c r="A27" s="15" t="s">
        <v>154</v>
      </c>
      <c r="B27" s="261">
        <v>0.0</v>
      </c>
      <c r="C27" s="55" t="str">
        <f t="shared" si="4"/>
        <v>#DIV/0!</v>
      </c>
      <c r="D27" s="63" t="s">
        <v>66</v>
      </c>
      <c r="E27" s="61"/>
      <c r="F27" s="15"/>
      <c r="G27" s="15"/>
      <c r="H27" s="15"/>
    </row>
    <row r="28">
      <c r="A28" s="15" t="s">
        <v>155</v>
      </c>
      <c r="B28" s="261">
        <v>0.0</v>
      </c>
      <c r="C28" s="55" t="str">
        <f t="shared" si="4"/>
        <v>#DIV/0!</v>
      </c>
      <c r="D28" s="63" t="s">
        <v>139</v>
      </c>
      <c r="E28" s="61"/>
      <c r="F28" s="15"/>
      <c r="G28" s="15"/>
      <c r="H28" s="15"/>
    </row>
    <row r="29">
      <c r="A29" s="15" t="s">
        <v>156</v>
      </c>
      <c r="B29" s="261">
        <f>+'Planilha de Rentabilidade'!X54+'Planilha de Rentabilidade'!Y54</f>
        <v>0</v>
      </c>
      <c r="C29" s="55" t="str">
        <f t="shared" si="4"/>
        <v>#DIV/0!</v>
      </c>
      <c r="D29" s="63" t="s">
        <v>140</v>
      </c>
      <c r="E29" s="61"/>
      <c r="F29" s="15"/>
      <c r="G29" s="15"/>
      <c r="H29" s="15"/>
    </row>
    <row r="30">
      <c r="A30" s="15" t="s">
        <v>157</v>
      </c>
      <c r="B30" s="261">
        <f>+'Planilha de Rentabilidade'!T54+'Planilha de Rentabilidade'!AG54</f>
        <v>0</v>
      </c>
      <c r="C30" s="55" t="str">
        <f t="shared" si="4"/>
        <v>#DIV/0!</v>
      </c>
      <c r="D30" s="63" t="s">
        <v>69</v>
      </c>
      <c r="E30" s="61"/>
      <c r="F30" s="15"/>
      <c r="G30" s="15"/>
      <c r="H30" s="15"/>
    </row>
    <row r="31">
      <c r="A31" s="15"/>
      <c r="B31" s="261">
        <f>+'Planilha de Rentabilidade'!AH54+'Planilha de Rentabilidade'!N54</f>
        <v>0</v>
      </c>
      <c r="C31" s="55" t="str">
        <f t="shared" si="4"/>
        <v>#DIV/0!</v>
      </c>
      <c r="D31" s="63" t="s">
        <v>70</v>
      </c>
      <c r="E31" s="61"/>
      <c r="F31" s="15"/>
      <c r="G31" s="15"/>
      <c r="H31" s="15"/>
    </row>
    <row r="32">
      <c r="A32" s="15"/>
      <c r="B32" s="261">
        <v>0.0</v>
      </c>
      <c r="C32" s="55" t="str">
        <f t="shared" si="4"/>
        <v>#DIV/0!</v>
      </c>
      <c r="D32" s="63" t="s">
        <v>141</v>
      </c>
      <c r="E32" s="61"/>
      <c r="F32" s="15"/>
      <c r="G32" s="15"/>
      <c r="H32" s="15"/>
    </row>
    <row r="33">
      <c r="A33" s="15"/>
      <c r="B33" s="66">
        <f>SUM(B20:B32)</f>
        <v>0</v>
      </c>
      <c r="C33" s="67" t="str">
        <f t="shared" si="4"/>
        <v>#DIV/0!</v>
      </c>
      <c r="D33" s="68"/>
      <c r="E33" s="69"/>
      <c r="F33" s="15"/>
      <c r="G33" s="15"/>
      <c r="H33" s="15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4" max="4" width="12.56"/>
    <col customWidth="1" min="13" max="13" width="12.56"/>
  </cols>
  <sheetData>
    <row r="2">
      <c r="B2" s="37" t="s">
        <v>165</v>
      </c>
      <c r="C2" s="38"/>
      <c r="D2" s="38"/>
      <c r="E2" s="39"/>
      <c r="L2" s="275">
        <v>45505.0</v>
      </c>
      <c r="M2" s="40" t="s">
        <v>40</v>
      </c>
      <c r="N2" s="40"/>
    </row>
    <row r="3">
      <c r="B3" s="41"/>
      <c r="C3" s="15"/>
      <c r="D3" s="15"/>
      <c r="E3" s="42" t="str">
        <f>+SUM(E4:E14)</f>
        <v>#DIV/0!</v>
      </c>
      <c r="F3" s="15"/>
      <c r="G3" s="15"/>
      <c r="H3" s="15"/>
      <c r="L3" s="43"/>
      <c r="M3" s="43"/>
      <c r="N3" s="43"/>
    </row>
    <row r="4">
      <c r="B4" s="267" t="s">
        <v>41</v>
      </c>
      <c r="C4" s="15"/>
      <c r="D4" s="249">
        <f>+'Planilha de Rentabilidade'!E62</f>
        <v>0</v>
      </c>
      <c r="E4" s="42" t="str">
        <f t="shared" ref="E4:E14" si="1">D4/$E$15</f>
        <v>#DIV/0!</v>
      </c>
      <c r="F4" s="15"/>
      <c r="G4" s="15"/>
      <c r="H4" s="15"/>
      <c r="L4" s="43" t="s">
        <v>42</v>
      </c>
      <c r="M4" s="46">
        <f>+D5+D6</f>
        <v>0</v>
      </c>
      <c r="N4" s="47" t="str">
        <f t="shared" ref="N4:N14" si="2">M4/$M$15</f>
        <v>#DIV/0!</v>
      </c>
    </row>
    <row r="5">
      <c r="B5" s="267" t="s">
        <v>161</v>
      </c>
      <c r="C5" s="15"/>
      <c r="D5" s="249">
        <f>+'Planilha de Rentabilidade'!Q62</f>
        <v>0</v>
      </c>
      <c r="E5" s="42" t="str">
        <f t="shared" si="1"/>
        <v>#DIV/0!</v>
      </c>
      <c r="F5" s="15"/>
      <c r="G5" s="15"/>
      <c r="H5" s="15"/>
      <c r="L5" s="43"/>
      <c r="M5" s="43"/>
      <c r="N5" s="47" t="str">
        <f t="shared" si="2"/>
        <v>#DIV/0!</v>
      </c>
    </row>
    <row r="6">
      <c r="B6" s="267" t="s">
        <v>133</v>
      </c>
      <c r="C6" s="15"/>
      <c r="D6" s="249">
        <f>+'Planilha de Rentabilidade'!P62</f>
        <v>0</v>
      </c>
      <c r="E6" s="42" t="str">
        <f t="shared" si="1"/>
        <v>#DIV/0!</v>
      </c>
      <c r="F6" s="15"/>
      <c r="G6" s="15"/>
      <c r="H6" s="15"/>
      <c r="L6" s="43"/>
      <c r="M6" s="46"/>
      <c r="N6" s="47" t="str">
        <f t="shared" si="2"/>
        <v>#DIV/0!</v>
      </c>
    </row>
    <row r="7">
      <c r="B7" s="267" t="s">
        <v>45</v>
      </c>
      <c r="C7" s="15"/>
      <c r="D7" s="249">
        <v>0.0</v>
      </c>
      <c r="E7" s="42" t="str">
        <f t="shared" si="1"/>
        <v>#DIV/0!</v>
      </c>
      <c r="F7" s="15"/>
      <c r="G7" s="15"/>
      <c r="H7" s="15"/>
      <c r="L7" s="43" t="s">
        <v>162</v>
      </c>
      <c r="M7" s="46">
        <f>+D12</f>
        <v>0</v>
      </c>
      <c r="N7" s="47" t="str">
        <f t="shared" si="2"/>
        <v>#DIV/0!</v>
      </c>
    </row>
    <row r="8">
      <c r="B8" s="267" t="s">
        <v>163</v>
      </c>
      <c r="C8" s="15"/>
      <c r="D8" s="249">
        <f>+'Planilha de Rentabilidade'!C62+'Planilha de Rentabilidade'!D62+'Planilha de Rentabilidade'!F62</f>
        <v>0</v>
      </c>
      <c r="E8" s="42" t="str">
        <f t="shared" si="1"/>
        <v>#DIV/0!</v>
      </c>
      <c r="F8" s="15"/>
      <c r="G8" s="15"/>
      <c r="H8" s="15"/>
      <c r="L8" s="43" t="s">
        <v>48</v>
      </c>
      <c r="M8" s="46">
        <f>+D8+D13</f>
        <v>0</v>
      </c>
      <c r="N8" s="47" t="str">
        <f t="shared" si="2"/>
        <v>#DIV/0!</v>
      </c>
    </row>
    <row r="9">
      <c r="B9" s="267" t="s">
        <v>49</v>
      </c>
      <c r="C9" s="15"/>
      <c r="D9" s="249">
        <f>+'Planilha de Rentabilidade'!L62</f>
        <v>0</v>
      </c>
      <c r="E9" s="42" t="str">
        <f t="shared" si="1"/>
        <v>#DIV/0!</v>
      </c>
      <c r="F9" s="15"/>
      <c r="G9" s="15"/>
      <c r="H9" s="15"/>
      <c r="L9" s="43" t="s">
        <v>134</v>
      </c>
      <c r="M9" s="46">
        <f>+D9+D10</f>
        <v>0</v>
      </c>
      <c r="N9" s="47" t="str">
        <f t="shared" si="2"/>
        <v>#DIV/0!</v>
      </c>
    </row>
    <row r="10">
      <c r="B10" s="267" t="s">
        <v>135</v>
      </c>
      <c r="C10" s="15"/>
      <c r="D10" s="249">
        <f>+'Planilha de Rentabilidade'!M62</f>
        <v>0</v>
      </c>
      <c r="E10" s="42" t="str">
        <f t="shared" si="1"/>
        <v>#DIV/0!</v>
      </c>
      <c r="F10" s="15"/>
      <c r="G10" s="15"/>
      <c r="H10" s="15"/>
      <c r="L10" s="43"/>
      <c r="M10" s="46">
        <v>0.0</v>
      </c>
      <c r="N10" s="47" t="str">
        <f t="shared" si="2"/>
        <v>#DIV/0!</v>
      </c>
    </row>
    <row r="11">
      <c r="B11" s="267" t="s">
        <v>46</v>
      </c>
      <c r="C11" s="15"/>
      <c r="D11" s="249">
        <v>0.0</v>
      </c>
      <c r="E11" s="42" t="str">
        <f t="shared" si="1"/>
        <v>#DIV/0!</v>
      </c>
      <c r="F11" s="15"/>
      <c r="G11" s="15"/>
      <c r="H11" s="15"/>
      <c r="L11" s="43"/>
      <c r="M11" s="43"/>
      <c r="N11" s="47" t="str">
        <f t="shared" si="2"/>
        <v>#DIV/0!</v>
      </c>
    </row>
    <row r="12">
      <c r="B12" s="267" t="s">
        <v>52</v>
      </c>
      <c r="C12" s="15"/>
      <c r="D12" s="249">
        <f>+'Planilha de Rentabilidade'!G62+'Planilha de Rentabilidade'!I62+'Planilha de Rentabilidade'!J62</f>
        <v>0</v>
      </c>
      <c r="E12" s="42" t="str">
        <f t="shared" si="1"/>
        <v>#DIV/0!</v>
      </c>
      <c r="F12" s="15"/>
      <c r="G12" s="15"/>
      <c r="H12" s="15"/>
      <c r="L12" s="43" t="s">
        <v>41</v>
      </c>
      <c r="M12" s="46">
        <f>+D4</f>
        <v>0</v>
      </c>
      <c r="N12" s="47" t="str">
        <f t="shared" si="2"/>
        <v>#DIV/0!</v>
      </c>
    </row>
    <row r="13">
      <c r="B13" s="267" t="s">
        <v>53</v>
      </c>
      <c r="C13" s="15"/>
      <c r="D13" s="254">
        <f>+'Planilha de Rentabilidade'!H62+'Planilha de Rentabilidade'!K62+'Planilha de Rentabilidade'!S62+'Planilha de Rentabilidade'!V62</f>
        <v>0</v>
      </c>
      <c r="E13" s="42" t="str">
        <f t="shared" si="1"/>
        <v>#DIV/0!</v>
      </c>
      <c r="F13" s="15"/>
      <c r="G13" s="15"/>
      <c r="H13" s="15"/>
      <c r="L13" s="43"/>
      <c r="M13" s="43"/>
      <c r="N13" s="47" t="str">
        <f t="shared" si="2"/>
        <v>#DIV/0!</v>
      </c>
    </row>
    <row r="14">
      <c r="B14" s="267" t="s">
        <v>54</v>
      </c>
      <c r="C14" s="15"/>
      <c r="D14" s="249">
        <f>B33</f>
        <v>0</v>
      </c>
      <c r="E14" s="42" t="str">
        <f t="shared" si="1"/>
        <v>#DIV/0!</v>
      </c>
      <c r="F14" s="15"/>
      <c r="G14" s="15"/>
      <c r="H14" s="15"/>
      <c r="L14" s="43" t="s">
        <v>146</v>
      </c>
      <c r="M14" s="46">
        <f>D14</f>
        <v>0</v>
      </c>
      <c r="N14" s="47" t="str">
        <f t="shared" si="2"/>
        <v>#DIV/0!</v>
      </c>
    </row>
    <row r="15">
      <c r="B15" s="49"/>
      <c r="C15" s="50" t="s">
        <v>56</v>
      </c>
      <c r="D15" s="50"/>
      <c r="E15" s="259">
        <f>SUM(D4:D14)</f>
        <v>0</v>
      </c>
      <c r="F15" s="15"/>
      <c r="G15" s="15"/>
      <c r="H15" s="15"/>
      <c r="L15" s="52"/>
      <c r="M15" s="272">
        <f t="shared" ref="M15:N15" si="3">SUM(M4:M14)</f>
        <v>0</v>
      </c>
      <c r="N15" s="271" t="str">
        <f t="shared" si="3"/>
        <v>#DIV/0!</v>
      </c>
    </row>
    <row r="16">
      <c r="C16" s="55"/>
      <c r="D16" s="15"/>
      <c r="E16" s="15"/>
      <c r="F16" s="15"/>
      <c r="G16" s="15"/>
      <c r="H16" s="15"/>
    </row>
    <row r="17">
      <c r="C17" s="55"/>
      <c r="D17" s="15"/>
      <c r="E17" s="15"/>
      <c r="F17" s="15"/>
      <c r="G17" s="15"/>
      <c r="H17" s="15"/>
    </row>
    <row r="18">
      <c r="B18" s="276" t="s">
        <v>166</v>
      </c>
      <c r="C18" s="56"/>
      <c r="D18" s="57"/>
      <c r="E18" s="58"/>
      <c r="F18" s="15"/>
      <c r="G18" s="15"/>
      <c r="H18" s="15"/>
    </row>
    <row r="19">
      <c r="B19" s="59"/>
      <c r="C19" s="60" t="s">
        <v>58</v>
      </c>
      <c r="D19" s="15"/>
      <c r="E19" s="61"/>
      <c r="F19" s="15"/>
      <c r="G19" s="15"/>
      <c r="H19" s="15"/>
    </row>
    <row r="20">
      <c r="B20" s="260">
        <f>+'Planilha de Rentabilidade'!Z62+'Planilha de Rentabilidade'!W62</f>
        <v>0</v>
      </c>
      <c r="C20" s="55" t="str">
        <f t="shared" ref="C20:C33" si="4">B20/$B$33</f>
        <v>#DIV/0!</v>
      </c>
      <c r="D20" s="62" t="s">
        <v>59</v>
      </c>
      <c r="E20" s="61"/>
      <c r="F20" s="15"/>
      <c r="G20" s="15"/>
      <c r="H20" s="15"/>
    </row>
    <row r="21">
      <c r="B21" s="261">
        <f>+'Planilha de Rentabilidade'!O62</f>
        <v>0</v>
      </c>
      <c r="C21" s="55" t="str">
        <f t="shared" si="4"/>
        <v>#DIV/0!</v>
      </c>
      <c r="D21" s="63" t="s">
        <v>60</v>
      </c>
      <c r="E21" s="61"/>
      <c r="F21" s="15"/>
      <c r="G21" s="15"/>
      <c r="H21" s="15"/>
    </row>
    <row r="22">
      <c r="B22" s="261">
        <f>+'Planilha de Rentabilidade'!U62+'Planilha de Rentabilidade'!AF62</f>
        <v>0</v>
      </c>
      <c r="C22" s="55" t="str">
        <f t="shared" si="4"/>
        <v>#DIV/0!</v>
      </c>
      <c r="D22" s="63" t="s">
        <v>61</v>
      </c>
      <c r="E22" s="61"/>
      <c r="F22" s="15"/>
      <c r="G22" s="15"/>
      <c r="H22" s="15"/>
    </row>
    <row r="23">
      <c r="B23" s="261">
        <v>0.0</v>
      </c>
      <c r="C23" s="55" t="str">
        <f t="shared" si="4"/>
        <v>#DIV/0!</v>
      </c>
      <c r="D23" s="63" t="s">
        <v>137</v>
      </c>
      <c r="E23" s="61"/>
      <c r="F23" s="15"/>
      <c r="G23" s="15"/>
      <c r="H23" s="15"/>
    </row>
    <row r="24">
      <c r="B24" s="261">
        <f>+'Planilha de Rentabilidade'!AA62</f>
        <v>0</v>
      </c>
      <c r="C24" s="55" t="str">
        <f t="shared" si="4"/>
        <v>#DIV/0!</v>
      </c>
      <c r="D24" s="63" t="s">
        <v>63</v>
      </c>
      <c r="E24" s="65"/>
      <c r="F24" s="15"/>
      <c r="G24" s="15"/>
      <c r="H24" s="15"/>
    </row>
    <row r="25">
      <c r="B25" s="261">
        <v>0.0</v>
      </c>
      <c r="C25" s="55" t="str">
        <f t="shared" si="4"/>
        <v>#DIV/0!</v>
      </c>
      <c r="D25" s="63" t="s">
        <v>152</v>
      </c>
      <c r="E25" s="61"/>
      <c r="F25" s="15"/>
      <c r="G25" s="15"/>
      <c r="H25" s="15"/>
    </row>
    <row r="26">
      <c r="B26" s="261">
        <v>0.0</v>
      </c>
      <c r="C26" s="55" t="str">
        <f t="shared" si="4"/>
        <v>#DIV/0!</v>
      </c>
      <c r="D26" s="63" t="s">
        <v>65</v>
      </c>
      <c r="E26" s="61"/>
      <c r="F26" s="15"/>
      <c r="G26" s="15"/>
      <c r="H26" s="15"/>
    </row>
    <row r="27">
      <c r="B27" s="261">
        <v>0.0</v>
      </c>
      <c r="C27" s="55" t="str">
        <f t="shared" si="4"/>
        <v>#DIV/0!</v>
      </c>
      <c r="D27" s="63" t="s">
        <v>66</v>
      </c>
      <c r="E27" s="61"/>
      <c r="F27" s="15"/>
      <c r="G27" s="15"/>
      <c r="H27" s="15"/>
    </row>
    <row r="28">
      <c r="B28" s="261">
        <v>0.0</v>
      </c>
      <c r="C28" s="55" t="str">
        <f t="shared" si="4"/>
        <v>#DIV/0!</v>
      </c>
      <c r="D28" s="63" t="s">
        <v>139</v>
      </c>
      <c r="E28" s="61"/>
      <c r="F28" s="15"/>
      <c r="G28" s="15"/>
      <c r="H28" s="15"/>
    </row>
    <row r="29">
      <c r="B29" s="261">
        <f>+'Planilha de Rentabilidade'!X62+'Planilha de Rentabilidade'!Y62</f>
        <v>0</v>
      </c>
      <c r="C29" s="55" t="str">
        <f t="shared" si="4"/>
        <v>#DIV/0!</v>
      </c>
      <c r="D29" s="63" t="s">
        <v>140</v>
      </c>
      <c r="E29" s="61"/>
      <c r="F29" s="15"/>
      <c r="G29" s="15"/>
      <c r="H29" s="15"/>
    </row>
    <row r="30">
      <c r="B30" s="261">
        <f>+'Planilha de Rentabilidade'!T62+'Planilha de Rentabilidade'!AG62</f>
        <v>0</v>
      </c>
      <c r="C30" s="55" t="str">
        <f t="shared" si="4"/>
        <v>#DIV/0!</v>
      </c>
      <c r="D30" s="63" t="s">
        <v>69</v>
      </c>
      <c r="E30" s="61"/>
      <c r="F30" s="15"/>
      <c r="G30" s="15"/>
      <c r="H30" s="15"/>
    </row>
    <row r="31">
      <c r="B31" s="261">
        <f>+'Planilha de Rentabilidade'!AH62+'Planilha de Rentabilidade'!N62</f>
        <v>0</v>
      </c>
      <c r="C31" s="55" t="str">
        <f t="shared" si="4"/>
        <v>#DIV/0!</v>
      </c>
      <c r="D31" s="63" t="s">
        <v>70</v>
      </c>
      <c r="E31" s="61"/>
      <c r="F31" s="15"/>
      <c r="G31" s="15"/>
      <c r="H31" s="15"/>
    </row>
    <row r="32">
      <c r="B32" s="261">
        <f>'Planilha de Rentabilidade'!AB62</f>
        <v>0</v>
      </c>
      <c r="C32" s="55" t="str">
        <f t="shared" si="4"/>
        <v>#DIV/0!</v>
      </c>
      <c r="D32" s="63" t="s">
        <v>71</v>
      </c>
      <c r="E32" s="61"/>
      <c r="F32" s="15"/>
      <c r="G32" s="15"/>
      <c r="H32" s="15"/>
    </row>
    <row r="33">
      <c r="B33" s="66">
        <f>SUM(B20:B32)</f>
        <v>0</v>
      </c>
      <c r="C33" s="67" t="str">
        <f t="shared" si="4"/>
        <v>#DIV/0!</v>
      </c>
      <c r="D33" s="68"/>
      <c r="E33" s="69"/>
      <c r="F33" s="15"/>
      <c r="G33" s="15"/>
      <c r="H33" s="15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2" max="2" width="12.78"/>
    <col customWidth="1" min="4" max="4" width="13.22"/>
    <col customWidth="1" min="5" max="5" width="12.67"/>
    <col customWidth="1" min="13" max="13" width="14.11"/>
  </cols>
  <sheetData>
    <row r="2">
      <c r="B2" s="37" t="s">
        <v>167</v>
      </c>
      <c r="C2" s="38"/>
      <c r="D2" s="38"/>
      <c r="E2" s="39"/>
      <c r="L2" s="40"/>
      <c r="M2" s="40" t="s">
        <v>40</v>
      </c>
      <c r="N2" s="40"/>
    </row>
    <row r="3">
      <c r="B3" s="41"/>
      <c r="C3" s="15"/>
      <c r="D3" s="15"/>
      <c r="E3" s="42" t="str">
        <f>+SUM(E4:E14)</f>
        <v>#DIV/0!</v>
      </c>
      <c r="F3" s="15"/>
      <c r="G3" s="15"/>
      <c r="H3" s="15"/>
      <c r="L3" s="43"/>
      <c r="M3" s="43"/>
      <c r="N3" s="43"/>
    </row>
    <row r="4">
      <c r="B4" s="41" t="s">
        <v>41</v>
      </c>
      <c r="C4" s="15"/>
      <c r="D4" s="249">
        <f>'Planilha de Rentabilidade'!E70</f>
        <v>0</v>
      </c>
      <c r="E4" s="42" t="str">
        <f t="shared" ref="E4:E14" si="1">D4/$E$15</f>
        <v>#DIV/0!</v>
      </c>
      <c r="F4" s="15"/>
      <c r="G4" s="15"/>
      <c r="H4" s="15"/>
      <c r="L4" s="43" t="s">
        <v>42</v>
      </c>
      <c r="M4" s="46">
        <f>SUM(D5:D7)</f>
        <v>0</v>
      </c>
      <c r="N4" s="47" t="str">
        <f t="shared" ref="N4:N14" si="2">M4/$M$15</f>
        <v>#DIV/0!</v>
      </c>
    </row>
    <row r="5">
      <c r="B5" s="41" t="s">
        <v>43</v>
      </c>
      <c r="C5" s="15"/>
      <c r="D5" s="249">
        <v>0.0</v>
      </c>
      <c r="E5" s="42" t="str">
        <f t="shared" si="1"/>
        <v>#DIV/0!</v>
      </c>
      <c r="F5" s="15"/>
      <c r="G5" s="15"/>
      <c r="H5" s="15"/>
      <c r="L5" s="43"/>
      <c r="M5" s="43">
        <v>0.0</v>
      </c>
      <c r="N5" s="47" t="str">
        <f t="shared" si="2"/>
        <v>#DIV/0!</v>
      </c>
    </row>
    <row r="6">
      <c r="B6" s="41" t="s">
        <v>44</v>
      </c>
      <c r="C6" s="15"/>
      <c r="D6" s="249">
        <f>'Planilha de Rentabilidade'!P70</f>
        <v>0</v>
      </c>
      <c r="E6" s="42" t="str">
        <f t="shared" si="1"/>
        <v>#DIV/0!</v>
      </c>
      <c r="F6" s="15"/>
      <c r="G6" s="15"/>
      <c r="H6" s="15"/>
      <c r="L6" s="43"/>
      <c r="M6" s="43">
        <v>0.0</v>
      </c>
      <c r="N6" s="47" t="str">
        <f t="shared" si="2"/>
        <v>#DIV/0!</v>
      </c>
    </row>
    <row r="7">
      <c r="B7" s="41" t="s">
        <v>45</v>
      </c>
      <c r="C7" s="15"/>
      <c r="D7" s="249">
        <v>0.0</v>
      </c>
      <c r="E7" s="42" t="str">
        <f t="shared" si="1"/>
        <v>#DIV/0!</v>
      </c>
      <c r="F7" s="15"/>
      <c r="G7" s="15"/>
      <c r="H7" s="15"/>
      <c r="L7" s="43" t="s">
        <v>46</v>
      </c>
      <c r="M7" s="46">
        <f>+D11</f>
        <v>0</v>
      </c>
      <c r="N7" s="47" t="str">
        <f t="shared" si="2"/>
        <v>#DIV/0!</v>
      </c>
    </row>
    <row r="8">
      <c r="B8" s="41" t="s">
        <v>47</v>
      </c>
      <c r="C8" s="15"/>
      <c r="D8" s="249">
        <f>'Planilha de Rentabilidade'!C70+'Planilha de Rentabilidade'!D70+'Planilha de Rentabilidade'!Q70+'Planilha de Rentabilidade'!F70</f>
        <v>0</v>
      </c>
      <c r="E8" s="42" t="str">
        <f t="shared" si="1"/>
        <v>#DIV/0!</v>
      </c>
      <c r="F8" s="15"/>
      <c r="G8" s="15"/>
      <c r="H8" s="15"/>
      <c r="L8" s="43" t="s">
        <v>48</v>
      </c>
      <c r="M8" s="46">
        <f>D8+D12+D13</f>
        <v>0</v>
      </c>
      <c r="N8" s="47" t="str">
        <f t="shared" si="2"/>
        <v>#DIV/0!</v>
      </c>
    </row>
    <row r="9">
      <c r="B9" s="41" t="s">
        <v>49</v>
      </c>
      <c r="C9" s="15"/>
      <c r="D9" s="249">
        <f>'Planilha de Rentabilidade'!L70</f>
        <v>0</v>
      </c>
      <c r="E9" s="42" t="str">
        <f t="shared" si="1"/>
        <v>#DIV/0!</v>
      </c>
      <c r="F9" s="15"/>
      <c r="G9" s="15"/>
      <c r="H9" s="15"/>
      <c r="L9" s="43" t="s">
        <v>128</v>
      </c>
      <c r="M9" s="46">
        <f>+D10</f>
        <v>0</v>
      </c>
      <c r="N9" s="47" t="str">
        <f t="shared" si="2"/>
        <v>#DIV/0!</v>
      </c>
    </row>
    <row r="10">
      <c r="B10" s="41" t="s">
        <v>135</v>
      </c>
      <c r="C10" s="15"/>
      <c r="D10" s="249">
        <f>'Planilha de Rentabilidade'!M70</f>
        <v>0</v>
      </c>
      <c r="E10" s="42" t="str">
        <f t="shared" si="1"/>
        <v>#DIV/0!</v>
      </c>
      <c r="F10" s="15"/>
      <c r="G10" s="15"/>
      <c r="H10" s="15"/>
      <c r="L10" s="43" t="s">
        <v>49</v>
      </c>
      <c r="M10" s="46">
        <f>D9</f>
        <v>0</v>
      </c>
      <c r="N10" s="47" t="str">
        <f t="shared" si="2"/>
        <v>#DIV/0!</v>
      </c>
    </row>
    <row r="11">
      <c r="B11" s="41" t="s">
        <v>46</v>
      </c>
      <c r="C11" s="15"/>
      <c r="D11" s="249">
        <v>0.0</v>
      </c>
      <c r="E11" s="42" t="str">
        <f t="shared" si="1"/>
        <v>#DIV/0!</v>
      </c>
      <c r="F11" s="15"/>
      <c r="G11" s="15"/>
      <c r="H11" s="15"/>
      <c r="L11" s="43"/>
      <c r="M11" s="43"/>
      <c r="N11" s="47" t="str">
        <f t="shared" si="2"/>
        <v>#DIV/0!</v>
      </c>
    </row>
    <row r="12">
      <c r="B12" s="41" t="s">
        <v>52</v>
      </c>
      <c r="C12" s="15"/>
      <c r="D12" s="249">
        <f>'Planilha de Rentabilidade'!G70+'Planilha de Rentabilidade'!I70+'Planilha de Rentabilidade'!J70</f>
        <v>0</v>
      </c>
      <c r="E12" s="42" t="str">
        <f t="shared" si="1"/>
        <v>#DIV/0!</v>
      </c>
      <c r="F12" s="15"/>
      <c r="G12" s="15"/>
      <c r="H12" s="15"/>
      <c r="L12" s="43" t="s">
        <v>41</v>
      </c>
      <c r="M12" s="46">
        <f>+D4</f>
        <v>0</v>
      </c>
      <c r="N12" s="47" t="str">
        <f t="shared" si="2"/>
        <v>#DIV/0!</v>
      </c>
    </row>
    <row r="13">
      <c r="B13" s="41" t="s">
        <v>168</v>
      </c>
      <c r="C13" s="15"/>
      <c r="D13" s="254">
        <f>'Planilha de Rentabilidade'!K70</f>
        <v>0</v>
      </c>
      <c r="E13" s="42" t="str">
        <f t="shared" si="1"/>
        <v>#DIV/0!</v>
      </c>
      <c r="F13" s="15"/>
      <c r="G13" s="15"/>
      <c r="H13" s="15"/>
      <c r="L13" s="43"/>
      <c r="M13" s="43"/>
      <c r="N13" s="47" t="str">
        <f t="shared" si="2"/>
        <v>#DIV/0!</v>
      </c>
    </row>
    <row r="14">
      <c r="B14" s="41" t="s">
        <v>54</v>
      </c>
      <c r="C14" s="15"/>
      <c r="D14" s="249">
        <f>B33</f>
        <v>0</v>
      </c>
      <c r="E14" s="42" t="str">
        <f t="shared" si="1"/>
        <v>#DIV/0!</v>
      </c>
      <c r="F14" s="15"/>
      <c r="G14" s="15"/>
      <c r="H14" s="15"/>
      <c r="L14" s="43" t="s">
        <v>129</v>
      </c>
      <c r="M14" s="46">
        <f>D14</f>
        <v>0</v>
      </c>
      <c r="N14" s="47" t="str">
        <f t="shared" si="2"/>
        <v>#DIV/0!</v>
      </c>
    </row>
    <row r="15">
      <c r="B15" s="49"/>
      <c r="C15" s="50" t="s">
        <v>56</v>
      </c>
      <c r="D15" s="50"/>
      <c r="E15" s="277">
        <f>SUM(D4:D14)</f>
        <v>0</v>
      </c>
      <c r="F15" s="15"/>
      <c r="G15" s="15"/>
      <c r="H15" s="15"/>
      <c r="L15" s="52"/>
      <c r="M15" s="278">
        <f t="shared" ref="M15:N15" si="3">SUM(M4:M14)</f>
        <v>0</v>
      </c>
      <c r="N15" s="271" t="str">
        <f t="shared" si="3"/>
        <v>#DIV/0!</v>
      </c>
    </row>
    <row r="16">
      <c r="C16" s="55"/>
      <c r="D16" s="15"/>
      <c r="E16" s="15"/>
      <c r="F16" s="15"/>
      <c r="G16" s="15"/>
      <c r="H16" s="15"/>
    </row>
    <row r="17">
      <c r="C17" s="55"/>
      <c r="D17" s="15"/>
      <c r="E17" s="15"/>
      <c r="F17" s="15"/>
      <c r="G17" s="15"/>
      <c r="H17" s="15"/>
    </row>
    <row r="18">
      <c r="B18" s="37" t="s">
        <v>169</v>
      </c>
      <c r="C18" s="56"/>
      <c r="D18" s="57"/>
      <c r="E18" s="58"/>
      <c r="F18" s="15"/>
      <c r="G18" s="15"/>
      <c r="H18" s="15"/>
    </row>
    <row r="19">
      <c r="B19" s="59"/>
      <c r="C19" s="60" t="s">
        <v>58</v>
      </c>
      <c r="D19" s="15"/>
      <c r="E19" s="61"/>
      <c r="F19" s="15"/>
      <c r="G19" s="15"/>
      <c r="H19" s="15"/>
    </row>
    <row r="20">
      <c r="B20" s="260">
        <f>'Planilha de Rentabilidade'!Z70+'Planilha de Rentabilidade'!AD70+'Planilha de Rentabilidade'!W70</f>
        <v>0</v>
      </c>
      <c r="C20" s="55" t="str">
        <f t="shared" ref="C20:C33" si="4">B20/$B$33</f>
        <v>#DIV/0!</v>
      </c>
      <c r="D20" s="62" t="s">
        <v>59</v>
      </c>
      <c r="E20" s="61"/>
      <c r="F20" s="15"/>
      <c r="G20" s="15"/>
      <c r="H20" s="15"/>
    </row>
    <row r="21">
      <c r="B21" s="261">
        <v>0.0</v>
      </c>
      <c r="C21" s="55" t="str">
        <f t="shared" si="4"/>
        <v>#DIV/0!</v>
      </c>
      <c r="D21" s="63" t="s">
        <v>60</v>
      </c>
      <c r="E21" s="61"/>
      <c r="F21" s="15"/>
      <c r="G21" s="15"/>
      <c r="H21" s="15"/>
    </row>
    <row r="22">
      <c r="B22" s="261">
        <f>'Planilha de Rentabilidade'!U70+'Planilha de Rentabilidade'!AF70</f>
        <v>0</v>
      </c>
      <c r="C22" s="55" t="str">
        <f t="shared" si="4"/>
        <v>#DIV/0!</v>
      </c>
      <c r="D22" s="63" t="s">
        <v>61</v>
      </c>
      <c r="E22" s="61"/>
      <c r="F22" s="15"/>
      <c r="G22" s="15"/>
      <c r="H22" s="15"/>
    </row>
    <row r="23">
      <c r="B23" s="261">
        <f>'Planilha de Rentabilidade'!F70</f>
        <v>0</v>
      </c>
      <c r="C23" s="55" t="str">
        <f t="shared" si="4"/>
        <v>#DIV/0!</v>
      </c>
      <c r="D23" s="63" t="s">
        <v>137</v>
      </c>
      <c r="E23" s="61"/>
      <c r="F23" s="15"/>
      <c r="G23" s="15"/>
      <c r="H23" s="15"/>
    </row>
    <row r="24">
      <c r="B24" s="261">
        <f>'Planilha de Rentabilidade'!AA70+'Planilha de Rentabilidade'!AE70</f>
        <v>0</v>
      </c>
      <c r="C24" s="55" t="str">
        <f t="shared" si="4"/>
        <v>#DIV/0!</v>
      </c>
      <c r="D24" s="63" t="s">
        <v>63</v>
      </c>
      <c r="E24" s="65"/>
      <c r="F24" s="15"/>
      <c r="G24" s="15"/>
      <c r="H24" s="15"/>
    </row>
    <row r="25">
      <c r="B25" s="261">
        <v>0.0</v>
      </c>
      <c r="C25" s="55" t="str">
        <f t="shared" si="4"/>
        <v>#DIV/0!</v>
      </c>
      <c r="D25" s="63" t="s">
        <v>152</v>
      </c>
      <c r="E25" s="61"/>
      <c r="F25" s="15"/>
      <c r="G25" s="15"/>
      <c r="H25" s="15"/>
    </row>
    <row r="26">
      <c r="B26" s="261">
        <f>'Planilha de Rentabilidade'!R70+'Planilha de Rentabilidade'!AC70</f>
        <v>0</v>
      </c>
      <c r="C26" s="55" t="str">
        <f t="shared" si="4"/>
        <v>#DIV/0!</v>
      </c>
      <c r="D26" s="63" t="s">
        <v>65</v>
      </c>
      <c r="E26" s="61"/>
      <c r="F26" s="15"/>
      <c r="G26" s="15"/>
      <c r="H26" s="15"/>
    </row>
    <row r="27">
      <c r="B27" s="261">
        <v>0.0</v>
      </c>
      <c r="C27" s="55" t="str">
        <f t="shared" si="4"/>
        <v>#DIV/0!</v>
      </c>
      <c r="D27" s="63" t="s">
        <v>66</v>
      </c>
      <c r="E27" s="61"/>
      <c r="F27" s="15"/>
      <c r="G27" s="15"/>
      <c r="H27" s="15"/>
    </row>
    <row r="28">
      <c r="B28" s="261">
        <v>0.0</v>
      </c>
      <c r="C28" s="55" t="str">
        <f t="shared" si="4"/>
        <v>#DIV/0!</v>
      </c>
      <c r="D28" s="63" t="s">
        <v>139</v>
      </c>
      <c r="E28" s="61"/>
      <c r="F28" s="15"/>
      <c r="G28" s="15"/>
      <c r="H28" s="15"/>
    </row>
    <row r="29">
      <c r="B29" s="261">
        <f>'Planilha de Rentabilidade'!X70+'Planilha de Rentabilidade'!Y70</f>
        <v>0</v>
      </c>
      <c r="C29" s="55" t="str">
        <f t="shared" si="4"/>
        <v>#DIV/0!</v>
      </c>
      <c r="D29" s="63" t="s">
        <v>140</v>
      </c>
      <c r="E29" s="61"/>
      <c r="F29" s="15"/>
      <c r="G29" s="15"/>
      <c r="H29" s="15"/>
    </row>
    <row r="30">
      <c r="B30" s="261">
        <f>'Planilha de Rentabilidade'!AG70+'Planilha de Rentabilidade'!T70</f>
        <v>0</v>
      </c>
      <c r="C30" s="55" t="str">
        <f t="shared" si="4"/>
        <v>#DIV/0!</v>
      </c>
      <c r="D30" s="63" t="s">
        <v>69</v>
      </c>
      <c r="E30" s="61"/>
      <c r="F30" s="15"/>
      <c r="G30" s="15"/>
      <c r="H30" s="15"/>
    </row>
    <row r="31">
      <c r="B31" s="261">
        <f>'Planilha de Rentabilidade'!AH70+'Planilha de Rentabilidade'!N70</f>
        <v>0</v>
      </c>
      <c r="C31" s="55" t="str">
        <f t="shared" si="4"/>
        <v>#DIV/0!</v>
      </c>
      <c r="D31" s="63" t="s">
        <v>70</v>
      </c>
      <c r="E31" s="61"/>
      <c r="F31" s="15"/>
      <c r="G31" s="15"/>
      <c r="H31" s="15"/>
    </row>
    <row r="32">
      <c r="B32" s="261">
        <f>'Planilha de Rentabilidade'!AB70</f>
        <v>0</v>
      </c>
      <c r="C32" s="55" t="str">
        <f t="shared" si="4"/>
        <v>#DIV/0!</v>
      </c>
      <c r="D32" s="63" t="s">
        <v>71</v>
      </c>
      <c r="E32" s="61"/>
      <c r="F32" s="15"/>
      <c r="G32" s="15"/>
      <c r="H32" s="15"/>
    </row>
    <row r="33">
      <c r="B33" s="66">
        <f>SUM(B20:B32)</f>
        <v>0</v>
      </c>
      <c r="C33" s="67" t="str">
        <f t="shared" si="4"/>
        <v>#DIV/0!</v>
      </c>
      <c r="D33" s="68"/>
      <c r="E33" s="69"/>
      <c r="F33" s="15"/>
      <c r="G33" s="15"/>
      <c r="H33" s="15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3" max="13" width="13.33"/>
  </cols>
  <sheetData>
    <row r="2">
      <c r="B2" s="37" t="s">
        <v>170</v>
      </c>
      <c r="C2" s="38"/>
      <c r="D2" s="38"/>
      <c r="E2" s="39"/>
      <c r="L2" s="40"/>
      <c r="M2" s="40" t="s">
        <v>40</v>
      </c>
      <c r="N2" s="40"/>
    </row>
    <row r="3">
      <c r="B3" s="41"/>
      <c r="C3" s="15"/>
      <c r="D3" s="15"/>
      <c r="E3" s="42" t="str">
        <f>+SUM(E4:E14)</f>
        <v>#DIV/0!</v>
      </c>
      <c r="F3" s="15"/>
      <c r="G3" s="15"/>
      <c r="H3" s="15"/>
      <c r="L3" s="43"/>
      <c r="M3" s="43"/>
      <c r="N3" s="43"/>
    </row>
    <row r="4">
      <c r="B4" s="41" t="s">
        <v>41</v>
      </c>
      <c r="C4" s="15"/>
      <c r="D4" s="249">
        <f>'Planilha de Rentabilidade'!E78</f>
        <v>0</v>
      </c>
      <c r="E4" s="42" t="str">
        <f t="shared" ref="E4:E14" si="1">D4/$E$15</f>
        <v>#DIV/0!</v>
      </c>
      <c r="F4" s="15"/>
      <c r="G4" s="15"/>
      <c r="H4" s="15"/>
      <c r="L4" s="43" t="s">
        <v>42</v>
      </c>
      <c r="M4" s="46">
        <f>SUM(D5:D7)</f>
        <v>0</v>
      </c>
      <c r="N4" s="47" t="str">
        <f t="shared" ref="N4:N14" si="2">M4/$M$15</f>
        <v>#DIV/0!</v>
      </c>
    </row>
    <row r="5">
      <c r="B5" s="41" t="s">
        <v>43</v>
      </c>
      <c r="C5" s="15"/>
      <c r="D5" s="249">
        <f>+'Planilha de Rentabilidade'!Q78</f>
        <v>0</v>
      </c>
      <c r="E5" s="42" t="str">
        <f t="shared" si="1"/>
        <v>#DIV/0!</v>
      </c>
      <c r="F5" s="15"/>
      <c r="G5" s="15"/>
      <c r="H5" s="15"/>
      <c r="L5" s="43"/>
      <c r="M5" s="43">
        <v>0.0</v>
      </c>
      <c r="N5" s="47" t="str">
        <f t="shared" si="2"/>
        <v>#DIV/0!</v>
      </c>
    </row>
    <row r="6">
      <c r="B6" s="41" t="s">
        <v>44</v>
      </c>
      <c r="C6" s="15"/>
      <c r="D6" s="249">
        <f>'Planilha de Rentabilidade'!P78</f>
        <v>0</v>
      </c>
      <c r="E6" s="42" t="str">
        <f t="shared" si="1"/>
        <v>#DIV/0!</v>
      </c>
      <c r="F6" s="15"/>
      <c r="G6" s="15"/>
      <c r="H6" s="15"/>
      <c r="L6" s="43"/>
      <c r="M6" s="43">
        <v>0.0</v>
      </c>
      <c r="N6" s="47" t="str">
        <f t="shared" si="2"/>
        <v>#DIV/0!</v>
      </c>
    </row>
    <row r="7">
      <c r="B7" s="41" t="s">
        <v>45</v>
      </c>
      <c r="C7" s="15"/>
      <c r="D7" s="249">
        <v>0.0</v>
      </c>
      <c r="E7" s="42" t="str">
        <f t="shared" si="1"/>
        <v>#DIV/0!</v>
      </c>
      <c r="F7" s="15"/>
      <c r="G7" s="15"/>
      <c r="H7" s="15"/>
      <c r="L7" s="43" t="s">
        <v>46</v>
      </c>
      <c r="M7" s="46">
        <f>+D11</f>
        <v>0</v>
      </c>
      <c r="N7" s="47" t="str">
        <f t="shared" si="2"/>
        <v>#DIV/0!</v>
      </c>
    </row>
    <row r="8">
      <c r="B8" s="41" t="s">
        <v>47</v>
      </c>
      <c r="C8" s="15"/>
      <c r="D8" s="249">
        <f>'Planilha de Rentabilidade'!C78+'Planilha de Rentabilidade'!D78+'Planilha de Rentabilidade'!F78</f>
        <v>0</v>
      </c>
      <c r="E8" s="42" t="str">
        <f t="shared" si="1"/>
        <v>#DIV/0!</v>
      </c>
      <c r="F8" s="15"/>
      <c r="G8" s="15"/>
      <c r="H8" s="15"/>
      <c r="L8" s="43" t="s">
        <v>48</v>
      </c>
      <c r="M8" s="46">
        <f>D8+D12+D13</f>
        <v>0</v>
      </c>
      <c r="N8" s="47" t="str">
        <f t="shared" si="2"/>
        <v>#DIV/0!</v>
      </c>
    </row>
    <row r="9">
      <c r="B9" s="41" t="s">
        <v>49</v>
      </c>
      <c r="C9" s="15"/>
      <c r="D9" s="249">
        <f>'Planilha de Rentabilidade'!L78</f>
        <v>0</v>
      </c>
      <c r="E9" s="42" t="str">
        <f t="shared" si="1"/>
        <v>#DIV/0!</v>
      </c>
      <c r="F9" s="15"/>
      <c r="G9" s="15"/>
      <c r="H9" s="15"/>
      <c r="L9" s="43" t="s">
        <v>51</v>
      </c>
      <c r="M9" s="46">
        <f>+D10</f>
        <v>0</v>
      </c>
      <c r="N9" s="47" t="str">
        <f t="shared" si="2"/>
        <v>#DIV/0!</v>
      </c>
    </row>
    <row r="10">
      <c r="B10" s="41" t="s">
        <v>51</v>
      </c>
      <c r="C10" s="15"/>
      <c r="D10" s="249">
        <f>'Planilha de Rentabilidade'!M78</f>
        <v>0</v>
      </c>
      <c r="E10" s="42" t="str">
        <f t="shared" si="1"/>
        <v>#DIV/0!</v>
      </c>
      <c r="F10" s="15"/>
      <c r="G10" s="15"/>
      <c r="H10" s="15"/>
      <c r="L10" s="43" t="s">
        <v>49</v>
      </c>
      <c r="M10" s="46">
        <f>D9</f>
        <v>0</v>
      </c>
      <c r="N10" s="47" t="str">
        <f t="shared" si="2"/>
        <v>#DIV/0!</v>
      </c>
    </row>
    <row r="11">
      <c r="B11" s="41" t="s">
        <v>46</v>
      </c>
      <c r="C11" s="15"/>
      <c r="D11" s="249">
        <v>0.0</v>
      </c>
      <c r="E11" s="42" t="str">
        <f t="shared" si="1"/>
        <v>#DIV/0!</v>
      </c>
      <c r="F11" s="15"/>
      <c r="G11" s="15"/>
      <c r="H11" s="15"/>
      <c r="L11" s="43"/>
      <c r="M11" s="43"/>
      <c r="N11" s="47" t="str">
        <f t="shared" si="2"/>
        <v>#DIV/0!</v>
      </c>
    </row>
    <row r="12">
      <c r="B12" s="41" t="s">
        <v>52</v>
      </c>
      <c r="C12" s="15"/>
      <c r="D12" s="249">
        <f>'Planilha de Rentabilidade'!G78+'Planilha de Rentabilidade'!I78+'Planilha de Rentabilidade'!J78</f>
        <v>0</v>
      </c>
      <c r="E12" s="42" t="str">
        <f t="shared" si="1"/>
        <v>#DIV/0!</v>
      </c>
      <c r="F12" s="15"/>
      <c r="G12" s="15"/>
      <c r="H12" s="15"/>
      <c r="L12" s="43" t="s">
        <v>41</v>
      </c>
      <c r="M12" s="46">
        <f>+D4</f>
        <v>0</v>
      </c>
      <c r="N12" s="47" t="str">
        <f t="shared" si="2"/>
        <v>#DIV/0!</v>
      </c>
    </row>
    <row r="13">
      <c r="B13" s="41" t="s">
        <v>53</v>
      </c>
      <c r="C13" s="15"/>
      <c r="D13" s="254">
        <f>'Planilha de Rentabilidade'!K78</f>
        <v>0</v>
      </c>
      <c r="E13" s="42" t="str">
        <f t="shared" si="1"/>
        <v>#DIV/0!</v>
      </c>
      <c r="F13" s="15"/>
      <c r="G13" s="15"/>
      <c r="H13" s="15"/>
      <c r="L13" s="43"/>
      <c r="M13" s="43"/>
      <c r="N13" s="47" t="str">
        <f t="shared" si="2"/>
        <v>#DIV/0!</v>
      </c>
    </row>
    <row r="14">
      <c r="B14" s="41" t="s">
        <v>54</v>
      </c>
      <c r="C14" s="15"/>
      <c r="D14" s="249">
        <f>B33</f>
        <v>0</v>
      </c>
      <c r="E14" s="42" t="str">
        <f t="shared" si="1"/>
        <v>#DIV/0!</v>
      </c>
      <c r="F14" s="15"/>
      <c r="G14" s="15"/>
      <c r="H14" s="15"/>
      <c r="L14" s="43" t="s">
        <v>171</v>
      </c>
      <c r="M14" s="46">
        <f>D14</f>
        <v>0</v>
      </c>
      <c r="N14" s="47" t="str">
        <f t="shared" si="2"/>
        <v>#DIV/0!</v>
      </c>
    </row>
    <row r="15">
      <c r="B15" s="49"/>
      <c r="C15" s="50" t="s">
        <v>56</v>
      </c>
      <c r="D15" s="50"/>
      <c r="E15" s="277">
        <f>SUM(D4:D14)</f>
        <v>0</v>
      </c>
      <c r="F15" s="15"/>
      <c r="G15" s="15"/>
      <c r="H15" s="15"/>
      <c r="L15" s="52"/>
      <c r="M15" s="278">
        <f t="shared" ref="M15:N15" si="3">SUM(M4:M14)</f>
        <v>0</v>
      </c>
      <c r="N15" s="271" t="str">
        <f t="shared" si="3"/>
        <v>#DIV/0!</v>
      </c>
    </row>
    <row r="16">
      <c r="C16" s="55"/>
      <c r="D16" s="15"/>
      <c r="E16" s="15"/>
      <c r="F16" s="15"/>
      <c r="G16" s="15"/>
      <c r="H16" s="15"/>
    </row>
    <row r="17">
      <c r="C17" s="55"/>
      <c r="D17" s="15"/>
      <c r="E17" s="15"/>
      <c r="F17" s="15"/>
      <c r="G17" s="15"/>
      <c r="H17" s="15"/>
    </row>
    <row r="18">
      <c r="B18" s="37" t="s">
        <v>172</v>
      </c>
      <c r="C18" s="56"/>
      <c r="D18" s="57"/>
      <c r="E18" s="58"/>
      <c r="F18" s="15"/>
      <c r="G18" s="15"/>
      <c r="H18" s="15"/>
    </row>
    <row r="19">
      <c r="B19" s="59"/>
      <c r="C19" s="60" t="s">
        <v>58</v>
      </c>
      <c r="D19" s="15"/>
      <c r="E19" s="61"/>
      <c r="F19" s="15"/>
      <c r="G19" s="15"/>
      <c r="H19" s="15"/>
    </row>
    <row r="20">
      <c r="B20" s="260">
        <f>'Planilha de Rentabilidade'!Z78++'Planilha de Rentabilidade'!W78</f>
        <v>0</v>
      </c>
      <c r="C20" s="55" t="str">
        <f t="shared" ref="C20:C33" si="4">B20/$B$33</f>
        <v>#DIV/0!</v>
      </c>
      <c r="D20" s="62" t="s">
        <v>59</v>
      </c>
      <c r="E20" s="61"/>
      <c r="F20" s="15"/>
      <c r="G20" s="15"/>
      <c r="H20" s="15"/>
    </row>
    <row r="21">
      <c r="B21" s="261">
        <v>0.0</v>
      </c>
      <c r="C21" s="55" t="str">
        <f t="shared" si="4"/>
        <v>#DIV/0!</v>
      </c>
      <c r="D21" s="63" t="s">
        <v>60</v>
      </c>
      <c r="E21" s="61"/>
      <c r="F21" s="15"/>
      <c r="G21" s="15"/>
      <c r="H21" s="15"/>
    </row>
    <row r="22">
      <c r="B22" s="261">
        <f>'Planilha de Rentabilidade'!U78+'Planilha de Rentabilidade'!AF78</f>
        <v>0</v>
      </c>
      <c r="C22" s="55" t="str">
        <f t="shared" si="4"/>
        <v>#DIV/0!</v>
      </c>
      <c r="D22" s="63" t="s">
        <v>61</v>
      </c>
      <c r="E22" s="61"/>
      <c r="F22" s="15"/>
      <c r="G22" s="15"/>
      <c r="H22" s="15"/>
    </row>
    <row r="23">
      <c r="B23" s="261">
        <f>'Planilha de Rentabilidade'!V78</f>
        <v>0</v>
      </c>
      <c r="C23" s="55" t="str">
        <f t="shared" si="4"/>
        <v>#DIV/0!</v>
      </c>
      <c r="D23" s="63" t="s">
        <v>173</v>
      </c>
      <c r="E23" s="61"/>
      <c r="F23" s="15"/>
      <c r="G23" s="15"/>
      <c r="H23" s="15"/>
    </row>
    <row r="24">
      <c r="B24" s="261">
        <f>'Planilha de Rentabilidade'!AA78+'Planilha de Rentabilidade'!AE78</f>
        <v>0</v>
      </c>
      <c r="C24" s="55" t="str">
        <f t="shared" si="4"/>
        <v>#DIV/0!</v>
      </c>
      <c r="D24" s="63" t="s">
        <v>63</v>
      </c>
      <c r="E24" s="65"/>
      <c r="F24" s="15"/>
      <c r="G24" s="15"/>
      <c r="H24" s="15"/>
    </row>
    <row r="25">
      <c r="B25" s="261">
        <f>+'Planilha de Rentabilidade'!AD78+'Planilha de Rentabilidade'!AC78</f>
        <v>0</v>
      </c>
      <c r="C25" s="55" t="str">
        <f t="shared" si="4"/>
        <v>#DIV/0!</v>
      </c>
      <c r="D25" s="63" t="s">
        <v>64</v>
      </c>
      <c r="E25" s="61"/>
      <c r="F25" s="15"/>
      <c r="G25" s="15"/>
      <c r="H25" s="15"/>
    </row>
    <row r="26">
      <c r="B26" s="261">
        <f>'Planilha de Rentabilidade'!R70+'Planilha de Rentabilidade'!AC70</f>
        <v>0</v>
      </c>
      <c r="C26" s="55" t="str">
        <f t="shared" si="4"/>
        <v>#DIV/0!</v>
      </c>
      <c r="D26" s="63" t="s">
        <v>65</v>
      </c>
      <c r="E26" s="61"/>
      <c r="F26" s="15"/>
      <c r="G26" s="15"/>
      <c r="H26" s="15"/>
    </row>
    <row r="27">
      <c r="B27" s="261">
        <v>0.0</v>
      </c>
      <c r="C27" s="55" t="str">
        <f t="shared" si="4"/>
        <v>#DIV/0!</v>
      </c>
      <c r="D27" s="63" t="s">
        <v>66</v>
      </c>
      <c r="E27" s="61"/>
      <c r="F27" s="15"/>
      <c r="G27" s="15"/>
      <c r="H27" s="15"/>
    </row>
    <row r="28">
      <c r="B28" s="261">
        <f>+'Planilha de Rentabilidade'!R78</f>
        <v>0</v>
      </c>
      <c r="C28" s="55" t="str">
        <f t="shared" si="4"/>
        <v>#DIV/0!</v>
      </c>
      <c r="D28" s="63" t="s">
        <v>174</v>
      </c>
      <c r="E28" s="61"/>
      <c r="F28" s="15"/>
      <c r="G28" s="15"/>
      <c r="H28" s="15"/>
    </row>
    <row r="29">
      <c r="B29" s="261">
        <f>'Planilha de Rentabilidade'!X78+'Planilha de Rentabilidade'!Y78</f>
        <v>0</v>
      </c>
      <c r="C29" s="55" t="str">
        <f t="shared" si="4"/>
        <v>#DIV/0!</v>
      </c>
      <c r="D29" s="63" t="s">
        <v>140</v>
      </c>
      <c r="E29" s="61"/>
      <c r="F29" s="15"/>
      <c r="G29" s="15"/>
      <c r="H29" s="15"/>
    </row>
    <row r="30">
      <c r="B30" s="261">
        <f>'Planilha de Rentabilidade'!AG78+'Planilha de Rentabilidade'!T78</f>
        <v>0</v>
      </c>
      <c r="C30" s="55" t="str">
        <f t="shared" si="4"/>
        <v>#DIV/0!</v>
      </c>
      <c r="D30" s="63" t="s">
        <v>69</v>
      </c>
      <c r="E30" s="61"/>
      <c r="F30" s="15"/>
      <c r="G30" s="15"/>
      <c r="H30" s="15"/>
    </row>
    <row r="31">
      <c r="B31" s="261">
        <f>'Planilha de Rentabilidade'!AH78+'Planilha de Rentabilidade'!N78</f>
        <v>0</v>
      </c>
      <c r="C31" s="55" t="str">
        <f t="shared" si="4"/>
        <v>#DIV/0!</v>
      </c>
      <c r="D31" s="63" t="s">
        <v>70</v>
      </c>
      <c r="E31" s="61"/>
      <c r="F31" s="15"/>
      <c r="G31" s="15"/>
      <c r="H31" s="15"/>
    </row>
    <row r="32">
      <c r="B32" s="261">
        <f>'Planilha de Rentabilidade'!AB78</f>
        <v>0</v>
      </c>
      <c r="C32" s="55" t="str">
        <f t="shared" si="4"/>
        <v>#DIV/0!</v>
      </c>
      <c r="D32" s="63" t="s">
        <v>71</v>
      </c>
      <c r="E32" s="61"/>
      <c r="F32" s="15"/>
      <c r="G32" s="15"/>
      <c r="H32" s="15"/>
    </row>
    <row r="33">
      <c r="B33" s="66">
        <f>SUM(B20:B32)</f>
        <v>0</v>
      </c>
      <c r="C33" s="67" t="str">
        <f t="shared" si="4"/>
        <v>#DIV/0!</v>
      </c>
      <c r="D33" s="68"/>
      <c r="E33" s="69"/>
      <c r="F33" s="15"/>
      <c r="G33" s="15"/>
      <c r="H33" s="15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2" max="2" width="12.0"/>
    <col customWidth="1" min="4" max="4" width="13.11"/>
    <col customWidth="1" min="5" max="5" width="12.78"/>
    <col customWidth="1" min="12" max="12" width="9.89"/>
    <col customWidth="1" min="13" max="13" width="13.0"/>
  </cols>
  <sheetData>
    <row r="1">
      <c r="B1" s="279"/>
    </row>
    <row r="2">
      <c r="B2" s="280" t="s">
        <v>175</v>
      </c>
      <c r="C2" s="38"/>
      <c r="D2" s="38"/>
      <c r="E2" s="39"/>
      <c r="L2" s="40"/>
      <c r="M2" s="40" t="s">
        <v>40</v>
      </c>
      <c r="N2" s="40"/>
    </row>
    <row r="3">
      <c r="B3" s="281"/>
      <c r="C3" s="15"/>
      <c r="D3" s="15"/>
      <c r="E3" s="42" t="str">
        <f>+SUM(E4:E14)</f>
        <v>#DIV/0!</v>
      </c>
      <c r="F3" s="15"/>
      <c r="G3" s="15"/>
      <c r="H3" s="15"/>
      <c r="L3" s="43"/>
      <c r="M3" s="43"/>
      <c r="N3" s="43"/>
    </row>
    <row r="4">
      <c r="B4" s="281" t="s">
        <v>41</v>
      </c>
      <c r="C4" s="15"/>
      <c r="D4" s="249">
        <f>'Planilha de Rentabilidade'!E86</f>
        <v>0</v>
      </c>
      <c r="E4" s="42" t="str">
        <f t="shared" ref="E4:E14" si="1">D4/$E$15</f>
        <v>#DIV/0!</v>
      </c>
      <c r="F4" s="15"/>
      <c r="G4" s="15"/>
      <c r="H4" s="15"/>
      <c r="L4" s="43" t="s">
        <v>42</v>
      </c>
      <c r="M4" s="46">
        <f>SUM(D5:D7)</f>
        <v>0</v>
      </c>
      <c r="N4" s="47" t="str">
        <f t="shared" ref="N4:N14" si="2">M4/$M$15</f>
        <v>#DIV/0!</v>
      </c>
    </row>
    <row r="5">
      <c r="B5" s="281" t="s">
        <v>43</v>
      </c>
      <c r="C5" s="15"/>
      <c r="D5" s="249">
        <f>+'Planilha de Rentabilidade'!Q86</f>
        <v>0</v>
      </c>
      <c r="E5" s="42" t="str">
        <f t="shared" si="1"/>
        <v>#DIV/0!</v>
      </c>
      <c r="F5" s="15"/>
      <c r="G5" s="15"/>
      <c r="H5" s="15"/>
      <c r="L5" s="43"/>
      <c r="M5" s="43">
        <v>0.0</v>
      </c>
      <c r="N5" s="47" t="str">
        <f t="shared" si="2"/>
        <v>#DIV/0!</v>
      </c>
    </row>
    <row r="6">
      <c r="B6" s="281" t="s">
        <v>44</v>
      </c>
      <c r="C6" s="15"/>
      <c r="D6" s="249">
        <f>+'Planilha de Rentabilidade'!P86</f>
        <v>0</v>
      </c>
      <c r="E6" s="42" t="str">
        <f t="shared" si="1"/>
        <v>#DIV/0!</v>
      </c>
      <c r="F6" s="15"/>
      <c r="G6" s="15"/>
      <c r="H6" s="15"/>
      <c r="L6" s="43"/>
      <c r="M6" s="43">
        <v>0.0</v>
      </c>
      <c r="N6" s="47" t="str">
        <f t="shared" si="2"/>
        <v>#DIV/0!</v>
      </c>
    </row>
    <row r="7">
      <c r="B7" s="281" t="s">
        <v>45</v>
      </c>
      <c r="C7" s="15"/>
      <c r="D7" s="249">
        <v>0.0</v>
      </c>
      <c r="E7" s="42" t="str">
        <f t="shared" si="1"/>
        <v>#DIV/0!</v>
      </c>
      <c r="F7" s="15"/>
      <c r="G7" s="15"/>
      <c r="H7" s="15"/>
      <c r="L7" s="43" t="s">
        <v>46</v>
      </c>
      <c r="M7" s="46">
        <f>+D11</f>
        <v>0</v>
      </c>
      <c r="N7" s="47" t="str">
        <f t="shared" si="2"/>
        <v>#DIV/0!</v>
      </c>
    </row>
    <row r="8">
      <c r="B8" s="281" t="s">
        <v>47</v>
      </c>
      <c r="C8" s="15"/>
      <c r="D8" s="249">
        <f>'Planilha de Rentabilidade'!C86+'Planilha de Rentabilidade'!D86+'Planilha de Rentabilidade'!S86+'Planilha de Rentabilidade'!F86</f>
        <v>0</v>
      </c>
      <c r="E8" s="42" t="str">
        <f t="shared" si="1"/>
        <v>#DIV/0!</v>
      </c>
      <c r="F8" s="15"/>
      <c r="G8" s="15"/>
      <c r="H8" s="15"/>
      <c r="L8" s="43" t="s">
        <v>48</v>
      </c>
      <c r="M8" s="46">
        <f>D8+D12+D13</f>
        <v>0</v>
      </c>
      <c r="N8" s="47" t="str">
        <f t="shared" si="2"/>
        <v>#DIV/0!</v>
      </c>
    </row>
    <row r="9">
      <c r="B9" s="281" t="s">
        <v>49</v>
      </c>
      <c r="C9" s="15"/>
      <c r="D9" s="249">
        <f>'Planilha de Rentabilidade'!L86</f>
        <v>0</v>
      </c>
      <c r="E9" s="42" t="str">
        <f t="shared" si="1"/>
        <v>#DIV/0!</v>
      </c>
      <c r="F9" s="15"/>
      <c r="G9" s="15"/>
      <c r="H9" s="15"/>
      <c r="L9" s="43" t="s">
        <v>128</v>
      </c>
      <c r="M9" s="46">
        <f>+D10</f>
        <v>0</v>
      </c>
      <c r="N9" s="47" t="str">
        <f t="shared" si="2"/>
        <v>#DIV/0!</v>
      </c>
    </row>
    <row r="10">
      <c r="B10" s="281" t="s">
        <v>51</v>
      </c>
      <c r="C10" s="15"/>
      <c r="D10" s="249">
        <f>'Planilha de Rentabilidade'!M86</f>
        <v>0</v>
      </c>
      <c r="E10" s="42" t="str">
        <f t="shared" si="1"/>
        <v>#DIV/0!</v>
      </c>
      <c r="F10" s="15"/>
      <c r="G10" s="15"/>
      <c r="H10" s="15"/>
      <c r="L10" s="43" t="s">
        <v>49</v>
      </c>
      <c r="M10" s="46">
        <f>D9</f>
        <v>0</v>
      </c>
      <c r="N10" s="47" t="str">
        <f t="shared" si="2"/>
        <v>#DIV/0!</v>
      </c>
    </row>
    <row r="11">
      <c r="B11" s="281" t="s">
        <v>46</v>
      </c>
      <c r="C11" s="15"/>
      <c r="D11" s="249">
        <f>0</f>
        <v>0</v>
      </c>
      <c r="E11" s="42" t="str">
        <f t="shared" si="1"/>
        <v>#DIV/0!</v>
      </c>
      <c r="F11" s="15"/>
      <c r="G11" s="15"/>
      <c r="H11" s="15"/>
      <c r="L11" s="43"/>
      <c r="M11" s="43"/>
      <c r="N11" s="47" t="str">
        <f t="shared" si="2"/>
        <v>#DIV/0!</v>
      </c>
    </row>
    <row r="12">
      <c r="B12" s="281" t="s">
        <v>52</v>
      </c>
      <c r="C12" s="15"/>
      <c r="D12" s="249">
        <f>'Planilha de Rentabilidade'!G86+'Planilha de Rentabilidade'!I86+'Planilha de Rentabilidade'!J86</f>
        <v>0</v>
      </c>
      <c r="E12" s="42" t="str">
        <f t="shared" si="1"/>
        <v>#DIV/0!</v>
      </c>
      <c r="F12" s="15"/>
      <c r="G12" s="15"/>
      <c r="H12" s="15"/>
      <c r="L12" s="43" t="s">
        <v>41</v>
      </c>
      <c r="M12" s="46">
        <f>+D4</f>
        <v>0</v>
      </c>
      <c r="N12" s="47" t="str">
        <f t="shared" si="2"/>
        <v>#DIV/0!</v>
      </c>
    </row>
    <row r="13">
      <c r="B13" s="281" t="s">
        <v>53</v>
      </c>
      <c r="C13" s="15"/>
      <c r="D13" s="254">
        <f>'Planilha de Rentabilidade'!H86+'Planilha de Rentabilidade'!K86</f>
        <v>0</v>
      </c>
      <c r="E13" s="42" t="str">
        <f t="shared" si="1"/>
        <v>#DIV/0!</v>
      </c>
      <c r="F13" s="15"/>
      <c r="G13" s="15"/>
      <c r="H13" s="15"/>
      <c r="L13" s="43"/>
      <c r="M13" s="43"/>
      <c r="N13" s="47" t="str">
        <f t="shared" si="2"/>
        <v>#DIV/0!</v>
      </c>
    </row>
    <row r="14">
      <c r="B14" s="281" t="s">
        <v>54</v>
      </c>
      <c r="C14" s="15"/>
      <c r="D14" s="249">
        <f>B33</f>
        <v>0</v>
      </c>
      <c r="E14" s="42" t="str">
        <f t="shared" si="1"/>
        <v>#DIV/0!</v>
      </c>
      <c r="F14" s="15"/>
      <c r="G14" s="15"/>
      <c r="H14" s="15"/>
      <c r="L14" s="43" t="s">
        <v>129</v>
      </c>
      <c r="M14" s="46">
        <f>D14</f>
        <v>0</v>
      </c>
      <c r="N14" s="47" t="str">
        <f t="shared" si="2"/>
        <v>#DIV/0!</v>
      </c>
    </row>
    <row r="15">
      <c r="B15" s="282"/>
      <c r="C15" s="50" t="s">
        <v>56</v>
      </c>
      <c r="D15" s="50"/>
      <c r="E15" s="277">
        <f>SUM(D4:D14)</f>
        <v>0</v>
      </c>
      <c r="F15" s="15"/>
      <c r="G15" s="15"/>
      <c r="H15" s="15"/>
      <c r="L15" s="52"/>
      <c r="M15" s="272">
        <f t="shared" ref="M15:N15" si="3">SUM(M4:M14)</f>
        <v>0</v>
      </c>
      <c r="N15" s="271" t="str">
        <f t="shared" si="3"/>
        <v>#DIV/0!</v>
      </c>
    </row>
    <row r="16">
      <c r="B16" s="279"/>
      <c r="C16" s="55"/>
      <c r="D16" s="15"/>
      <c r="E16" s="15"/>
      <c r="F16" s="15"/>
      <c r="G16" s="15"/>
      <c r="H16" s="15"/>
    </row>
    <row r="17">
      <c r="B17" s="279"/>
      <c r="C17" s="55"/>
      <c r="D17" s="15"/>
      <c r="E17" s="15"/>
      <c r="F17" s="15"/>
      <c r="G17" s="15"/>
      <c r="H17" s="15"/>
    </row>
    <row r="18">
      <c r="B18" s="280" t="s">
        <v>176</v>
      </c>
      <c r="C18" s="56"/>
      <c r="D18" s="57"/>
      <c r="E18" s="58"/>
      <c r="F18" s="15"/>
      <c r="G18" s="15"/>
      <c r="H18" s="15"/>
    </row>
    <row r="19">
      <c r="B19" s="283"/>
      <c r="C19" s="60" t="s">
        <v>58</v>
      </c>
      <c r="D19" s="15"/>
      <c r="E19" s="61"/>
      <c r="F19" s="15"/>
      <c r="G19" s="15"/>
      <c r="H19" s="15"/>
    </row>
    <row r="20">
      <c r="B20" s="284">
        <f>+'Planilha de Rentabilidade'!Z86+'Planilha de Rentabilidade'!W86</f>
        <v>0</v>
      </c>
      <c r="C20" s="55" t="str">
        <f t="shared" ref="C20:C33" si="4">B20/$B$33</f>
        <v>#DIV/0!</v>
      </c>
      <c r="D20" s="62" t="s">
        <v>59</v>
      </c>
      <c r="E20" s="61"/>
      <c r="F20" s="15"/>
      <c r="G20" s="15"/>
      <c r="H20" s="15"/>
    </row>
    <row r="21">
      <c r="B21" s="285">
        <f>'Planilha de Rentabilidade'!O86</f>
        <v>0</v>
      </c>
      <c r="C21" s="55" t="str">
        <f t="shared" si="4"/>
        <v>#DIV/0!</v>
      </c>
      <c r="D21" s="63" t="s">
        <v>60</v>
      </c>
      <c r="E21" s="61"/>
      <c r="F21" s="15"/>
      <c r="G21" s="15"/>
      <c r="H21" s="15"/>
    </row>
    <row r="22">
      <c r="B22" s="285">
        <f>+'Planilha de Rentabilidade'!AF86+'Planilha de Rentabilidade'!U86</f>
        <v>0</v>
      </c>
      <c r="C22" s="55" t="str">
        <f t="shared" si="4"/>
        <v>#DIV/0!</v>
      </c>
      <c r="D22" s="63" t="s">
        <v>61</v>
      </c>
      <c r="E22" s="61"/>
      <c r="F22" s="15"/>
      <c r="G22" s="15"/>
      <c r="H22" s="15"/>
    </row>
    <row r="23">
      <c r="B23" s="285">
        <f>+'Planilha de Rentabilidade'!V86+'Planilha de Rentabilidade'!AD86</f>
        <v>0</v>
      </c>
      <c r="C23" s="55" t="str">
        <f t="shared" si="4"/>
        <v>#DIV/0!</v>
      </c>
      <c r="D23" s="63" t="s">
        <v>173</v>
      </c>
      <c r="E23" s="61"/>
      <c r="F23" s="15"/>
      <c r="G23" s="15"/>
      <c r="H23" s="15"/>
    </row>
    <row r="24">
      <c r="B24" s="285">
        <f>+'Planilha de Rentabilidade'!AE86+'Planilha de Rentabilidade'!AA86</f>
        <v>0</v>
      </c>
      <c r="C24" s="55" t="str">
        <f t="shared" si="4"/>
        <v>#DIV/0!</v>
      </c>
      <c r="D24" s="63" t="s">
        <v>63</v>
      </c>
      <c r="E24" s="65"/>
      <c r="F24" s="15"/>
      <c r="G24" s="15"/>
      <c r="H24" s="15"/>
    </row>
    <row r="25">
      <c r="B25" s="285">
        <v>0.0</v>
      </c>
      <c r="C25" s="55" t="str">
        <f t="shared" si="4"/>
        <v>#DIV/0!</v>
      </c>
      <c r="D25" s="63" t="s">
        <v>64</v>
      </c>
      <c r="E25" s="61"/>
      <c r="F25" s="15"/>
      <c r="G25" s="15"/>
      <c r="H25" s="15"/>
    </row>
    <row r="26">
      <c r="B26" s="285">
        <f>0</f>
        <v>0</v>
      </c>
      <c r="C26" s="55" t="str">
        <f t="shared" si="4"/>
        <v>#DIV/0!</v>
      </c>
      <c r="D26" s="63" t="s">
        <v>65</v>
      </c>
      <c r="E26" s="61"/>
      <c r="F26" s="15"/>
      <c r="G26" s="15"/>
      <c r="H26" s="15"/>
    </row>
    <row r="27">
      <c r="B27" s="285">
        <v>0.0</v>
      </c>
      <c r="C27" s="55" t="str">
        <f t="shared" si="4"/>
        <v>#DIV/0!</v>
      </c>
      <c r="D27" s="63" t="s">
        <v>66</v>
      </c>
      <c r="E27" s="61"/>
      <c r="F27" s="15"/>
      <c r="G27" s="15"/>
      <c r="H27" s="15"/>
    </row>
    <row r="28">
      <c r="B28" s="285">
        <f>+'Planilha de Rentabilidade'!R86</f>
        <v>0</v>
      </c>
      <c r="C28" s="55" t="str">
        <f t="shared" si="4"/>
        <v>#DIV/0!</v>
      </c>
      <c r="D28" s="63" t="s">
        <v>174</v>
      </c>
      <c r="E28" s="61"/>
      <c r="F28" s="15"/>
      <c r="G28" s="15"/>
      <c r="H28" s="15"/>
    </row>
    <row r="29">
      <c r="B29" s="285">
        <f>+'Planilha de Rentabilidade'!X86+'Planilha de Rentabilidade'!Y86+'Planilha de Rentabilidade'!AC86</f>
        <v>0</v>
      </c>
      <c r="C29" s="55" t="str">
        <f t="shared" si="4"/>
        <v>#DIV/0!</v>
      </c>
      <c r="D29" s="63" t="s">
        <v>68</v>
      </c>
      <c r="E29" s="61"/>
      <c r="F29" s="15"/>
      <c r="G29" s="15"/>
      <c r="H29" s="15"/>
    </row>
    <row r="30">
      <c r="B30" s="285">
        <f>'Planilha de Rentabilidade'!T86+'Planilha de Rentabilidade'!AG86</f>
        <v>0</v>
      </c>
      <c r="C30" s="55" t="str">
        <f t="shared" si="4"/>
        <v>#DIV/0!</v>
      </c>
      <c r="D30" s="63" t="s">
        <v>69</v>
      </c>
      <c r="E30" s="61"/>
      <c r="F30" s="15"/>
      <c r="G30" s="15"/>
      <c r="H30" s="15"/>
    </row>
    <row r="31">
      <c r="B31" s="285">
        <f>'Planilha de Rentabilidade'!N86+'Planilha de Rentabilidade'!AH86</f>
        <v>0</v>
      </c>
      <c r="C31" s="55" t="str">
        <f t="shared" si="4"/>
        <v>#DIV/0!</v>
      </c>
      <c r="D31" s="63" t="s">
        <v>70</v>
      </c>
      <c r="E31" s="61"/>
      <c r="F31" s="15"/>
      <c r="G31" s="15"/>
      <c r="H31" s="15"/>
    </row>
    <row r="32">
      <c r="B32" s="285">
        <f>+'Planilha de Rentabilidade'!AB86</f>
        <v>0</v>
      </c>
      <c r="C32" s="55" t="str">
        <f t="shared" si="4"/>
        <v>#DIV/0!</v>
      </c>
      <c r="D32" s="63" t="s">
        <v>71</v>
      </c>
      <c r="E32" s="61"/>
      <c r="F32" s="15"/>
      <c r="G32" s="15"/>
      <c r="H32" s="15"/>
    </row>
    <row r="33">
      <c r="B33" s="282">
        <f>SUM(B20:B32)</f>
        <v>0</v>
      </c>
      <c r="C33" s="67" t="str">
        <f t="shared" si="4"/>
        <v>#DIV/0!</v>
      </c>
      <c r="D33" s="68"/>
      <c r="E33" s="69"/>
      <c r="F33" s="15"/>
      <c r="G33" s="15"/>
      <c r="H33" s="15"/>
    </row>
    <row r="34">
      <c r="B34" s="279"/>
    </row>
    <row r="35">
      <c r="B35" s="279"/>
    </row>
    <row r="36">
      <c r="B36" s="279"/>
    </row>
    <row r="37">
      <c r="B37" s="279"/>
    </row>
    <row r="38">
      <c r="B38" s="279"/>
    </row>
    <row r="39">
      <c r="B39" s="279"/>
    </row>
    <row r="40">
      <c r="B40" s="279"/>
    </row>
    <row r="41">
      <c r="B41" s="279"/>
    </row>
    <row r="42">
      <c r="B42" s="279"/>
    </row>
    <row r="43">
      <c r="B43" s="279"/>
    </row>
    <row r="44">
      <c r="B44" s="279"/>
    </row>
    <row r="45">
      <c r="B45" s="279"/>
    </row>
    <row r="46">
      <c r="B46" s="279"/>
    </row>
    <row r="47">
      <c r="B47" s="279"/>
    </row>
    <row r="48">
      <c r="B48" s="279"/>
    </row>
    <row r="49">
      <c r="B49" s="279"/>
    </row>
    <row r="50">
      <c r="B50" s="279"/>
    </row>
    <row r="51">
      <c r="B51" s="279"/>
    </row>
    <row r="52">
      <c r="B52" s="279"/>
    </row>
    <row r="53">
      <c r="B53" s="279"/>
    </row>
    <row r="54">
      <c r="B54" s="279"/>
    </row>
    <row r="55">
      <c r="B55" s="279"/>
    </row>
    <row r="56">
      <c r="B56" s="279"/>
    </row>
    <row r="57">
      <c r="B57" s="279"/>
    </row>
    <row r="58">
      <c r="B58" s="279"/>
    </row>
    <row r="59">
      <c r="B59" s="279"/>
    </row>
    <row r="60">
      <c r="B60" s="279"/>
    </row>
    <row r="61">
      <c r="B61" s="279"/>
    </row>
    <row r="62">
      <c r="B62" s="279"/>
    </row>
    <row r="63">
      <c r="B63" s="279"/>
    </row>
    <row r="64">
      <c r="B64" s="279"/>
    </row>
    <row r="65">
      <c r="B65" s="279"/>
    </row>
    <row r="66">
      <c r="B66" s="279"/>
    </row>
    <row r="67">
      <c r="B67" s="279"/>
    </row>
    <row r="68">
      <c r="B68" s="279"/>
    </row>
    <row r="69">
      <c r="B69" s="279"/>
    </row>
    <row r="70">
      <c r="B70" s="279"/>
    </row>
    <row r="71">
      <c r="B71" s="279"/>
    </row>
    <row r="72">
      <c r="B72" s="279"/>
    </row>
    <row r="73">
      <c r="B73" s="279"/>
    </row>
    <row r="74">
      <c r="B74" s="279"/>
    </row>
    <row r="75">
      <c r="B75" s="279"/>
    </row>
    <row r="76">
      <c r="B76" s="279"/>
    </row>
    <row r="77">
      <c r="B77" s="279"/>
    </row>
    <row r="78">
      <c r="B78" s="279"/>
    </row>
    <row r="79">
      <c r="B79" s="279"/>
    </row>
    <row r="80">
      <c r="B80" s="279"/>
    </row>
    <row r="81">
      <c r="B81" s="279"/>
    </row>
    <row r="82">
      <c r="B82" s="279"/>
    </row>
    <row r="83">
      <c r="B83" s="279"/>
    </row>
    <row r="84">
      <c r="B84" s="279"/>
    </row>
    <row r="85">
      <c r="B85" s="279"/>
    </row>
    <row r="86">
      <c r="B86" s="279"/>
    </row>
    <row r="87">
      <c r="B87" s="279"/>
    </row>
    <row r="88">
      <c r="B88" s="279"/>
    </row>
    <row r="89">
      <c r="B89" s="279"/>
    </row>
    <row r="90">
      <c r="B90" s="279"/>
    </row>
    <row r="91">
      <c r="B91" s="279"/>
    </row>
    <row r="92">
      <c r="B92" s="279"/>
    </row>
    <row r="93">
      <c r="B93" s="279"/>
    </row>
    <row r="94">
      <c r="B94" s="279"/>
    </row>
    <row r="95">
      <c r="B95" s="279"/>
    </row>
    <row r="96">
      <c r="B96" s="279"/>
    </row>
    <row r="97">
      <c r="B97" s="279"/>
    </row>
    <row r="98">
      <c r="B98" s="279"/>
    </row>
    <row r="99">
      <c r="B99" s="279"/>
    </row>
    <row r="100">
      <c r="B100" s="279"/>
    </row>
    <row r="101">
      <c r="B101" s="279"/>
    </row>
    <row r="102">
      <c r="B102" s="279"/>
    </row>
    <row r="103">
      <c r="B103" s="279"/>
    </row>
    <row r="104">
      <c r="B104" s="279"/>
    </row>
    <row r="105">
      <c r="B105" s="279"/>
    </row>
    <row r="106">
      <c r="B106" s="279"/>
    </row>
    <row r="107">
      <c r="B107" s="279"/>
    </row>
    <row r="108">
      <c r="B108" s="279"/>
    </row>
    <row r="109">
      <c r="B109" s="279"/>
    </row>
    <row r="110">
      <c r="B110" s="279"/>
    </row>
    <row r="111">
      <c r="B111" s="279"/>
    </row>
    <row r="112">
      <c r="B112" s="279"/>
    </row>
    <row r="113">
      <c r="B113" s="279"/>
    </row>
    <row r="114">
      <c r="B114" s="279"/>
    </row>
    <row r="115">
      <c r="B115" s="279"/>
    </row>
    <row r="116">
      <c r="B116" s="279"/>
    </row>
    <row r="117">
      <c r="B117" s="279"/>
    </row>
    <row r="118">
      <c r="B118" s="279"/>
    </row>
    <row r="119">
      <c r="B119" s="279"/>
    </row>
    <row r="120">
      <c r="B120" s="279"/>
    </row>
    <row r="121">
      <c r="B121" s="279"/>
    </row>
    <row r="122">
      <c r="B122" s="279"/>
    </row>
    <row r="123">
      <c r="B123" s="279"/>
    </row>
    <row r="124">
      <c r="B124" s="279"/>
    </row>
    <row r="125">
      <c r="B125" s="279"/>
    </row>
    <row r="126">
      <c r="B126" s="279"/>
    </row>
    <row r="127">
      <c r="B127" s="279"/>
    </row>
    <row r="128">
      <c r="B128" s="279"/>
    </row>
    <row r="129">
      <c r="B129" s="279"/>
    </row>
    <row r="130">
      <c r="B130" s="279"/>
    </row>
    <row r="131">
      <c r="B131" s="279"/>
    </row>
    <row r="132">
      <c r="B132" s="279"/>
    </row>
    <row r="133">
      <c r="B133" s="279"/>
    </row>
    <row r="134">
      <c r="B134" s="279"/>
    </row>
    <row r="135">
      <c r="B135" s="279"/>
    </row>
    <row r="136">
      <c r="B136" s="279"/>
    </row>
    <row r="137">
      <c r="B137" s="279"/>
    </row>
    <row r="138">
      <c r="B138" s="279"/>
    </row>
    <row r="139">
      <c r="B139" s="279"/>
    </row>
    <row r="140">
      <c r="B140" s="279"/>
    </row>
    <row r="141">
      <c r="B141" s="279"/>
    </row>
    <row r="142">
      <c r="B142" s="279"/>
    </row>
    <row r="143">
      <c r="B143" s="279"/>
    </row>
    <row r="144">
      <c r="B144" s="279"/>
    </row>
    <row r="145">
      <c r="B145" s="279"/>
    </row>
    <row r="146">
      <c r="B146" s="279"/>
    </row>
    <row r="147">
      <c r="B147" s="279"/>
    </row>
    <row r="148">
      <c r="B148" s="279"/>
    </row>
    <row r="149">
      <c r="B149" s="279"/>
    </row>
    <row r="150">
      <c r="B150" s="279"/>
    </row>
    <row r="151">
      <c r="B151" s="279"/>
    </row>
    <row r="152">
      <c r="B152" s="279"/>
    </row>
    <row r="153">
      <c r="B153" s="279"/>
    </row>
    <row r="154">
      <c r="B154" s="279"/>
    </row>
    <row r="155">
      <c r="B155" s="279"/>
    </row>
    <row r="156">
      <c r="B156" s="279"/>
    </row>
    <row r="157">
      <c r="B157" s="279"/>
    </row>
    <row r="158">
      <c r="B158" s="279"/>
    </row>
    <row r="159">
      <c r="B159" s="279"/>
    </row>
    <row r="160">
      <c r="B160" s="279"/>
    </row>
    <row r="161">
      <c r="B161" s="279"/>
    </row>
    <row r="162">
      <c r="B162" s="279"/>
    </row>
    <row r="163">
      <c r="B163" s="279"/>
    </row>
    <row r="164">
      <c r="B164" s="279"/>
    </row>
    <row r="165">
      <c r="B165" s="279"/>
    </row>
    <row r="166">
      <c r="B166" s="279"/>
    </row>
    <row r="167">
      <c r="B167" s="279"/>
    </row>
    <row r="168">
      <c r="B168" s="279"/>
    </row>
    <row r="169">
      <c r="B169" s="279"/>
    </row>
    <row r="170">
      <c r="B170" s="279"/>
    </row>
    <row r="171">
      <c r="B171" s="279"/>
    </row>
    <row r="172">
      <c r="B172" s="279"/>
    </row>
    <row r="173">
      <c r="B173" s="279"/>
    </row>
    <row r="174">
      <c r="B174" s="279"/>
    </row>
    <row r="175">
      <c r="B175" s="279"/>
    </row>
    <row r="176">
      <c r="B176" s="279"/>
    </row>
    <row r="177">
      <c r="B177" s="279"/>
    </row>
    <row r="178">
      <c r="B178" s="279"/>
    </row>
    <row r="179">
      <c r="B179" s="279"/>
    </row>
    <row r="180">
      <c r="B180" s="279"/>
    </row>
    <row r="181">
      <c r="B181" s="279"/>
    </row>
    <row r="182">
      <c r="B182" s="279"/>
    </row>
    <row r="183">
      <c r="B183" s="279"/>
    </row>
    <row r="184">
      <c r="B184" s="279"/>
    </row>
    <row r="185">
      <c r="B185" s="279"/>
    </row>
    <row r="186">
      <c r="B186" s="279"/>
    </row>
    <row r="187">
      <c r="B187" s="279"/>
    </row>
    <row r="188">
      <c r="B188" s="279"/>
    </row>
    <row r="189">
      <c r="B189" s="279"/>
    </row>
    <row r="190">
      <c r="B190" s="279"/>
    </row>
    <row r="191">
      <c r="B191" s="279"/>
    </row>
    <row r="192">
      <c r="B192" s="279"/>
    </row>
    <row r="193">
      <c r="B193" s="279"/>
    </row>
    <row r="194">
      <c r="B194" s="279"/>
    </row>
    <row r="195">
      <c r="B195" s="279"/>
    </row>
    <row r="196">
      <c r="B196" s="279"/>
    </row>
    <row r="197">
      <c r="B197" s="279"/>
    </row>
    <row r="198">
      <c r="B198" s="279"/>
    </row>
    <row r="199">
      <c r="B199" s="279"/>
    </row>
    <row r="200">
      <c r="B200" s="279"/>
    </row>
    <row r="201">
      <c r="B201" s="279"/>
    </row>
    <row r="202">
      <c r="B202" s="279"/>
    </row>
    <row r="203">
      <c r="B203" s="279"/>
    </row>
    <row r="204">
      <c r="B204" s="279"/>
    </row>
    <row r="205">
      <c r="B205" s="279"/>
    </row>
    <row r="206">
      <c r="B206" s="279"/>
    </row>
    <row r="207">
      <c r="B207" s="279"/>
    </row>
    <row r="208">
      <c r="B208" s="279"/>
    </row>
    <row r="209">
      <c r="B209" s="279"/>
    </row>
    <row r="210">
      <c r="B210" s="279"/>
    </row>
    <row r="211">
      <c r="B211" s="279"/>
    </row>
    <row r="212">
      <c r="B212" s="279"/>
    </row>
    <row r="213">
      <c r="B213" s="279"/>
    </row>
    <row r="214">
      <c r="B214" s="279"/>
    </row>
    <row r="215">
      <c r="B215" s="279"/>
    </row>
    <row r="216">
      <c r="B216" s="279"/>
    </row>
    <row r="217">
      <c r="B217" s="279"/>
    </row>
    <row r="218">
      <c r="B218" s="279"/>
    </row>
    <row r="219">
      <c r="B219" s="279"/>
    </row>
    <row r="220">
      <c r="B220" s="279"/>
    </row>
    <row r="221">
      <c r="B221" s="279"/>
    </row>
    <row r="222">
      <c r="B222" s="279"/>
    </row>
    <row r="223">
      <c r="B223" s="279"/>
    </row>
    <row r="224">
      <c r="B224" s="279"/>
    </row>
    <row r="225">
      <c r="B225" s="279"/>
    </row>
    <row r="226">
      <c r="B226" s="279"/>
    </row>
    <row r="227">
      <c r="B227" s="279"/>
    </row>
    <row r="228">
      <c r="B228" s="279"/>
    </row>
    <row r="229">
      <c r="B229" s="279"/>
    </row>
    <row r="230">
      <c r="B230" s="279"/>
    </row>
    <row r="231">
      <c r="B231" s="279"/>
    </row>
    <row r="232">
      <c r="B232" s="279"/>
    </row>
    <row r="233">
      <c r="B233" s="279"/>
    </row>
    <row r="234">
      <c r="B234" s="279"/>
    </row>
    <row r="235">
      <c r="B235" s="279"/>
    </row>
    <row r="236">
      <c r="B236" s="279"/>
    </row>
    <row r="237">
      <c r="B237" s="279"/>
    </row>
    <row r="238">
      <c r="B238" s="279"/>
    </row>
    <row r="239">
      <c r="B239" s="279"/>
    </row>
    <row r="240">
      <c r="B240" s="279"/>
    </row>
    <row r="241">
      <c r="B241" s="279"/>
    </row>
    <row r="242">
      <c r="B242" s="279"/>
    </row>
    <row r="243">
      <c r="B243" s="279"/>
    </row>
    <row r="244">
      <c r="B244" s="279"/>
    </row>
    <row r="245">
      <c r="B245" s="279"/>
    </row>
    <row r="246">
      <c r="B246" s="279"/>
    </row>
    <row r="247">
      <c r="B247" s="279"/>
    </row>
    <row r="248">
      <c r="B248" s="279"/>
    </row>
    <row r="249">
      <c r="B249" s="279"/>
    </row>
    <row r="250">
      <c r="B250" s="279"/>
    </row>
    <row r="251">
      <c r="B251" s="279"/>
    </row>
    <row r="252">
      <c r="B252" s="279"/>
    </row>
    <row r="253">
      <c r="B253" s="279"/>
    </row>
    <row r="254">
      <c r="B254" s="279"/>
    </row>
    <row r="255">
      <c r="B255" s="279"/>
    </row>
    <row r="256">
      <c r="B256" s="279"/>
    </row>
    <row r="257">
      <c r="B257" s="279"/>
    </row>
    <row r="258">
      <c r="B258" s="279"/>
    </row>
    <row r="259">
      <c r="B259" s="279"/>
    </row>
    <row r="260">
      <c r="B260" s="279"/>
    </row>
    <row r="261">
      <c r="B261" s="279"/>
    </row>
    <row r="262">
      <c r="B262" s="279"/>
    </row>
    <row r="263">
      <c r="B263" s="279"/>
    </row>
    <row r="264">
      <c r="B264" s="279"/>
    </row>
    <row r="265">
      <c r="B265" s="279"/>
    </row>
    <row r="266">
      <c r="B266" s="279"/>
    </row>
    <row r="267">
      <c r="B267" s="279"/>
    </row>
    <row r="268">
      <c r="B268" s="279"/>
    </row>
    <row r="269">
      <c r="B269" s="279"/>
    </row>
    <row r="270">
      <c r="B270" s="279"/>
    </row>
    <row r="271">
      <c r="B271" s="279"/>
    </row>
    <row r="272">
      <c r="B272" s="279"/>
    </row>
    <row r="273">
      <c r="B273" s="279"/>
    </row>
    <row r="274">
      <c r="B274" s="279"/>
    </row>
    <row r="275">
      <c r="B275" s="279"/>
    </row>
    <row r="276">
      <c r="B276" s="279"/>
    </row>
    <row r="277">
      <c r="B277" s="279"/>
    </row>
    <row r="278">
      <c r="B278" s="279"/>
    </row>
    <row r="279">
      <c r="B279" s="279"/>
    </row>
    <row r="280">
      <c r="B280" s="279"/>
    </row>
    <row r="281">
      <c r="B281" s="279"/>
    </row>
    <row r="282">
      <c r="B282" s="279"/>
    </row>
    <row r="283">
      <c r="B283" s="279"/>
    </row>
    <row r="284">
      <c r="B284" s="279"/>
    </row>
    <row r="285">
      <c r="B285" s="279"/>
    </row>
    <row r="286">
      <c r="B286" s="279"/>
    </row>
    <row r="287">
      <c r="B287" s="279"/>
    </row>
    <row r="288">
      <c r="B288" s="279"/>
    </row>
    <row r="289">
      <c r="B289" s="279"/>
    </row>
    <row r="290">
      <c r="B290" s="279"/>
    </row>
    <row r="291">
      <c r="B291" s="279"/>
    </row>
    <row r="292">
      <c r="B292" s="279"/>
    </row>
    <row r="293">
      <c r="B293" s="279"/>
    </row>
    <row r="294">
      <c r="B294" s="279"/>
    </row>
    <row r="295">
      <c r="B295" s="279"/>
    </row>
    <row r="296">
      <c r="B296" s="279"/>
    </row>
    <row r="297">
      <c r="B297" s="279"/>
    </row>
    <row r="298">
      <c r="B298" s="279"/>
    </row>
    <row r="299">
      <c r="B299" s="279"/>
    </row>
    <row r="300">
      <c r="B300" s="279"/>
    </row>
    <row r="301">
      <c r="B301" s="279"/>
    </row>
    <row r="302">
      <c r="B302" s="279"/>
    </row>
    <row r="303">
      <c r="B303" s="279"/>
    </row>
    <row r="304">
      <c r="B304" s="279"/>
    </row>
    <row r="305">
      <c r="B305" s="279"/>
    </row>
    <row r="306">
      <c r="B306" s="279"/>
    </row>
    <row r="307">
      <c r="B307" s="279"/>
    </row>
    <row r="308">
      <c r="B308" s="279"/>
    </row>
    <row r="309">
      <c r="B309" s="279"/>
    </row>
    <row r="310">
      <c r="B310" s="279"/>
    </row>
    <row r="311">
      <c r="B311" s="279"/>
    </row>
    <row r="312">
      <c r="B312" s="279"/>
    </row>
    <row r="313">
      <c r="B313" s="279"/>
    </row>
    <row r="314">
      <c r="B314" s="279"/>
    </row>
    <row r="315">
      <c r="B315" s="279"/>
    </row>
    <row r="316">
      <c r="B316" s="279"/>
    </row>
    <row r="317">
      <c r="B317" s="279"/>
    </row>
    <row r="318">
      <c r="B318" s="279"/>
    </row>
    <row r="319">
      <c r="B319" s="279"/>
    </row>
    <row r="320">
      <c r="B320" s="279"/>
    </row>
    <row r="321">
      <c r="B321" s="279"/>
    </row>
    <row r="322">
      <c r="B322" s="279"/>
    </row>
    <row r="323">
      <c r="B323" s="279"/>
    </row>
    <row r="324">
      <c r="B324" s="279"/>
    </row>
    <row r="325">
      <c r="B325" s="279"/>
    </row>
    <row r="326">
      <c r="B326" s="279"/>
    </row>
    <row r="327">
      <c r="B327" s="279"/>
    </row>
    <row r="328">
      <c r="B328" s="279"/>
    </row>
    <row r="329">
      <c r="B329" s="279"/>
    </row>
    <row r="330">
      <c r="B330" s="279"/>
    </row>
    <row r="331">
      <c r="B331" s="279"/>
    </row>
    <row r="332">
      <c r="B332" s="279"/>
    </row>
    <row r="333">
      <c r="B333" s="279"/>
    </row>
    <row r="334">
      <c r="B334" s="279"/>
    </row>
    <row r="335">
      <c r="B335" s="279"/>
    </row>
    <row r="336">
      <c r="B336" s="279"/>
    </row>
    <row r="337">
      <c r="B337" s="279"/>
    </row>
    <row r="338">
      <c r="B338" s="279"/>
    </row>
    <row r="339">
      <c r="B339" s="279"/>
    </row>
    <row r="340">
      <c r="B340" s="279"/>
    </row>
    <row r="341">
      <c r="B341" s="279"/>
    </row>
    <row r="342">
      <c r="B342" s="279"/>
    </row>
    <row r="343">
      <c r="B343" s="279"/>
    </row>
    <row r="344">
      <c r="B344" s="279"/>
    </row>
    <row r="345">
      <c r="B345" s="279"/>
    </row>
    <row r="346">
      <c r="B346" s="279"/>
    </row>
    <row r="347">
      <c r="B347" s="279"/>
    </row>
    <row r="348">
      <c r="B348" s="279"/>
    </row>
    <row r="349">
      <c r="B349" s="279"/>
    </row>
    <row r="350">
      <c r="B350" s="279"/>
    </row>
    <row r="351">
      <c r="B351" s="279"/>
    </row>
    <row r="352">
      <c r="B352" s="279"/>
    </row>
    <row r="353">
      <c r="B353" s="279"/>
    </row>
    <row r="354">
      <c r="B354" s="279"/>
    </row>
    <row r="355">
      <c r="B355" s="279"/>
    </row>
    <row r="356">
      <c r="B356" s="279"/>
    </row>
    <row r="357">
      <c r="B357" s="279"/>
    </row>
    <row r="358">
      <c r="B358" s="279"/>
    </row>
    <row r="359">
      <c r="B359" s="279"/>
    </row>
    <row r="360">
      <c r="B360" s="279"/>
    </row>
    <row r="361">
      <c r="B361" s="279"/>
    </row>
    <row r="362">
      <c r="B362" s="279"/>
    </row>
    <row r="363">
      <c r="B363" s="279"/>
    </row>
    <row r="364">
      <c r="B364" s="279"/>
    </row>
    <row r="365">
      <c r="B365" s="279"/>
    </row>
    <row r="366">
      <c r="B366" s="279"/>
    </row>
    <row r="367">
      <c r="B367" s="279"/>
    </row>
    <row r="368">
      <c r="B368" s="279"/>
    </row>
    <row r="369">
      <c r="B369" s="279"/>
    </row>
    <row r="370">
      <c r="B370" s="279"/>
    </row>
    <row r="371">
      <c r="B371" s="279"/>
    </row>
    <row r="372">
      <c r="B372" s="279"/>
    </row>
    <row r="373">
      <c r="B373" s="279"/>
    </row>
    <row r="374">
      <c r="B374" s="279"/>
    </row>
    <row r="375">
      <c r="B375" s="279"/>
    </row>
    <row r="376">
      <c r="B376" s="279"/>
    </row>
    <row r="377">
      <c r="B377" s="279"/>
    </row>
    <row r="378">
      <c r="B378" s="279"/>
    </row>
    <row r="379">
      <c r="B379" s="279"/>
    </row>
    <row r="380">
      <c r="B380" s="279"/>
    </row>
    <row r="381">
      <c r="B381" s="279"/>
    </row>
    <row r="382">
      <c r="B382" s="279"/>
    </row>
    <row r="383">
      <c r="B383" s="279"/>
    </row>
    <row r="384">
      <c r="B384" s="279"/>
    </row>
    <row r="385">
      <c r="B385" s="279"/>
    </row>
    <row r="386">
      <c r="B386" s="279"/>
    </row>
    <row r="387">
      <c r="B387" s="279"/>
    </row>
    <row r="388">
      <c r="B388" s="279"/>
    </row>
    <row r="389">
      <c r="B389" s="279"/>
    </row>
    <row r="390">
      <c r="B390" s="279"/>
    </row>
    <row r="391">
      <c r="B391" s="279"/>
    </row>
    <row r="392">
      <c r="B392" s="279"/>
    </row>
    <row r="393">
      <c r="B393" s="279"/>
    </row>
    <row r="394">
      <c r="B394" s="279"/>
    </row>
    <row r="395">
      <c r="B395" s="279"/>
    </row>
    <row r="396">
      <c r="B396" s="279"/>
    </row>
    <row r="397">
      <c r="B397" s="279"/>
    </row>
    <row r="398">
      <c r="B398" s="279"/>
    </row>
    <row r="399">
      <c r="B399" s="279"/>
    </row>
    <row r="400">
      <c r="B400" s="279"/>
    </row>
    <row r="401">
      <c r="B401" s="279"/>
    </row>
    <row r="402">
      <c r="B402" s="279"/>
    </row>
    <row r="403">
      <c r="B403" s="279"/>
    </row>
    <row r="404">
      <c r="B404" s="279"/>
    </row>
    <row r="405">
      <c r="B405" s="279"/>
    </row>
    <row r="406">
      <c r="B406" s="279"/>
    </row>
    <row r="407">
      <c r="B407" s="279"/>
    </row>
    <row r="408">
      <c r="B408" s="279"/>
    </row>
    <row r="409">
      <c r="B409" s="279"/>
    </row>
    <row r="410">
      <c r="B410" s="279"/>
    </row>
    <row r="411">
      <c r="B411" s="279"/>
    </row>
    <row r="412">
      <c r="B412" s="279"/>
    </row>
    <row r="413">
      <c r="B413" s="279"/>
    </row>
    <row r="414">
      <c r="B414" s="279"/>
    </row>
    <row r="415">
      <c r="B415" s="279"/>
    </row>
    <row r="416">
      <c r="B416" s="279"/>
    </row>
    <row r="417">
      <c r="B417" s="279"/>
    </row>
    <row r="418">
      <c r="B418" s="279"/>
    </row>
    <row r="419">
      <c r="B419" s="279"/>
    </row>
    <row r="420">
      <c r="B420" s="279"/>
    </row>
    <row r="421">
      <c r="B421" s="279"/>
    </row>
    <row r="422">
      <c r="B422" s="279"/>
    </row>
    <row r="423">
      <c r="B423" s="279"/>
    </row>
    <row r="424">
      <c r="B424" s="279"/>
    </row>
    <row r="425">
      <c r="B425" s="279"/>
    </row>
    <row r="426">
      <c r="B426" s="279"/>
    </row>
    <row r="427">
      <c r="B427" s="279"/>
    </row>
    <row r="428">
      <c r="B428" s="279"/>
    </row>
    <row r="429">
      <c r="B429" s="279"/>
    </row>
    <row r="430">
      <c r="B430" s="279"/>
    </row>
    <row r="431">
      <c r="B431" s="279"/>
    </row>
    <row r="432">
      <c r="B432" s="279"/>
    </row>
    <row r="433">
      <c r="B433" s="279"/>
    </row>
    <row r="434">
      <c r="B434" s="279"/>
    </row>
    <row r="435">
      <c r="B435" s="279"/>
    </row>
    <row r="436">
      <c r="B436" s="279"/>
    </row>
    <row r="437">
      <c r="B437" s="279"/>
    </row>
    <row r="438">
      <c r="B438" s="279"/>
    </row>
    <row r="439">
      <c r="B439" s="279"/>
    </row>
    <row r="440">
      <c r="B440" s="279"/>
    </row>
    <row r="441">
      <c r="B441" s="279"/>
    </row>
    <row r="442">
      <c r="B442" s="279"/>
    </row>
    <row r="443">
      <c r="B443" s="279"/>
    </row>
    <row r="444">
      <c r="B444" s="279"/>
    </row>
    <row r="445">
      <c r="B445" s="279"/>
    </row>
    <row r="446">
      <c r="B446" s="279"/>
    </row>
    <row r="447">
      <c r="B447" s="279"/>
    </row>
    <row r="448">
      <c r="B448" s="279"/>
    </row>
    <row r="449">
      <c r="B449" s="279"/>
    </row>
    <row r="450">
      <c r="B450" s="279"/>
    </row>
    <row r="451">
      <c r="B451" s="279"/>
    </row>
    <row r="452">
      <c r="B452" s="279"/>
    </row>
    <row r="453">
      <c r="B453" s="279"/>
    </row>
    <row r="454">
      <c r="B454" s="279"/>
    </row>
    <row r="455">
      <c r="B455" s="279"/>
    </row>
    <row r="456">
      <c r="B456" s="279"/>
    </row>
    <row r="457">
      <c r="B457" s="279"/>
    </row>
    <row r="458">
      <c r="B458" s="279"/>
    </row>
    <row r="459">
      <c r="B459" s="279"/>
    </row>
    <row r="460">
      <c r="B460" s="279"/>
    </row>
    <row r="461">
      <c r="B461" s="279"/>
    </row>
    <row r="462">
      <c r="B462" s="279"/>
    </row>
    <row r="463">
      <c r="B463" s="279"/>
    </row>
    <row r="464">
      <c r="B464" s="279"/>
    </row>
    <row r="465">
      <c r="B465" s="279"/>
    </row>
    <row r="466">
      <c r="B466" s="279"/>
    </row>
    <row r="467">
      <c r="B467" s="279"/>
    </row>
    <row r="468">
      <c r="B468" s="279"/>
    </row>
    <row r="469">
      <c r="B469" s="279"/>
    </row>
    <row r="470">
      <c r="B470" s="279"/>
    </row>
    <row r="471">
      <c r="B471" s="279"/>
    </row>
    <row r="472">
      <c r="B472" s="279"/>
    </row>
    <row r="473">
      <c r="B473" s="279"/>
    </row>
    <row r="474">
      <c r="B474" s="279"/>
    </row>
    <row r="475">
      <c r="B475" s="279"/>
    </row>
    <row r="476">
      <c r="B476" s="279"/>
    </row>
    <row r="477">
      <c r="B477" s="279"/>
    </row>
    <row r="478">
      <c r="B478" s="279"/>
    </row>
    <row r="479">
      <c r="B479" s="279"/>
    </row>
    <row r="480">
      <c r="B480" s="279"/>
    </row>
    <row r="481">
      <c r="B481" s="279"/>
    </row>
    <row r="482">
      <c r="B482" s="279"/>
    </row>
    <row r="483">
      <c r="B483" s="279"/>
    </row>
    <row r="484">
      <c r="B484" s="279"/>
    </row>
    <row r="485">
      <c r="B485" s="279"/>
    </row>
    <row r="486">
      <c r="B486" s="279"/>
    </row>
    <row r="487">
      <c r="B487" s="279"/>
    </row>
    <row r="488">
      <c r="B488" s="279"/>
    </row>
    <row r="489">
      <c r="B489" s="279"/>
    </row>
    <row r="490">
      <c r="B490" s="279"/>
    </row>
    <row r="491">
      <c r="B491" s="279"/>
    </row>
    <row r="492">
      <c r="B492" s="279"/>
    </row>
    <row r="493">
      <c r="B493" s="279"/>
    </row>
    <row r="494">
      <c r="B494" s="279"/>
    </row>
    <row r="495">
      <c r="B495" s="279"/>
    </row>
    <row r="496">
      <c r="B496" s="279"/>
    </row>
    <row r="497">
      <c r="B497" s="279"/>
    </row>
    <row r="498">
      <c r="B498" s="279"/>
    </row>
    <row r="499">
      <c r="B499" s="279"/>
    </row>
    <row r="500">
      <c r="B500" s="279"/>
    </row>
    <row r="501">
      <c r="B501" s="279"/>
    </row>
    <row r="502">
      <c r="B502" s="279"/>
    </row>
    <row r="503">
      <c r="B503" s="279"/>
    </row>
    <row r="504">
      <c r="B504" s="279"/>
    </row>
    <row r="505">
      <c r="B505" s="279"/>
    </row>
    <row r="506">
      <c r="B506" s="279"/>
    </row>
    <row r="507">
      <c r="B507" s="279"/>
    </row>
    <row r="508">
      <c r="B508" s="279"/>
    </row>
    <row r="509">
      <c r="B509" s="279"/>
    </row>
    <row r="510">
      <c r="B510" s="279"/>
    </row>
    <row r="511">
      <c r="B511" s="279"/>
    </row>
    <row r="512">
      <c r="B512" s="279"/>
    </row>
    <row r="513">
      <c r="B513" s="279"/>
    </row>
    <row r="514">
      <c r="B514" s="279"/>
    </row>
    <row r="515">
      <c r="B515" s="279"/>
    </row>
    <row r="516">
      <c r="B516" s="279"/>
    </row>
    <row r="517">
      <c r="B517" s="279"/>
    </row>
    <row r="518">
      <c r="B518" s="279"/>
    </row>
    <row r="519">
      <c r="B519" s="279"/>
    </row>
    <row r="520">
      <c r="B520" s="279"/>
    </row>
    <row r="521">
      <c r="B521" s="279"/>
    </row>
    <row r="522">
      <c r="B522" s="279"/>
    </row>
    <row r="523">
      <c r="B523" s="279"/>
    </row>
    <row r="524">
      <c r="B524" s="279"/>
    </row>
    <row r="525">
      <c r="B525" s="279"/>
    </row>
    <row r="526">
      <c r="B526" s="279"/>
    </row>
    <row r="527">
      <c r="B527" s="279"/>
    </row>
    <row r="528">
      <c r="B528" s="279"/>
    </row>
    <row r="529">
      <c r="B529" s="279"/>
    </row>
    <row r="530">
      <c r="B530" s="279"/>
    </row>
    <row r="531">
      <c r="B531" s="279"/>
    </row>
    <row r="532">
      <c r="B532" s="279"/>
    </row>
    <row r="533">
      <c r="B533" s="279"/>
    </row>
    <row r="534">
      <c r="B534" s="279"/>
    </row>
    <row r="535">
      <c r="B535" s="279"/>
    </row>
    <row r="536">
      <c r="B536" s="279"/>
    </row>
    <row r="537">
      <c r="B537" s="279"/>
    </row>
    <row r="538">
      <c r="B538" s="279"/>
    </row>
    <row r="539">
      <c r="B539" s="279"/>
    </row>
    <row r="540">
      <c r="B540" s="279"/>
    </row>
    <row r="541">
      <c r="B541" s="279"/>
    </row>
    <row r="542">
      <c r="B542" s="279"/>
    </row>
    <row r="543">
      <c r="B543" s="279"/>
    </row>
    <row r="544">
      <c r="B544" s="279"/>
    </row>
    <row r="545">
      <c r="B545" s="279"/>
    </row>
    <row r="546">
      <c r="B546" s="279"/>
    </row>
    <row r="547">
      <c r="B547" s="279"/>
    </row>
    <row r="548">
      <c r="B548" s="279"/>
    </row>
    <row r="549">
      <c r="B549" s="279"/>
    </row>
    <row r="550">
      <c r="B550" s="279"/>
    </row>
    <row r="551">
      <c r="B551" s="279"/>
    </row>
    <row r="552">
      <c r="B552" s="279"/>
    </row>
    <row r="553">
      <c r="B553" s="279"/>
    </row>
    <row r="554">
      <c r="B554" s="279"/>
    </row>
    <row r="555">
      <c r="B555" s="279"/>
    </row>
    <row r="556">
      <c r="B556" s="279"/>
    </row>
    <row r="557">
      <c r="B557" s="279"/>
    </row>
    <row r="558">
      <c r="B558" s="279"/>
    </row>
    <row r="559">
      <c r="B559" s="279"/>
    </row>
    <row r="560">
      <c r="B560" s="279"/>
    </row>
    <row r="561">
      <c r="B561" s="279"/>
    </row>
    <row r="562">
      <c r="B562" s="279"/>
    </row>
    <row r="563">
      <c r="B563" s="279"/>
    </row>
    <row r="564">
      <c r="B564" s="279"/>
    </row>
    <row r="565">
      <c r="B565" s="279"/>
    </row>
    <row r="566">
      <c r="B566" s="279"/>
    </row>
    <row r="567">
      <c r="B567" s="279"/>
    </row>
    <row r="568">
      <c r="B568" s="279"/>
    </row>
    <row r="569">
      <c r="B569" s="279"/>
    </row>
    <row r="570">
      <c r="B570" s="279"/>
    </row>
    <row r="571">
      <c r="B571" s="279"/>
    </row>
    <row r="572">
      <c r="B572" s="279"/>
    </row>
    <row r="573">
      <c r="B573" s="279"/>
    </row>
    <row r="574">
      <c r="B574" s="279"/>
    </row>
    <row r="575">
      <c r="B575" s="279"/>
    </row>
    <row r="576">
      <c r="B576" s="279"/>
    </row>
    <row r="577">
      <c r="B577" s="279"/>
    </row>
    <row r="578">
      <c r="B578" s="279"/>
    </row>
    <row r="579">
      <c r="B579" s="279"/>
    </row>
    <row r="580">
      <c r="B580" s="279"/>
    </row>
    <row r="581">
      <c r="B581" s="279"/>
    </row>
    <row r="582">
      <c r="B582" s="279"/>
    </row>
    <row r="583">
      <c r="B583" s="279"/>
    </row>
    <row r="584">
      <c r="B584" s="279"/>
    </row>
    <row r="585">
      <c r="B585" s="279"/>
    </row>
    <row r="586">
      <c r="B586" s="279"/>
    </row>
    <row r="587">
      <c r="B587" s="279"/>
    </row>
    <row r="588">
      <c r="B588" s="279"/>
    </row>
    <row r="589">
      <c r="B589" s="279"/>
    </row>
    <row r="590">
      <c r="B590" s="279"/>
    </row>
    <row r="591">
      <c r="B591" s="279"/>
    </row>
    <row r="592">
      <c r="B592" s="279"/>
    </row>
    <row r="593">
      <c r="B593" s="279"/>
    </row>
    <row r="594">
      <c r="B594" s="279"/>
    </row>
    <row r="595">
      <c r="B595" s="279"/>
    </row>
    <row r="596">
      <c r="B596" s="279"/>
    </row>
    <row r="597">
      <c r="B597" s="279"/>
    </row>
    <row r="598">
      <c r="B598" s="279"/>
    </row>
    <row r="599">
      <c r="B599" s="279"/>
    </row>
    <row r="600">
      <c r="B600" s="279"/>
    </row>
    <row r="601">
      <c r="B601" s="279"/>
    </row>
    <row r="602">
      <c r="B602" s="279"/>
    </row>
    <row r="603">
      <c r="B603" s="279"/>
    </row>
    <row r="604">
      <c r="B604" s="279"/>
    </row>
    <row r="605">
      <c r="B605" s="279"/>
    </row>
    <row r="606">
      <c r="B606" s="279"/>
    </row>
    <row r="607">
      <c r="B607" s="279"/>
    </row>
    <row r="608">
      <c r="B608" s="279"/>
    </row>
    <row r="609">
      <c r="B609" s="279"/>
    </row>
    <row r="610">
      <c r="B610" s="279"/>
    </row>
    <row r="611">
      <c r="B611" s="279"/>
    </row>
    <row r="612">
      <c r="B612" s="279"/>
    </row>
    <row r="613">
      <c r="B613" s="279"/>
    </row>
    <row r="614">
      <c r="B614" s="279"/>
    </row>
    <row r="615">
      <c r="B615" s="279"/>
    </row>
    <row r="616">
      <c r="B616" s="279"/>
    </row>
    <row r="617">
      <c r="B617" s="279"/>
    </row>
    <row r="618">
      <c r="B618" s="279"/>
    </row>
    <row r="619">
      <c r="B619" s="279"/>
    </row>
    <row r="620">
      <c r="B620" s="279"/>
    </row>
    <row r="621">
      <c r="B621" s="279"/>
    </row>
    <row r="622">
      <c r="B622" s="279"/>
    </row>
    <row r="623">
      <c r="B623" s="279"/>
    </row>
    <row r="624">
      <c r="B624" s="279"/>
    </row>
    <row r="625">
      <c r="B625" s="279"/>
    </row>
    <row r="626">
      <c r="B626" s="279"/>
    </row>
    <row r="627">
      <c r="B627" s="279"/>
    </row>
    <row r="628">
      <c r="B628" s="279"/>
    </row>
    <row r="629">
      <c r="B629" s="279"/>
    </row>
    <row r="630">
      <c r="B630" s="279"/>
    </row>
    <row r="631">
      <c r="B631" s="279"/>
    </row>
    <row r="632">
      <c r="B632" s="279"/>
    </row>
    <row r="633">
      <c r="B633" s="279"/>
    </row>
    <row r="634">
      <c r="B634" s="279"/>
    </row>
    <row r="635">
      <c r="B635" s="279"/>
    </row>
    <row r="636">
      <c r="B636" s="279"/>
    </row>
    <row r="637">
      <c r="B637" s="279"/>
    </row>
    <row r="638">
      <c r="B638" s="279"/>
    </row>
    <row r="639">
      <c r="B639" s="279"/>
    </row>
    <row r="640">
      <c r="B640" s="279"/>
    </row>
    <row r="641">
      <c r="B641" s="279"/>
    </row>
    <row r="642">
      <c r="B642" s="279"/>
    </row>
    <row r="643">
      <c r="B643" s="279"/>
    </row>
    <row r="644">
      <c r="B644" s="279"/>
    </row>
    <row r="645">
      <c r="B645" s="279"/>
    </row>
    <row r="646">
      <c r="B646" s="279"/>
    </row>
    <row r="647">
      <c r="B647" s="279"/>
    </row>
    <row r="648">
      <c r="B648" s="279"/>
    </row>
    <row r="649">
      <c r="B649" s="279"/>
    </row>
    <row r="650">
      <c r="B650" s="279"/>
    </row>
    <row r="651">
      <c r="B651" s="279"/>
    </row>
    <row r="652">
      <c r="B652" s="279"/>
    </row>
    <row r="653">
      <c r="B653" s="279"/>
    </row>
    <row r="654">
      <c r="B654" s="279"/>
    </row>
    <row r="655">
      <c r="B655" s="279"/>
    </row>
    <row r="656">
      <c r="B656" s="279"/>
    </row>
    <row r="657">
      <c r="B657" s="279"/>
    </row>
    <row r="658">
      <c r="B658" s="279"/>
    </row>
    <row r="659">
      <c r="B659" s="279"/>
    </row>
    <row r="660">
      <c r="B660" s="279"/>
    </row>
    <row r="661">
      <c r="B661" s="279"/>
    </row>
    <row r="662">
      <c r="B662" s="279"/>
    </row>
    <row r="663">
      <c r="B663" s="279"/>
    </row>
    <row r="664">
      <c r="B664" s="279"/>
    </row>
    <row r="665">
      <c r="B665" s="279"/>
    </row>
    <row r="666">
      <c r="B666" s="279"/>
    </row>
    <row r="667">
      <c r="B667" s="279"/>
    </row>
    <row r="668">
      <c r="B668" s="279"/>
    </row>
    <row r="669">
      <c r="B669" s="279"/>
    </row>
    <row r="670">
      <c r="B670" s="279"/>
    </row>
    <row r="671">
      <c r="B671" s="279"/>
    </row>
    <row r="672">
      <c r="B672" s="279"/>
    </row>
    <row r="673">
      <c r="B673" s="279"/>
    </row>
    <row r="674">
      <c r="B674" s="279"/>
    </row>
    <row r="675">
      <c r="B675" s="279"/>
    </row>
    <row r="676">
      <c r="B676" s="279"/>
    </row>
    <row r="677">
      <c r="B677" s="279"/>
    </row>
    <row r="678">
      <c r="B678" s="279"/>
    </row>
    <row r="679">
      <c r="B679" s="279"/>
    </row>
    <row r="680">
      <c r="B680" s="279"/>
    </row>
    <row r="681">
      <c r="B681" s="279"/>
    </row>
    <row r="682">
      <c r="B682" s="279"/>
    </row>
    <row r="683">
      <c r="B683" s="279"/>
    </row>
    <row r="684">
      <c r="B684" s="279"/>
    </row>
    <row r="685">
      <c r="B685" s="279"/>
    </row>
    <row r="686">
      <c r="B686" s="279"/>
    </row>
    <row r="687">
      <c r="B687" s="279"/>
    </row>
    <row r="688">
      <c r="B688" s="279"/>
    </row>
    <row r="689">
      <c r="B689" s="279"/>
    </row>
    <row r="690">
      <c r="B690" s="279"/>
    </row>
    <row r="691">
      <c r="B691" s="279"/>
    </row>
    <row r="692">
      <c r="B692" s="279"/>
    </row>
    <row r="693">
      <c r="B693" s="279"/>
    </row>
    <row r="694">
      <c r="B694" s="279"/>
    </row>
    <row r="695">
      <c r="B695" s="279"/>
    </row>
    <row r="696">
      <c r="B696" s="279"/>
    </row>
    <row r="697">
      <c r="B697" s="279"/>
    </row>
    <row r="698">
      <c r="B698" s="279"/>
    </row>
    <row r="699">
      <c r="B699" s="279"/>
    </row>
    <row r="700">
      <c r="B700" s="279"/>
    </row>
    <row r="701">
      <c r="B701" s="279"/>
    </row>
    <row r="702">
      <c r="B702" s="279"/>
    </row>
    <row r="703">
      <c r="B703" s="279"/>
    </row>
    <row r="704">
      <c r="B704" s="279"/>
    </row>
    <row r="705">
      <c r="B705" s="279"/>
    </row>
    <row r="706">
      <c r="B706" s="279"/>
    </row>
    <row r="707">
      <c r="B707" s="279"/>
    </row>
    <row r="708">
      <c r="B708" s="279"/>
    </row>
    <row r="709">
      <c r="B709" s="279"/>
    </row>
    <row r="710">
      <c r="B710" s="279"/>
    </row>
    <row r="711">
      <c r="B711" s="279"/>
    </row>
    <row r="712">
      <c r="B712" s="279"/>
    </row>
    <row r="713">
      <c r="B713" s="279"/>
    </row>
    <row r="714">
      <c r="B714" s="279"/>
    </row>
    <row r="715">
      <c r="B715" s="279"/>
    </row>
    <row r="716">
      <c r="B716" s="279"/>
    </row>
    <row r="717">
      <c r="B717" s="279"/>
    </row>
    <row r="718">
      <c r="B718" s="279"/>
    </row>
    <row r="719">
      <c r="B719" s="279"/>
    </row>
    <row r="720">
      <c r="B720" s="279"/>
    </row>
    <row r="721">
      <c r="B721" s="279"/>
    </row>
    <row r="722">
      <c r="B722" s="279"/>
    </row>
    <row r="723">
      <c r="B723" s="279"/>
    </row>
    <row r="724">
      <c r="B724" s="279"/>
    </row>
    <row r="725">
      <c r="B725" s="279"/>
    </row>
    <row r="726">
      <c r="B726" s="279"/>
    </row>
    <row r="727">
      <c r="B727" s="279"/>
    </row>
    <row r="728">
      <c r="B728" s="279"/>
    </row>
    <row r="729">
      <c r="B729" s="279"/>
    </row>
    <row r="730">
      <c r="B730" s="279"/>
    </row>
    <row r="731">
      <c r="B731" s="279"/>
    </row>
    <row r="732">
      <c r="B732" s="279"/>
    </row>
    <row r="733">
      <c r="B733" s="279"/>
    </row>
    <row r="734">
      <c r="B734" s="279"/>
    </row>
    <row r="735">
      <c r="B735" s="279"/>
    </row>
    <row r="736">
      <c r="B736" s="279"/>
    </row>
    <row r="737">
      <c r="B737" s="279"/>
    </row>
    <row r="738">
      <c r="B738" s="279"/>
    </row>
    <row r="739">
      <c r="B739" s="279"/>
    </row>
    <row r="740">
      <c r="B740" s="279"/>
    </row>
    <row r="741">
      <c r="B741" s="279"/>
    </row>
    <row r="742">
      <c r="B742" s="279"/>
    </row>
    <row r="743">
      <c r="B743" s="279"/>
    </row>
    <row r="744">
      <c r="B744" s="279"/>
    </row>
    <row r="745">
      <c r="B745" s="279"/>
    </row>
    <row r="746">
      <c r="B746" s="279"/>
    </row>
    <row r="747">
      <c r="B747" s="279"/>
    </row>
    <row r="748">
      <c r="B748" s="279"/>
    </row>
    <row r="749">
      <c r="B749" s="279"/>
    </row>
    <row r="750">
      <c r="B750" s="279"/>
    </row>
    <row r="751">
      <c r="B751" s="279"/>
    </row>
    <row r="752">
      <c r="B752" s="279"/>
    </row>
    <row r="753">
      <c r="B753" s="279"/>
    </row>
    <row r="754">
      <c r="B754" s="279"/>
    </row>
    <row r="755">
      <c r="B755" s="279"/>
    </row>
    <row r="756">
      <c r="B756" s="279"/>
    </row>
    <row r="757">
      <c r="B757" s="279"/>
    </row>
    <row r="758">
      <c r="B758" s="279"/>
    </row>
    <row r="759">
      <c r="B759" s="279"/>
    </row>
    <row r="760">
      <c r="B760" s="279"/>
    </row>
    <row r="761">
      <c r="B761" s="279"/>
    </row>
    <row r="762">
      <c r="B762" s="279"/>
    </row>
    <row r="763">
      <c r="B763" s="279"/>
    </row>
    <row r="764">
      <c r="B764" s="279"/>
    </row>
    <row r="765">
      <c r="B765" s="279"/>
    </row>
    <row r="766">
      <c r="B766" s="279"/>
    </row>
    <row r="767">
      <c r="B767" s="279"/>
    </row>
    <row r="768">
      <c r="B768" s="279"/>
    </row>
    <row r="769">
      <c r="B769" s="279"/>
    </row>
    <row r="770">
      <c r="B770" s="279"/>
    </row>
    <row r="771">
      <c r="B771" s="279"/>
    </row>
    <row r="772">
      <c r="B772" s="279"/>
    </row>
    <row r="773">
      <c r="B773" s="279"/>
    </row>
    <row r="774">
      <c r="B774" s="279"/>
    </row>
    <row r="775">
      <c r="B775" s="279"/>
    </row>
    <row r="776">
      <c r="B776" s="279"/>
    </row>
    <row r="777">
      <c r="B777" s="279"/>
    </row>
    <row r="778">
      <c r="B778" s="279"/>
    </row>
    <row r="779">
      <c r="B779" s="279"/>
    </row>
    <row r="780">
      <c r="B780" s="279"/>
    </row>
    <row r="781">
      <c r="B781" s="279"/>
    </row>
    <row r="782">
      <c r="B782" s="279"/>
    </row>
    <row r="783">
      <c r="B783" s="279"/>
    </row>
    <row r="784">
      <c r="B784" s="279"/>
    </row>
    <row r="785">
      <c r="B785" s="279"/>
    </row>
    <row r="786">
      <c r="B786" s="279"/>
    </row>
    <row r="787">
      <c r="B787" s="279"/>
    </row>
    <row r="788">
      <c r="B788" s="279"/>
    </row>
    <row r="789">
      <c r="B789" s="279"/>
    </row>
    <row r="790">
      <c r="B790" s="279"/>
    </row>
    <row r="791">
      <c r="B791" s="279"/>
    </row>
    <row r="792">
      <c r="B792" s="279"/>
    </row>
    <row r="793">
      <c r="B793" s="279"/>
    </row>
    <row r="794">
      <c r="B794" s="279"/>
    </row>
    <row r="795">
      <c r="B795" s="279"/>
    </row>
    <row r="796">
      <c r="B796" s="279"/>
    </row>
    <row r="797">
      <c r="B797" s="279"/>
    </row>
    <row r="798">
      <c r="B798" s="279"/>
    </row>
    <row r="799">
      <c r="B799" s="279"/>
    </row>
    <row r="800">
      <c r="B800" s="279"/>
    </row>
    <row r="801">
      <c r="B801" s="279"/>
    </row>
    <row r="802">
      <c r="B802" s="279"/>
    </row>
    <row r="803">
      <c r="B803" s="279"/>
    </row>
    <row r="804">
      <c r="B804" s="279"/>
    </row>
    <row r="805">
      <c r="B805" s="279"/>
    </row>
    <row r="806">
      <c r="B806" s="279"/>
    </row>
    <row r="807">
      <c r="B807" s="279"/>
    </row>
    <row r="808">
      <c r="B808" s="279"/>
    </row>
    <row r="809">
      <c r="B809" s="279"/>
    </row>
    <row r="810">
      <c r="B810" s="279"/>
    </row>
    <row r="811">
      <c r="B811" s="279"/>
    </row>
    <row r="812">
      <c r="B812" s="279"/>
    </row>
    <row r="813">
      <c r="B813" s="279"/>
    </row>
    <row r="814">
      <c r="B814" s="279"/>
    </row>
    <row r="815">
      <c r="B815" s="279"/>
    </row>
    <row r="816">
      <c r="B816" s="279"/>
    </row>
    <row r="817">
      <c r="B817" s="279"/>
    </row>
    <row r="818">
      <c r="B818" s="279"/>
    </row>
    <row r="819">
      <c r="B819" s="279"/>
    </row>
    <row r="820">
      <c r="B820" s="279"/>
    </row>
    <row r="821">
      <c r="B821" s="279"/>
    </row>
    <row r="822">
      <c r="B822" s="279"/>
    </row>
    <row r="823">
      <c r="B823" s="279"/>
    </row>
    <row r="824">
      <c r="B824" s="279"/>
    </row>
    <row r="825">
      <c r="B825" s="279"/>
    </row>
    <row r="826">
      <c r="B826" s="279"/>
    </row>
    <row r="827">
      <c r="B827" s="279"/>
    </row>
    <row r="828">
      <c r="B828" s="279"/>
    </row>
    <row r="829">
      <c r="B829" s="279"/>
    </row>
    <row r="830">
      <c r="B830" s="279"/>
    </row>
    <row r="831">
      <c r="B831" s="279"/>
    </row>
    <row r="832">
      <c r="B832" s="279"/>
    </row>
    <row r="833">
      <c r="B833" s="279"/>
    </row>
    <row r="834">
      <c r="B834" s="279"/>
    </row>
    <row r="835">
      <c r="B835" s="279"/>
    </row>
    <row r="836">
      <c r="B836" s="279"/>
    </row>
    <row r="837">
      <c r="B837" s="279"/>
    </row>
    <row r="838">
      <c r="B838" s="279"/>
    </row>
    <row r="839">
      <c r="B839" s="279"/>
    </row>
    <row r="840">
      <c r="B840" s="279"/>
    </row>
    <row r="841">
      <c r="B841" s="279"/>
    </row>
    <row r="842">
      <c r="B842" s="279"/>
    </row>
    <row r="843">
      <c r="B843" s="279"/>
    </row>
    <row r="844">
      <c r="B844" s="279"/>
    </row>
    <row r="845">
      <c r="B845" s="279"/>
    </row>
    <row r="846">
      <c r="B846" s="279"/>
    </row>
    <row r="847">
      <c r="B847" s="279"/>
    </row>
    <row r="848">
      <c r="B848" s="279"/>
    </row>
    <row r="849">
      <c r="B849" s="279"/>
    </row>
    <row r="850">
      <c r="B850" s="279"/>
    </row>
    <row r="851">
      <c r="B851" s="279"/>
    </row>
    <row r="852">
      <c r="B852" s="279"/>
    </row>
    <row r="853">
      <c r="B853" s="279"/>
    </row>
    <row r="854">
      <c r="B854" s="279"/>
    </row>
    <row r="855">
      <c r="B855" s="279"/>
    </row>
    <row r="856">
      <c r="B856" s="279"/>
    </row>
    <row r="857">
      <c r="B857" s="279"/>
    </row>
    <row r="858">
      <c r="B858" s="279"/>
    </row>
    <row r="859">
      <c r="B859" s="279"/>
    </row>
    <row r="860">
      <c r="B860" s="279"/>
    </row>
    <row r="861">
      <c r="B861" s="279"/>
    </row>
    <row r="862">
      <c r="B862" s="279"/>
    </row>
    <row r="863">
      <c r="B863" s="279"/>
    </row>
    <row r="864">
      <c r="B864" s="279"/>
    </row>
    <row r="865">
      <c r="B865" s="279"/>
    </row>
    <row r="866">
      <c r="B866" s="279"/>
    </row>
    <row r="867">
      <c r="B867" s="279"/>
    </row>
    <row r="868">
      <c r="B868" s="279"/>
    </row>
    <row r="869">
      <c r="B869" s="279"/>
    </row>
    <row r="870">
      <c r="B870" s="279"/>
    </row>
    <row r="871">
      <c r="B871" s="279"/>
    </row>
    <row r="872">
      <c r="B872" s="279"/>
    </row>
    <row r="873">
      <c r="B873" s="279"/>
    </row>
    <row r="874">
      <c r="B874" s="279"/>
    </row>
    <row r="875">
      <c r="B875" s="279"/>
    </row>
    <row r="876">
      <c r="B876" s="279"/>
    </row>
    <row r="877">
      <c r="B877" s="279"/>
    </row>
    <row r="878">
      <c r="B878" s="279"/>
    </row>
    <row r="879">
      <c r="B879" s="279"/>
    </row>
    <row r="880">
      <c r="B880" s="279"/>
    </row>
    <row r="881">
      <c r="B881" s="279"/>
    </row>
    <row r="882">
      <c r="B882" s="279"/>
    </row>
    <row r="883">
      <c r="B883" s="279"/>
    </row>
    <row r="884">
      <c r="B884" s="279"/>
    </row>
    <row r="885">
      <c r="B885" s="279"/>
    </row>
    <row r="886">
      <c r="B886" s="279"/>
    </row>
    <row r="887">
      <c r="B887" s="279"/>
    </row>
    <row r="888">
      <c r="B888" s="279"/>
    </row>
    <row r="889">
      <c r="B889" s="279"/>
    </row>
    <row r="890">
      <c r="B890" s="279"/>
    </row>
    <row r="891">
      <c r="B891" s="279"/>
    </row>
    <row r="892">
      <c r="B892" s="279"/>
    </row>
    <row r="893">
      <c r="B893" s="279"/>
    </row>
    <row r="894">
      <c r="B894" s="279"/>
    </row>
    <row r="895">
      <c r="B895" s="279"/>
    </row>
    <row r="896">
      <c r="B896" s="279"/>
    </row>
    <row r="897">
      <c r="B897" s="279"/>
    </row>
    <row r="898">
      <c r="B898" s="279"/>
    </row>
    <row r="899">
      <c r="B899" s="279"/>
    </row>
    <row r="900">
      <c r="B900" s="279"/>
    </row>
    <row r="901">
      <c r="B901" s="279"/>
    </row>
    <row r="902">
      <c r="B902" s="279"/>
    </row>
    <row r="903">
      <c r="B903" s="279"/>
    </row>
    <row r="904">
      <c r="B904" s="279"/>
    </row>
    <row r="905">
      <c r="B905" s="279"/>
    </row>
    <row r="906">
      <c r="B906" s="279"/>
    </row>
    <row r="907">
      <c r="B907" s="279"/>
    </row>
    <row r="908">
      <c r="B908" s="279"/>
    </row>
    <row r="909">
      <c r="B909" s="279"/>
    </row>
    <row r="910">
      <c r="B910" s="279"/>
    </row>
    <row r="911">
      <c r="B911" s="279"/>
    </row>
    <row r="912">
      <c r="B912" s="279"/>
    </row>
    <row r="913">
      <c r="B913" s="279"/>
    </row>
    <row r="914">
      <c r="B914" s="279"/>
    </row>
    <row r="915">
      <c r="B915" s="279"/>
    </row>
    <row r="916">
      <c r="B916" s="279"/>
    </row>
    <row r="917">
      <c r="B917" s="279"/>
    </row>
    <row r="918">
      <c r="B918" s="279"/>
    </row>
    <row r="919">
      <c r="B919" s="279"/>
    </row>
    <row r="920">
      <c r="B920" s="279"/>
    </row>
    <row r="921">
      <c r="B921" s="279"/>
    </row>
    <row r="922">
      <c r="B922" s="279"/>
    </row>
    <row r="923">
      <c r="B923" s="279"/>
    </row>
    <row r="924">
      <c r="B924" s="279"/>
    </row>
    <row r="925">
      <c r="B925" s="279"/>
    </row>
    <row r="926">
      <c r="B926" s="279"/>
    </row>
    <row r="927">
      <c r="B927" s="279"/>
    </row>
    <row r="928">
      <c r="B928" s="279"/>
    </row>
    <row r="929">
      <c r="B929" s="279"/>
    </row>
    <row r="930">
      <c r="B930" s="279"/>
    </row>
    <row r="931">
      <c r="B931" s="279"/>
    </row>
    <row r="932">
      <c r="B932" s="279"/>
    </row>
    <row r="933">
      <c r="B933" s="279"/>
    </row>
    <row r="934">
      <c r="B934" s="279"/>
    </row>
    <row r="935">
      <c r="B935" s="279"/>
    </row>
    <row r="936">
      <c r="B936" s="279"/>
    </row>
    <row r="937">
      <c r="B937" s="279"/>
    </row>
    <row r="938">
      <c r="B938" s="279"/>
    </row>
    <row r="939">
      <c r="B939" s="279"/>
    </row>
    <row r="940">
      <c r="B940" s="279"/>
    </row>
    <row r="941">
      <c r="B941" s="279"/>
    </row>
    <row r="942">
      <c r="B942" s="279"/>
    </row>
    <row r="943">
      <c r="B943" s="279"/>
    </row>
    <row r="944">
      <c r="B944" s="279"/>
    </row>
    <row r="945">
      <c r="B945" s="279"/>
    </row>
    <row r="946">
      <c r="B946" s="279"/>
    </row>
    <row r="947">
      <c r="B947" s="279"/>
    </row>
    <row r="948">
      <c r="B948" s="279"/>
    </row>
    <row r="949">
      <c r="B949" s="279"/>
    </row>
    <row r="950">
      <c r="B950" s="279"/>
    </row>
    <row r="951">
      <c r="B951" s="279"/>
    </row>
    <row r="952">
      <c r="B952" s="279"/>
    </row>
    <row r="953">
      <c r="B953" s="279"/>
    </row>
    <row r="954">
      <c r="B954" s="279"/>
    </row>
    <row r="955">
      <c r="B955" s="279"/>
    </row>
    <row r="956">
      <c r="B956" s="279"/>
    </row>
    <row r="957">
      <c r="B957" s="279"/>
    </row>
    <row r="958">
      <c r="B958" s="279"/>
    </row>
    <row r="959">
      <c r="B959" s="279"/>
    </row>
    <row r="960">
      <c r="B960" s="279"/>
    </row>
    <row r="961">
      <c r="B961" s="279"/>
    </row>
    <row r="962">
      <c r="B962" s="279"/>
    </row>
    <row r="963">
      <c r="B963" s="279"/>
    </row>
    <row r="964">
      <c r="B964" s="279"/>
    </row>
    <row r="965">
      <c r="B965" s="279"/>
    </row>
    <row r="966">
      <c r="B966" s="279"/>
    </row>
    <row r="967">
      <c r="B967" s="279"/>
    </row>
    <row r="968">
      <c r="B968" s="279"/>
    </row>
    <row r="969">
      <c r="B969" s="279"/>
    </row>
    <row r="970">
      <c r="B970" s="279"/>
    </row>
    <row r="971">
      <c r="B971" s="279"/>
    </row>
    <row r="972">
      <c r="B972" s="279"/>
    </row>
    <row r="973">
      <c r="B973" s="279"/>
    </row>
    <row r="974">
      <c r="B974" s="279"/>
    </row>
    <row r="975">
      <c r="B975" s="279"/>
    </row>
    <row r="976">
      <c r="B976" s="279"/>
    </row>
    <row r="977">
      <c r="B977" s="279"/>
    </row>
    <row r="978">
      <c r="B978" s="279"/>
    </row>
    <row r="979">
      <c r="B979" s="279"/>
    </row>
    <row r="980">
      <c r="B980" s="279"/>
    </row>
    <row r="981">
      <c r="B981" s="279"/>
    </row>
    <row r="982">
      <c r="B982" s="279"/>
    </row>
    <row r="983">
      <c r="B983" s="279"/>
    </row>
    <row r="984">
      <c r="B984" s="279"/>
    </row>
    <row r="985">
      <c r="B985" s="279"/>
    </row>
    <row r="986">
      <c r="B986" s="279"/>
    </row>
    <row r="987">
      <c r="B987" s="279"/>
    </row>
    <row r="988">
      <c r="B988" s="279"/>
    </row>
    <row r="989">
      <c r="B989" s="279"/>
    </row>
    <row r="990">
      <c r="B990" s="279"/>
    </row>
    <row r="991">
      <c r="B991" s="279"/>
    </row>
    <row r="992">
      <c r="B992" s="279"/>
    </row>
    <row r="993">
      <c r="B993" s="279"/>
    </row>
    <row r="994">
      <c r="B994" s="279"/>
    </row>
    <row r="995">
      <c r="B995" s="279"/>
    </row>
    <row r="996">
      <c r="B996" s="279"/>
    </row>
    <row r="997">
      <c r="B997" s="279"/>
    </row>
    <row r="998">
      <c r="B998" s="279"/>
    </row>
    <row r="999">
      <c r="B999" s="279"/>
    </row>
    <row r="1000">
      <c r="B1000" s="279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2" max="2" width="12.67"/>
    <col customWidth="1" min="4" max="4" width="12.67"/>
    <col customWidth="1" min="5" max="5" width="13.89"/>
    <col customWidth="1" min="13" max="13" width="14.33"/>
  </cols>
  <sheetData>
    <row r="2">
      <c r="B2" s="37" t="s">
        <v>177</v>
      </c>
      <c r="C2" s="38"/>
      <c r="D2" s="38"/>
      <c r="E2" s="39"/>
      <c r="L2" s="40"/>
      <c r="M2" s="40" t="s">
        <v>40</v>
      </c>
      <c r="N2" s="40"/>
    </row>
    <row r="3">
      <c r="B3" s="41"/>
      <c r="C3" s="15"/>
      <c r="D3" s="15"/>
      <c r="E3" s="42" t="str">
        <f>+SUM(E4:E14)</f>
        <v>#DIV/0!</v>
      </c>
      <c r="F3" s="15"/>
      <c r="G3" s="15"/>
      <c r="H3" s="15"/>
      <c r="L3" s="43"/>
      <c r="M3" s="43"/>
      <c r="N3" s="43"/>
    </row>
    <row r="4">
      <c r="B4" s="281" t="s">
        <v>41</v>
      </c>
      <c r="C4" s="15"/>
      <c r="D4" s="249">
        <f>+'Planilha de Rentabilidade'!E94</f>
        <v>0</v>
      </c>
      <c r="E4" s="42" t="str">
        <f t="shared" ref="E4:E14" si="1">D4/$E$15</f>
        <v>#DIV/0!</v>
      </c>
      <c r="F4" s="15"/>
      <c r="G4" s="15"/>
      <c r="H4" s="15"/>
      <c r="L4" s="43" t="s">
        <v>42</v>
      </c>
      <c r="M4" s="46">
        <f>SUM(D5:D7)</f>
        <v>0</v>
      </c>
      <c r="N4" s="47" t="str">
        <f t="shared" ref="N4:N14" si="2">M4/$M$15</f>
        <v>#DIV/0!</v>
      </c>
    </row>
    <row r="5">
      <c r="B5" s="281" t="s">
        <v>43</v>
      </c>
      <c r="C5" s="15"/>
      <c r="D5" s="249">
        <f>+'Planilha de Rentabilidade'!Q94</f>
        <v>0</v>
      </c>
      <c r="E5" s="42" t="str">
        <f t="shared" si="1"/>
        <v>#DIV/0!</v>
      </c>
      <c r="F5" s="15"/>
      <c r="G5" s="15"/>
      <c r="H5" s="15"/>
      <c r="L5" s="43"/>
      <c r="M5" s="43">
        <v>0.0</v>
      </c>
      <c r="N5" s="47" t="str">
        <f t="shared" si="2"/>
        <v>#DIV/0!</v>
      </c>
    </row>
    <row r="6">
      <c r="B6" s="281" t="s">
        <v>44</v>
      </c>
      <c r="C6" s="15"/>
      <c r="D6" s="249">
        <f>+'Planilha de Rentabilidade'!P94</f>
        <v>0</v>
      </c>
      <c r="E6" s="42" t="str">
        <f t="shared" si="1"/>
        <v>#DIV/0!</v>
      </c>
      <c r="F6" s="15"/>
      <c r="G6" s="15"/>
      <c r="H6" s="15"/>
      <c r="L6" s="43"/>
      <c r="M6" s="43">
        <v>0.0</v>
      </c>
      <c r="N6" s="47" t="str">
        <f t="shared" si="2"/>
        <v>#DIV/0!</v>
      </c>
    </row>
    <row r="7">
      <c r="B7" s="281" t="s">
        <v>45</v>
      </c>
      <c r="C7" s="15"/>
      <c r="D7" s="249">
        <f>'Planilha de Rentabilidade'!O94</f>
        <v>0</v>
      </c>
      <c r="E7" s="42" t="str">
        <f t="shared" si="1"/>
        <v>#DIV/0!</v>
      </c>
      <c r="F7" s="15"/>
      <c r="G7" s="15"/>
      <c r="H7" s="15"/>
      <c r="L7" s="43" t="s">
        <v>46</v>
      </c>
      <c r="M7" s="46">
        <f>+D11</f>
        <v>0</v>
      </c>
      <c r="N7" s="47" t="str">
        <f t="shared" si="2"/>
        <v>#DIV/0!</v>
      </c>
    </row>
    <row r="8">
      <c r="B8" s="281" t="s">
        <v>47</v>
      </c>
      <c r="C8" s="15"/>
      <c r="D8" s="249">
        <f>'Planilha de Rentabilidade'!C94+'Planilha de Rentabilidade'!D94+'Planilha de Rentabilidade'!S94+'Planilha de Rentabilidade'!F94</f>
        <v>0</v>
      </c>
      <c r="E8" s="42" t="str">
        <f t="shared" si="1"/>
        <v>#DIV/0!</v>
      </c>
      <c r="F8" s="15"/>
      <c r="G8" s="15"/>
      <c r="H8" s="15"/>
      <c r="L8" s="43" t="s">
        <v>48</v>
      </c>
      <c r="M8" s="46">
        <f>D8+D12+D13</f>
        <v>0</v>
      </c>
      <c r="N8" s="47" t="str">
        <f t="shared" si="2"/>
        <v>#DIV/0!</v>
      </c>
    </row>
    <row r="9">
      <c r="B9" s="281" t="s">
        <v>49</v>
      </c>
      <c r="C9" s="15"/>
      <c r="D9" s="249">
        <f>'Planilha de Rentabilidade'!L94</f>
        <v>0</v>
      </c>
      <c r="E9" s="42" t="str">
        <f t="shared" si="1"/>
        <v>#DIV/0!</v>
      </c>
      <c r="F9" s="15"/>
      <c r="G9" s="15"/>
      <c r="H9" s="15"/>
      <c r="L9" s="43" t="s">
        <v>50</v>
      </c>
      <c r="M9" s="46">
        <f>+D10</f>
        <v>0</v>
      </c>
      <c r="N9" s="47" t="str">
        <f t="shared" si="2"/>
        <v>#DIV/0!</v>
      </c>
    </row>
    <row r="10">
      <c r="B10" s="281" t="s">
        <v>51</v>
      </c>
      <c r="C10" s="15"/>
      <c r="D10" s="249">
        <f>'Planilha de Rentabilidade'!M94</f>
        <v>0</v>
      </c>
      <c r="E10" s="42" t="str">
        <f t="shared" si="1"/>
        <v>#DIV/0!</v>
      </c>
      <c r="F10" s="15"/>
      <c r="G10" s="15"/>
      <c r="H10" s="15"/>
      <c r="L10" s="43" t="s">
        <v>49</v>
      </c>
      <c r="M10" s="46">
        <f>D9</f>
        <v>0</v>
      </c>
      <c r="N10" s="47" t="str">
        <f t="shared" si="2"/>
        <v>#DIV/0!</v>
      </c>
    </row>
    <row r="11">
      <c r="B11" s="281" t="s">
        <v>46</v>
      </c>
      <c r="C11" s="15"/>
      <c r="D11" s="249">
        <f>0</f>
        <v>0</v>
      </c>
      <c r="E11" s="42" t="str">
        <f t="shared" si="1"/>
        <v>#DIV/0!</v>
      </c>
      <c r="F11" s="15"/>
      <c r="G11" s="15"/>
      <c r="H11" s="15"/>
      <c r="L11" s="43"/>
      <c r="M11" s="43"/>
      <c r="N11" s="47" t="str">
        <f t="shared" si="2"/>
        <v>#DIV/0!</v>
      </c>
    </row>
    <row r="12">
      <c r="B12" s="281" t="s">
        <v>52</v>
      </c>
      <c r="C12" s="15"/>
      <c r="D12" s="249">
        <f>'Planilha de Rentabilidade'!G94+'Planilha de Rentabilidade'!I94+'Planilha de Rentabilidade'!J94</f>
        <v>0</v>
      </c>
      <c r="E12" s="42" t="str">
        <f t="shared" si="1"/>
        <v>#DIV/0!</v>
      </c>
      <c r="F12" s="15"/>
      <c r="G12" s="15"/>
      <c r="H12" s="15"/>
      <c r="L12" s="43" t="s">
        <v>41</v>
      </c>
      <c r="M12" s="46">
        <f>+D4</f>
        <v>0</v>
      </c>
      <c r="N12" s="47" t="str">
        <f t="shared" si="2"/>
        <v>#DIV/0!</v>
      </c>
    </row>
    <row r="13">
      <c r="B13" s="281" t="s">
        <v>53</v>
      </c>
      <c r="C13" s="15"/>
      <c r="D13" s="254">
        <f>'Planilha de Rentabilidade'!H94+'Planilha de Rentabilidade'!K94</f>
        <v>0</v>
      </c>
      <c r="E13" s="42" t="str">
        <f t="shared" si="1"/>
        <v>#DIV/0!</v>
      </c>
      <c r="F13" s="15"/>
      <c r="G13" s="15"/>
      <c r="H13" s="15"/>
      <c r="L13" s="43"/>
      <c r="M13" s="43"/>
      <c r="N13" s="47" t="str">
        <f t="shared" si="2"/>
        <v>#DIV/0!</v>
      </c>
    </row>
    <row r="14">
      <c r="B14" s="281" t="s">
        <v>54</v>
      </c>
      <c r="C14" s="15"/>
      <c r="D14" s="249">
        <f>B33</f>
        <v>0</v>
      </c>
      <c r="E14" s="42" t="str">
        <f t="shared" si="1"/>
        <v>#DIV/0!</v>
      </c>
      <c r="F14" s="15"/>
      <c r="G14" s="15"/>
      <c r="H14" s="15"/>
      <c r="L14" s="43" t="s">
        <v>129</v>
      </c>
      <c r="M14" s="46">
        <f>D14</f>
        <v>0</v>
      </c>
      <c r="N14" s="47" t="str">
        <f t="shared" si="2"/>
        <v>#DIV/0!</v>
      </c>
    </row>
    <row r="15">
      <c r="B15" s="49"/>
      <c r="C15" s="50" t="s">
        <v>56</v>
      </c>
      <c r="D15" s="50"/>
      <c r="E15" s="277">
        <f>SUM(D4:D14)</f>
        <v>0</v>
      </c>
      <c r="F15" s="15"/>
      <c r="G15" s="15"/>
      <c r="H15" s="15"/>
      <c r="L15" s="52"/>
      <c r="M15" s="272">
        <f t="shared" ref="M15:N15" si="3">SUM(M4:M14)</f>
        <v>0</v>
      </c>
      <c r="N15" s="271" t="str">
        <f t="shared" si="3"/>
        <v>#DIV/0!</v>
      </c>
    </row>
    <row r="16">
      <c r="C16" s="55"/>
      <c r="D16" s="15"/>
      <c r="E16" s="15"/>
      <c r="F16" s="15"/>
      <c r="G16" s="15"/>
      <c r="H16" s="15"/>
    </row>
    <row r="17">
      <c r="C17" s="55"/>
      <c r="D17" s="15"/>
      <c r="E17" s="15"/>
      <c r="F17" s="15"/>
      <c r="G17" s="15"/>
      <c r="H17" s="15"/>
    </row>
    <row r="18">
      <c r="B18" s="37" t="s">
        <v>178</v>
      </c>
      <c r="C18" s="56"/>
      <c r="D18" s="57"/>
      <c r="E18" s="58"/>
      <c r="F18" s="15"/>
      <c r="G18" s="15"/>
      <c r="H18" s="15"/>
    </row>
    <row r="19">
      <c r="B19" s="59"/>
      <c r="C19" s="60" t="s">
        <v>58</v>
      </c>
      <c r="D19" s="15"/>
      <c r="E19" s="61"/>
      <c r="F19" s="15"/>
      <c r="G19" s="15"/>
      <c r="H19" s="15"/>
    </row>
    <row r="20">
      <c r="B20" s="284">
        <f>+'Planilha de Rentabilidade'!Z94+'Planilha de Rentabilidade'!W94</f>
        <v>0</v>
      </c>
      <c r="C20" s="55" t="str">
        <f t="shared" ref="C20:C33" si="4">B20/$B$33</f>
        <v>#DIV/0!</v>
      </c>
      <c r="D20" s="62" t="s">
        <v>59</v>
      </c>
      <c r="E20" s="61"/>
      <c r="F20" s="15"/>
      <c r="G20" s="15"/>
      <c r="H20" s="15"/>
    </row>
    <row r="21">
      <c r="B21" s="285">
        <v>0.0</v>
      </c>
      <c r="C21" s="55" t="str">
        <f t="shared" si="4"/>
        <v>#DIV/0!</v>
      </c>
      <c r="D21" s="63" t="s">
        <v>60</v>
      </c>
      <c r="E21" s="61"/>
      <c r="F21" s="15"/>
      <c r="G21" s="15"/>
      <c r="H21" s="15"/>
    </row>
    <row r="22">
      <c r="B22" s="285">
        <f>+'Planilha de Rentabilidade'!AF94+'Planilha de Rentabilidade'!U94</f>
        <v>0</v>
      </c>
      <c r="C22" s="55" t="str">
        <f t="shared" si="4"/>
        <v>#DIV/0!</v>
      </c>
      <c r="D22" s="63" t="s">
        <v>61</v>
      </c>
      <c r="E22" s="61"/>
      <c r="F22" s="15"/>
      <c r="G22" s="15"/>
      <c r="H22" s="15"/>
    </row>
    <row r="23">
      <c r="B23" s="285">
        <f>+'Planilha de Rentabilidade'!V94+'Planilha de Rentabilidade'!AD94</f>
        <v>0</v>
      </c>
      <c r="C23" s="55" t="str">
        <f t="shared" si="4"/>
        <v>#DIV/0!</v>
      </c>
      <c r="D23" s="63" t="s">
        <v>173</v>
      </c>
      <c r="E23" s="61"/>
      <c r="F23" s="15"/>
      <c r="G23" s="15"/>
      <c r="H23" s="15"/>
    </row>
    <row r="24">
      <c r="B24" s="285">
        <f>+'Planilha de Rentabilidade'!AE94</f>
        <v>0</v>
      </c>
      <c r="C24" s="55" t="str">
        <f t="shared" si="4"/>
        <v>#DIV/0!</v>
      </c>
      <c r="D24" s="63" t="s">
        <v>63</v>
      </c>
      <c r="E24" s="65"/>
      <c r="F24" s="15"/>
      <c r="G24" s="15"/>
      <c r="H24" s="15"/>
    </row>
    <row r="25">
      <c r="B25" s="285">
        <v>0.0</v>
      </c>
      <c r="C25" s="55" t="str">
        <f t="shared" si="4"/>
        <v>#DIV/0!</v>
      </c>
      <c r="D25" s="63" t="s">
        <v>64</v>
      </c>
      <c r="E25" s="61"/>
      <c r="F25" s="15"/>
      <c r="G25" s="15"/>
      <c r="H25" s="15"/>
    </row>
    <row r="26">
      <c r="B26" s="285">
        <f>0</f>
        <v>0</v>
      </c>
      <c r="C26" s="55" t="str">
        <f t="shared" si="4"/>
        <v>#DIV/0!</v>
      </c>
      <c r="D26" s="63" t="s">
        <v>65</v>
      </c>
      <c r="E26" s="61"/>
      <c r="F26" s="15"/>
      <c r="G26" s="15"/>
      <c r="H26" s="15"/>
    </row>
    <row r="27">
      <c r="B27" s="285">
        <f>+'Planilha de Rentabilidade'!AA94</f>
        <v>0</v>
      </c>
      <c r="C27" s="55" t="str">
        <f t="shared" si="4"/>
        <v>#DIV/0!</v>
      </c>
      <c r="D27" s="63" t="s">
        <v>66</v>
      </c>
      <c r="E27" s="61"/>
      <c r="F27" s="15"/>
      <c r="G27" s="15"/>
      <c r="H27" s="15"/>
    </row>
    <row r="28">
      <c r="B28" s="285">
        <f>+'Planilha de Rentabilidade'!R94</f>
        <v>0</v>
      </c>
      <c r="C28" s="55" t="str">
        <f t="shared" si="4"/>
        <v>#DIV/0!</v>
      </c>
      <c r="D28" s="63" t="s">
        <v>174</v>
      </c>
      <c r="E28" s="61"/>
      <c r="F28" s="15"/>
      <c r="G28" s="15"/>
      <c r="H28" s="15"/>
    </row>
    <row r="29">
      <c r="B29" s="285">
        <f>+'Planilha de Rentabilidade'!X94+'Planilha de Rentabilidade'!Y946+'Planilha de Rentabilidade'!AC94</f>
        <v>0</v>
      </c>
      <c r="C29" s="55" t="str">
        <f t="shared" si="4"/>
        <v>#DIV/0!</v>
      </c>
      <c r="D29" s="63" t="s">
        <v>68</v>
      </c>
      <c r="E29" s="61"/>
      <c r="F29" s="15"/>
      <c r="G29" s="15"/>
      <c r="H29" s="15"/>
    </row>
    <row r="30">
      <c r="B30" s="285">
        <f>'Planilha de Rentabilidade'!T94+'Planilha de Rentabilidade'!AG94</f>
        <v>0</v>
      </c>
      <c r="C30" s="55" t="str">
        <f t="shared" si="4"/>
        <v>#DIV/0!</v>
      </c>
      <c r="D30" s="63" t="s">
        <v>69</v>
      </c>
      <c r="E30" s="61"/>
      <c r="F30" s="15"/>
      <c r="G30" s="15"/>
      <c r="H30" s="15"/>
    </row>
    <row r="31">
      <c r="B31" s="285">
        <f>'Planilha de Rentabilidade'!N94+'Planilha de Rentabilidade'!AH94</f>
        <v>0</v>
      </c>
      <c r="C31" s="55" t="str">
        <f t="shared" si="4"/>
        <v>#DIV/0!</v>
      </c>
      <c r="D31" s="63" t="s">
        <v>70</v>
      </c>
      <c r="E31" s="61"/>
      <c r="F31" s="15"/>
      <c r="G31" s="15"/>
      <c r="H31" s="15"/>
    </row>
    <row r="32">
      <c r="B32" s="285">
        <f>+'Planilha de Rentabilidade'!AB94</f>
        <v>0</v>
      </c>
      <c r="C32" s="55" t="str">
        <f t="shared" si="4"/>
        <v>#DIV/0!</v>
      </c>
      <c r="D32" s="63" t="s">
        <v>71</v>
      </c>
      <c r="E32" s="61"/>
      <c r="F32" s="15"/>
      <c r="G32" s="15"/>
      <c r="H32" s="15"/>
    </row>
    <row r="33">
      <c r="B33" s="66">
        <f>SUM(B20:B32)</f>
        <v>0</v>
      </c>
      <c r="C33" s="67" t="str">
        <f t="shared" si="4"/>
        <v>#DIV/0!</v>
      </c>
      <c r="D33" s="68"/>
      <c r="E33" s="69"/>
      <c r="F33" s="15"/>
      <c r="G33" s="15"/>
      <c r="H33" s="15"/>
    </row>
  </sheetData>
  <drawing r:id="rId1"/>
</worksheet>
</file>