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odeJS\"/>
    </mc:Choice>
  </mc:AlternateContent>
  <xr:revisionPtr revIDLastSave="0" documentId="13_ncr:1_{B6F8A8B6-BCC0-4766-B26D-9698696B8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abilidade" sheetId="2" r:id="rId1"/>
  </sheets>
  <definedNames>
    <definedName name="_xlnm._FilterDatabase" localSheetId="0" hidden="1">Rentabilidade!$A$1:$K$464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98" i="2" l="1"/>
  <c r="F398" i="2"/>
  <c r="E398" i="2"/>
  <c r="D398" i="2"/>
  <c r="C398" i="2"/>
  <c r="G365" i="2"/>
  <c r="H365" i="2" s="1"/>
  <c r="F365" i="2"/>
  <c r="E365" i="2"/>
  <c r="D365" i="2"/>
  <c r="C365" i="2"/>
  <c r="G332" i="2"/>
  <c r="F332" i="2"/>
  <c r="E332" i="2"/>
  <c r="D332" i="2"/>
  <c r="C332" i="2"/>
  <c r="G299" i="2"/>
  <c r="F299" i="2"/>
  <c r="E299" i="2"/>
  <c r="D299" i="2"/>
  <c r="C299" i="2"/>
  <c r="G266" i="2"/>
  <c r="F266" i="2"/>
  <c r="E266" i="2"/>
  <c r="D266" i="2"/>
  <c r="C266" i="2"/>
  <c r="G233" i="2"/>
  <c r="F233" i="2"/>
  <c r="E233" i="2"/>
  <c r="D233" i="2"/>
  <c r="C233" i="2"/>
  <c r="G200" i="2"/>
  <c r="F200" i="2"/>
  <c r="E200" i="2"/>
  <c r="D200" i="2"/>
  <c r="C200" i="2"/>
  <c r="G167" i="2"/>
  <c r="H167" i="2" s="1"/>
  <c r="F167" i="2"/>
  <c r="E167" i="2"/>
  <c r="D167" i="2"/>
  <c r="C167" i="2"/>
  <c r="G134" i="2"/>
  <c r="F134" i="2"/>
  <c r="E134" i="2"/>
  <c r="D134" i="2"/>
  <c r="C134" i="2"/>
  <c r="G101" i="2"/>
  <c r="F101" i="2"/>
  <c r="E101" i="2"/>
  <c r="D101" i="2"/>
  <c r="C101" i="2"/>
  <c r="G68" i="2"/>
  <c r="F68" i="2"/>
  <c r="E68" i="2"/>
  <c r="D68" i="2"/>
  <c r="C68" i="2"/>
  <c r="G35" i="2"/>
  <c r="F35" i="2"/>
  <c r="E35" i="2"/>
  <c r="D35" i="2"/>
  <c r="C35" i="2"/>
  <c r="H3" i="2"/>
  <c r="H200" i="2" l="1"/>
  <c r="H398" i="2"/>
  <c r="H101" i="2"/>
  <c r="H299" i="2"/>
  <c r="H68" i="2"/>
  <c r="H266" i="2"/>
  <c r="H35" i="2"/>
  <c r="H233" i="2"/>
  <c r="H134" i="2"/>
  <c r="H332" i="2"/>
</calcChain>
</file>

<file path=xl/sharedStrings.xml><?xml version="1.0" encoding="utf-8"?>
<sst xmlns="http://schemas.openxmlformats.org/spreadsheetml/2006/main" count="1007" uniqueCount="158">
  <si>
    <t>Ação</t>
  </si>
  <si>
    <t>Período</t>
  </si>
  <si>
    <t>Valor-Base</t>
  </si>
  <si>
    <t>Investimento (+)</t>
  </si>
  <si>
    <t>Resgate (-)</t>
  </si>
  <si>
    <t>Rebecimento de proventos (-)</t>
  </si>
  <si>
    <t>Valor final no mês</t>
  </si>
  <si>
    <t>Rentabilidade (ao mês)</t>
  </si>
  <si>
    <t>Não mexer</t>
  </si>
  <si>
    <t>Ativo/PL</t>
  </si>
  <si>
    <t>Mês</t>
  </si>
  <si>
    <t>Tesouro Alexa</t>
  </si>
  <si>
    <t>Tesouro Nasser</t>
  </si>
  <si>
    <t>SALDOS</t>
  </si>
  <si>
    <t/>
  </si>
  <si>
    <t>FUNDO BTG DIGITAL SELIC FIRF</t>
  </si>
  <si>
    <t>BB FUNDO-RF LP HIGH</t>
  </si>
  <si>
    <t>MOEDAS - WISE</t>
  </si>
  <si>
    <t>GOLD + CASH</t>
  </si>
  <si>
    <t>DEBENTURE IGUA RIO IRJS15 IPCA+7,60%</t>
  </si>
  <si>
    <t>CMIN3 NASSER BTG</t>
  </si>
  <si>
    <t>ASML34 BTG NASSER</t>
  </si>
  <si>
    <t>VALE3 NASSER  BTG</t>
  </si>
  <si>
    <t>Patrimônio</t>
  </si>
  <si>
    <t>LFTS11 BTG ALEXA</t>
  </si>
  <si>
    <t>CDB NU NASSER</t>
  </si>
  <si>
    <t>FUNDO BTG CDB PLUS FIRF CRPR</t>
  </si>
  <si>
    <t xml:space="preserve">CDB - SANTANDER </t>
  </si>
  <si>
    <t>ITLC34 BTG</t>
  </si>
  <si>
    <t>CRI OPEA IPCA+6,63%2040 BTG</t>
  </si>
  <si>
    <t>TESOURO ALEXA IPCA+ 2029</t>
  </si>
  <si>
    <t>AURA33 NASSER BTG</t>
  </si>
  <si>
    <t>LFT-S11 BTG NASSER</t>
  </si>
  <si>
    <t>AAPL34 BTG NASSER</t>
  </si>
  <si>
    <t>TSLA34 - BTG NASSER</t>
  </si>
  <si>
    <t>MELI34 BTG NASSER</t>
  </si>
  <si>
    <t>A1MD34 AMD BTG ALEXA</t>
  </si>
  <si>
    <t>HAPV3 HAPVIDA BTG ALEXA</t>
  </si>
  <si>
    <t>WEGE3 - BTG  NASSER</t>
  </si>
  <si>
    <t>AMD A1MD34 BTG NASSER</t>
  </si>
  <si>
    <t>MELI34 BTG ALEXA</t>
  </si>
  <si>
    <t>SIGMA BTG ALEXA</t>
  </si>
  <si>
    <t>TESLA  ALEXA  BTG</t>
  </si>
  <si>
    <t>AAPL34 ALEXA BTG</t>
  </si>
  <si>
    <t>ITLC34  ALEXA BTG</t>
  </si>
  <si>
    <t>R$ 33.615,42</t>
  </si>
  <si>
    <t>R$ -</t>
  </si>
  <si>
    <t>R$ 34.007,98</t>
  </si>
  <si>
    <t>R$ 152.757,14</t>
  </si>
  <si>
    <t>R$ (333.138,00)</t>
  </si>
  <si>
    <t>R$ 115.725,16</t>
  </si>
  <si>
    <t>R$ 15.570,68</t>
  </si>
  <si>
    <t>R$ 190.427,39</t>
  </si>
  <si>
    <t>R$ 235.057,83</t>
  </si>
  <si>
    <t>R$ 230.200,00</t>
  </si>
  <si>
    <t>R$ 89.125,92</t>
  </si>
  <si>
    <t>R$ 339.349,00</t>
  </si>
  <si>
    <t>R$ 121.859,62</t>
  </si>
  <si>
    <t>R$ 231.658,11</t>
  </si>
  <si>
    <t>R$ 63.463,00</t>
  </si>
  <si>
    <t>R$ 176.421,00</t>
  </si>
  <si>
    <t>R$ 839.346,52</t>
  </si>
  <si>
    <t>R$ 108.916,50</t>
  </si>
  <si>
    <t>R$ 65.313,00</t>
  </si>
  <si>
    <t>R$ 170.676,00</t>
  </si>
  <si>
    <t>R$ 108.767,50</t>
  </si>
  <si>
    <t>R$ 42.619,50</t>
  </si>
  <si>
    <t>R$ 156.847,80</t>
  </si>
  <si>
    <t>R$ 3.154.971,65</t>
  </si>
  <si>
    <t>R$ 150.973,61</t>
  </si>
  <si>
    <t>R$ 103.369,80</t>
  </si>
  <si>
    <t>R$ 62.000,00</t>
  </si>
  <si>
    <t>R$ 28.616,45</t>
  </si>
  <si>
    <t>R$ 29.094,00</t>
  </si>
  <si>
    <t>R$ 35.997,00</t>
  </si>
  <si>
    <t>R$ 20.706,70</t>
  </si>
  <si>
    <t>R$ 6.689,00</t>
  </si>
  <si>
    <t>R$ 34.054,00</t>
  </si>
  <si>
    <t>R$ 21.197,12</t>
  </si>
  <si>
    <t>R$ 49.233,36</t>
  </si>
  <si>
    <t>R$ 16.896,50</t>
  </si>
  <si>
    <t>R$ 407.853,93</t>
  </si>
  <si>
    <t>R$ (100.534,00)</t>
  </si>
  <si>
    <t>R$ (232.604,00)</t>
  </si>
  <si>
    <t>R$ 262.280,00</t>
  </si>
  <si>
    <t>R$ (49.870,19)</t>
  </si>
  <si>
    <t>R$ (150.265,25)</t>
  </si>
  <si>
    <t>R$ (200.281,00)</t>
  </si>
  <si>
    <t>R$ (20.025,92)</t>
  </si>
  <si>
    <t>R$ (158.162,36)</t>
  </si>
  <si>
    <t>R$ 58.160,00</t>
  </si>
  <si>
    <t>R$ 14.535,29</t>
  </si>
  <si>
    <t>R$ (72.874,00)</t>
  </si>
  <si>
    <t>R$ 114.378,69</t>
  </si>
  <si>
    <t>R$ 34.253,57</t>
  </si>
  <si>
    <t>R$ 153.850,98</t>
  </si>
  <si>
    <t>R$ (70.858,00)</t>
  </si>
  <si>
    <t>R$ 103.684,00</t>
  </si>
  <si>
    <t>R$ 116.489,59</t>
  </si>
  <si>
    <t>R$ 15.636,00</t>
  </si>
  <si>
    <t>R$ 191.548,66</t>
  </si>
  <si>
    <t>R$ 236.634,81</t>
  </si>
  <si>
    <t>R$ 231.440,33</t>
  </si>
  <si>
    <t>R$ 98.858,00</t>
  </si>
  <si>
    <t>R$ 390.657,99</t>
  </si>
  <si>
    <t>R$ 29.152,50</t>
  </si>
  <si>
    <t>R$ 122.514,18</t>
  </si>
  <si>
    <t>R$ 232.860,62</t>
  </si>
  <si>
    <t>R$ 63.978,03</t>
  </si>
  <si>
    <t>R$ 73.020,00</t>
  </si>
  <si>
    <t>R$ 20.736,80</t>
  </si>
  <si>
    <t>R$ 790.191,36</t>
  </si>
  <si>
    <t>R$ 135.454,50</t>
  </si>
  <si>
    <t>R$ 75.211,50</t>
  </si>
  <si>
    <t>R$ 124.956,65</t>
  </si>
  <si>
    <t>R$ 56.790,50</t>
  </si>
  <si>
    <t>R$ 146.554,80</t>
  </si>
  <si>
    <t>R$ 3.373.617,37</t>
  </si>
  <si>
    <t>R$ 17.211,08</t>
  </si>
  <si>
    <t>R$ (1.850,00)</t>
  </si>
  <si>
    <t>R$ 188.042,95</t>
  </si>
  <si>
    <t>R$ 232.331,89</t>
  </si>
  <si>
    <t>CDB - SANTANDER</t>
  </si>
  <si>
    <t>R$ 227.519,55</t>
  </si>
  <si>
    <t>R$ 59.982,56</t>
  </si>
  <si>
    <t>R$ 92.500,00</t>
  </si>
  <si>
    <t>R$ (58.262,00)</t>
  </si>
  <si>
    <t>R$ 284.245,72</t>
  </si>
  <si>
    <t>R$ 55.104,00</t>
  </si>
  <si>
    <t>INTEL NASSER - ITLC34</t>
  </si>
  <si>
    <t>R$ 120.875,65</t>
  </si>
  <si>
    <t>R$ 229.663,28</t>
  </si>
  <si>
    <t>R$ 62.619,35</t>
  </si>
  <si>
    <t>R$ 259.435,50</t>
  </si>
  <si>
    <t>R$ (134.490,57)</t>
  </si>
  <si>
    <t>R$ 36.931,60</t>
  </si>
  <si>
    <t>R$ (37.024,66)</t>
  </si>
  <si>
    <t>R$ 763.184,40</t>
  </si>
  <si>
    <t>R$ 133.414,63</t>
  </si>
  <si>
    <t>R$ 156.774,00</t>
  </si>
  <si>
    <t>R$ 9.315,00</t>
  </si>
  <si>
    <t>R$ (61.297,00)</t>
  </si>
  <si>
    <t>R$ 60.270,00</t>
  </si>
  <si>
    <t>R$ 71.960,00</t>
  </si>
  <si>
    <t>R$ (75.830,00)</t>
  </si>
  <si>
    <t>R$ 50.082,00</t>
  </si>
  <si>
    <t>R$ 28.168,00</t>
  </si>
  <si>
    <t>R$ (71.170,00)</t>
  </si>
  <si>
    <t>R$ 203.742,00</t>
  </si>
  <si>
    <t>R$ (46.259,00)</t>
  </si>
  <si>
    <t>R$ 148.470,00</t>
  </si>
  <si>
    <t>R$ (51.918,50)</t>
  </si>
  <si>
    <t>R$ 41.499,00</t>
  </si>
  <si>
    <t>R$ 151.939,20</t>
  </si>
  <si>
    <t>R$ 16.328,80</t>
  </si>
  <si>
    <t>R$ 3.623.373,45</t>
  </si>
  <si>
    <t>R$ 349.365,72</t>
  </si>
  <si>
    <t>R$ (843.579,73)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</si>
</sst>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d"/>
    <numFmt numFmtId="165" formatCode="_(&quot;R$&quot;* #,##0.00_);_(&quot;R$&quot;* \(#,##0.00\);_(&quot;R$&quot;* &quot;-&quot;??_);_(@_)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</font>
    <font>
      <sz val="10"/>
      <color theme="1"/>
      <name val="Arial"/>
    </font>
    <font>
      <b/>
      <sz val="11"/>
      <color rgb="FFFFFFFF"/>
      <name val="Arial"/>
    </font>
    <font>
      <sz val="12"/>
      <color theme="1"/>
      <name val="Calibri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 applyAlignment="1"/>
    <xf numFmtId="0" fontId="5" fillId="0" borderId="1" xfId="0" applyFont="1" applyBorder="1" applyAlignment="1"/>
    <xf numFmtId="165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10" fontId="3" fillId="8" borderId="1" xfId="0" applyNumberFormat="1" applyFont="1" applyFill="1" applyBorder="1" applyAlignment="1">
      <alignment horizontal="center"/>
    </xf>
    <xf numFmtId="10" fontId="3" fillId="9" borderId="1" xfId="0" applyNumberFormat="1" applyFont="1" applyFill="1" applyBorder="1" applyAlignment="1">
      <alignment horizontal="center"/>
    </xf>
    <xf numFmtId="10" fontId="1" fillId="10" borderId="0" xfId="0" applyNumberFormat="1" applyFont="1" applyFill="1"/>
    <xf numFmtId="164" fontId="1" fillId="0" borderId="0" xfId="0" applyNumberFormat="1" applyFont="1" applyAlignment="1"/>
    <xf numFmtId="10" fontId="1" fillId="0" borderId="0" xfId="0" applyNumberFormat="1" applyFont="1"/>
    <xf numFmtId="0" fontId="6" fillId="0" borderId="4" xfId="0" applyFont="1" applyBorder="1"/>
    <xf numFmtId="0" fontId="5" fillId="0" borderId="1" xfId="0" applyFont="1" applyBorder="1" applyAlignment="1"/>
    <xf numFmtId="165" fontId="3" fillId="4" borderId="1" xfId="0" applyNumberFormat="1" applyFont="1" applyFill="1" applyBorder="1" applyAlignment="1"/>
    <xf numFmtId="0" fontId="5" fillId="0" borderId="5" xfId="0" applyFont="1" applyBorder="1" applyAlignment="1"/>
    <xf numFmtId="165" fontId="3" fillId="3" borderId="5" xfId="0" applyNumberFormat="1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center"/>
    </xf>
    <xf numFmtId="165" fontId="3" fillId="6" borderId="5" xfId="0" applyNumberFormat="1" applyFont="1" applyFill="1" applyBorder="1" applyAlignment="1">
      <alignment horizontal="center"/>
    </xf>
    <xf numFmtId="10" fontId="3" fillId="8" borderId="5" xfId="0" applyNumberFormat="1" applyFont="1" applyFill="1" applyBorder="1" applyAlignment="1">
      <alignment horizontal="center"/>
    </xf>
    <xf numFmtId="10" fontId="3" fillId="9" borderId="5" xfId="0" applyNumberFormat="1" applyFont="1" applyFill="1" applyBorder="1" applyAlignment="1">
      <alignment horizontal="center"/>
    </xf>
    <xf numFmtId="10" fontId="1" fillId="10" borderId="0" xfId="0" applyNumberFormat="1" applyFont="1" applyFill="1" applyAlignment="1"/>
    <xf numFmtId="10" fontId="3" fillId="9" borderId="1" xfId="0" applyNumberFormat="1" applyFont="1" applyFill="1" applyBorder="1" applyAlignment="1"/>
    <xf numFmtId="165" fontId="3" fillId="5" borderId="1" xfId="0" applyNumberFormat="1" applyFont="1" applyFill="1" applyBorder="1" applyAlignment="1"/>
    <xf numFmtId="165" fontId="3" fillId="6" borderId="1" xfId="0" applyNumberFormat="1" applyFont="1" applyFill="1" applyBorder="1" applyAlignment="1"/>
    <xf numFmtId="165" fontId="3" fillId="3" borderId="1" xfId="0" applyNumberFormat="1" applyFont="1" applyFill="1" applyBorder="1" applyAlignment="1"/>
    <xf numFmtId="10" fontId="3" fillId="8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3" fillId="9" borderId="0" xfId="0" applyNumberFormat="1" applyFont="1" applyFill="1" applyAlignment="1">
      <alignment horizontal="center"/>
    </xf>
    <xf numFmtId="4" fontId="3" fillId="7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10" fontId="1" fillId="0" borderId="0" xfId="0" applyNumberFormat="1" applyFont="1" applyAlignment="1"/>
    <xf numFmtId="164" fontId="4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465"/>
  <sheetViews>
    <sheetView tabSelected="1" topLeftCell="A55" workbookViewId="0">
      <selection activeCell="K1" sqref="K1"/>
    </sheetView>
  </sheetViews>
  <sheetFormatPr defaultColWidth="12.5703125" defaultRowHeight="15.75" customHeight="1" x14ac:dyDescent="0.2"/>
  <cols>
    <col min="2" max="2" width="34.5703125" customWidth="1"/>
    <col min="3" max="3" width="15.42578125" customWidth="1"/>
    <col min="4" max="4" width="18.85546875" customWidth="1"/>
    <col min="5" max="5" width="13.85546875" customWidth="1"/>
    <col min="6" max="6" width="31.7109375" customWidth="1"/>
    <col min="7" max="7" width="20.5703125" customWidth="1"/>
    <col min="8" max="8" width="25.42578125" customWidth="1"/>
    <col min="9" max="9" width="13.7109375" customWidth="1"/>
    <col min="13" max="13" width="19" customWidth="1"/>
  </cols>
  <sheetData>
    <row r="1" spans="1:12" ht="15.75" customHeight="1" x14ac:dyDescent="0.25">
      <c r="A1" s="2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2" ht="15.75" customHeight="1" x14ac:dyDescent="0.25">
      <c r="A2" s="17"/>
      <c r="B2" s="6" t="s">
        <v>12</v>
      </c>
      <c r="C2" s="7">
        <v>154778.71</v>
      </c>
      <c r="D2" s="8">
        <v>0</v>
      </c>
      <c r="E2" s="9">
        <v>0</v>
      </c>
      <c r="F2" s="10">
        <v>0</v>
      </c>
      <c r="G2" s="11">
        <v>156351.51</v>
      </c>
      <c r="H2" s="12">
        <v>1.0161604267150182E-2</v>
      </c>
      <c r="I2" s="13">
        <v>1.0161604267150182E-2</v>
      </c>
      <c r="J2" s="14">
        <v>5.0811510482404364E-2</v>
      </c>
      <c r="L2" s="16"/>
    </row>
    <row r="3" spans="1:12" x14ac:dyDescent="0.25">
      <c r="A3" s="38">
        <v>45683</v>
      </c>
      <c r="B3" s="18" t="s">
        <v>11</v>
      </c>
      <c r="C3" s="7">
        <v>29411.3</v>
      </c>
      <c r="D3" s="8">
        <v>0</v>
      </c>
      <c r="E3" s="9">
        <v>0</v>
      </c>
      <c r="F3" s="10">
        <v>0</v>
      </c>
      <c r="G3" s="11">
        <v>29710.980000000003</v>
      </c>
      <c r="H3" s="12">
        <f>(G3-(C3+D3+E3+F3))/(C3+D3+E3+F3)</f>
        <v>1.0189280990639786E-2</v>
      </c>
      <c r="I3" s="13">
        <v>1.0189280990639871E-2</v>
      </c>
      <c r="J3" s="14">
        <v>1.012079032228742E-2</v>
      </c>
      <c r="K3" s="15">
        <v>45682</v>
      </c>
    </row>
    <row r="4" spans="1:12" x14ac:dyDescent="0.25">
      <c r="A4" s="39"/>
      <c r="B4" s="18" t="s">
        <v>12</v>
      </c>
      <c r="C4" s="7">
        <v>158937.37</v>
      </c>
      <c r="D4" s="8">
        <v>0</v>
      </c>
      <c r="E4" s="9">
        <v>0</v>
      </c>
      <c r="F4" s="10">
        <v>0</v>
      </c>
      <c r="G4" s="11">
        <v>160621.69</v>
      </c>
      <c r="H4" s="12">
        <v>1.0597381849215326E-2</v>
      </c>
      <c r="I4" s="13">
        <v>1.0597381849215326E-2</v>
      </c>
      <c r="J4" s="14">
        <v>5.471440005349705E-2</v>
      </c>
      <c r="K4" s="15">
        <v>45682</v>
      </c>
    </row>
    <row r="5" spans="1:12" x14ac:dyDescent="0.25">
      <c r="A5" s="39"/>
      <c r="B5" s="18" t="s">
        <v>13</v>
      </c>
      <c r="C5" s="7">
        <v>39367.550000000003</v>
      </c>
      <c r="D5" s="8"/>
      <c r="E5" s="9">
        <v>-166691.54999999999</v>
      </c>
      <c r="F5" s="10">
        <v>0</v>
      </c>
      <c r="G5" s="11">
        <v>-127324</v>
      </c>
      <c r="H5" s="12">
        <v>2.2204460492503131E-16</v>
      </c>
      <c r="I5" s="13">
        <v>2.2204460492503131E-16</v>
      </c>
      <c r="J5" s="14">
        <v>-4.3371827755089978E-2</v>
      </c>
      <c r="K5" s="15">
        <v>45682</v>
      </c>
    </row>
    <row r="6" spans="1:12" x14ac:dyDescent="0.25">
      <c r="A6" s="39"/>
      <c r="B6" s="18" t="s">
        <v>24</v>
      </c>
      <c r="C6" s="7">
        <v>19638.97</v>
      </c>
      <c r="D6" s="19">
        <v>0</v>
      </c>
      <c r="E6" s="9">
        <v>-19647.73</v>
      </c>
      <c r="F6" s="10">
        <v>0</v>
      </c>
      <c r="G6" s="11">
        <v>0</v>
      </c>
      <c r="H6" s="12">
        <v>4.4605190598079325E-4</v>
      </c>
      <c r="I6" s="13">
        <v>-1</v>
      </c>
      <c r="J6" s="14">
        <v>0</v>
      </c>
      <c r="K6" s="15">
        <v>45682</v>
      </c>
    </row>
    <row r="7" spans="1:12" x14ac:dyDescent="0.25">
      <c r="A7" s="39"/>
      <c r="B7" s="18" t="s">
        <v>15</v>
      </c>
      <c r="C7" s="7">
        <v>101923.17</v>
      </c>
      <c r="D7" s="8">
        <v>0</v>
      </c>
      <c r="E7" s="9">
        <v>0</v>
      </c>
      <c r="F7" s="10">
        <v>0</v>
      </c>
      <c r="G7" s="11">
        <v>102989.93</v>
      </c>
      <c r="H7" s="12">
        <v>1.0466314970384083E-2</v>
      </c>
      <c r="I7" s="13">
        <v>1.0466314970384083E-2</v>
      </c>
      <c r="J7" s="14">
        <v>3.5082635673311977E-2</v>
      </c>
      <c r="K7" s="15">
        <v>45682</v>
      </c>
    </row>
    <row r="8" spans="1:12" x14ac:dyDescent="0.25">
      <c r="A8" s="39"/>
      <c r="B8" s="18" t="s">
        <v>25</v>
      </c>
      <c r="C8" s="7">
        <v>204435.4</v>
      </c>
      <c r="D8" s="8">
        <v>0</v>
      </c>
      <c r="E8" s="9">
        <v>-50000</v>
      </c>
      <c r="F8" s="10">
        <v>0</v>
      </c>
      <c r="G8" s="11">
        <v>156123.70000000001</v>
      </c>
      <c r="H8" s="12">
        <v>1.0932079044053467E-2</v>
      </c>
      <c r="I8" s="13">
        <v>1.0932079044053467E-2</v>
      </c>
      <c r="J8" s="14">
        <v>5.3182198367058384E-2</v>
      </c>
      <c r="K8" s="15">
        <v>45682</v>
      </c>
    </row>
    <row r="9" spans="1:12" x14ac:dyDescent="0.25">
      <c r="A9" s="39"/>
      <c r="B9" s="18" t="s">
        <v>16</v>
      </c>
      <c r="C9" s="7">
        <v>230976.47</v>
      </c>
      <c r="D9" s="8">
        <v>0</v>
      </c>
      <c r="E9" s="9">
        <v>-15000</v>
      </c>
      <c r="F9" s="10">
        <v>0</v>
      </c>
      <c r="G9" s="11">
        <v>218118.89</v>
      </c>
      <c r="H9" s="12">
        <v>9.919691714564971E-3</v>
      </c>
      <c r="I9" s="13">
        <v>9.919691714564971E-3</v>
      </c>
      <c r="J9" s="14">
        <v>7.4300327724634935E-2</v>
      </c>
      <c r="K9" s="15">
        <v>45682</v>
      </c>
    </row>
    <row r="10" spans="1:12" x14ac:dyDescent="0.25">
      <c r="A10" s="39"/>
      <c r="B10" s="18" t="s">
        <v>26</v>
      </c>
      <c r="C10" s="7">
        <v>171000.87</v>
      </c>
      <c r="D10" s="8">
        <v>0</v>
      </c>
      <c r="E10" s="9">
        <v>-19200</v>
      </c>
      <c r="F10" s="10">
        <v>0</v>
      </c>
      <c r="G10" s="11">
        <v>153167.21</v>
      </c>
      <c r="H10" s="12">
        <v>9.0008706801218974E-3</v>
      </c>
      <c r="I10" s="13">
        <v>9.0008706801218974E-3</v>
      </c>
      <c r="J10" s="14">
        <v>5.2175095424646531E-2</v>
      </c>
      <c r="K10" s="15">
        <v>45682</v>
      </c>
    </row>
    <row r="11" spans="1:12" x14ac:dyDescent="0.25">
      <c r="A11" s="39"/>
      <c r="B11" s="18" t="s">
        <v>27</v>
      </c>
      <c r="C11" s="7">
        <v>203857.76</v>
      </c>
      <c r="D11" s="8">
        <v>0</v>
      </c>
      <c r="E11" s="9">
        <v>-4600</v>
      </c>
      <c r="F11" s="10">
        <v>0</v>
      </c>
      <c r="G11" s="11">
        <v>200942.65</v>
      </c>
      <c r="H11" s="12">
        <v>8.4558312810500968E-3</v>
      </c>
      <c r="I11" s="13">
        <v>8.4558312810500968E-3</v>
      </c>
      <c r="J11" s="14">
        <v>6.844938899540802E-2</v>
      </c>
      <c r="K11" s="15">
        <v>45682</v>
      </c>
    </row>
    <row r="12" spans="1:12" x14ac:dyDescent="0.25">
      <c r="A12" s="39"/>
      <c r="B12" s="18" t="s">
        <v>17</v>
      </c>
      <c r="C12" s="7">
        <v>75731.820000000007</v>
      </c>
      <c r="D12" s="8">
        <v>0</v>
      </c>
      <c r="E12" s="9">
        <v>0</v>
      </c>
      <c r="F12" s="10">
        <v>0</v>
      </c>
      <c r="G12" s="11">
        <v>71851.539999999994</v>
      </c>
      <c r="H12" s="12">
        <v>-5.1237115389541898E-2</v>
      </c>
      <c r="I12" s="13">
        <v>-5.1237115389541898E-2</v>
      </c>
      <c r="J12" s="14">
        <v>2.4475610386242637E-2</v>
      </c>
      <c r="K12" s="15">
        <v>45682</v>
      </c>
    </row>
    <row r="13" spans="1:12" x14ac:dyDescent="0.25">
      <c r="A13" s="39"/>
      <c r="B13" s="18" t="s">
        <v>18</v>
      </c>
      <c r="C13" s="7">
        <v>72083.89</v>
      </c>
      <c r="D13" s="8">
        <v>22900</v>
      </c>
      <c r="E13" s="9">
        <v>0</v>
      </c>
      <c r="F13" s="10">
        <v>0</v>
      </c>
      <c r="G13" s="11">
        <v>94983.89</v>
      </c>
      <c r="H13" s="12">
        <v>0</v>
      </c>
      <c r="I13" s="13">
        <v>0</v>
      </c>
      <c r="J13" s="14">
        <v>3.2355446864600651E-2</v>
      </c>
      <c r="K13" s="15">
        <v>45682</v>
      </c>
    </row>
    <row r="14" spans="1:12" x14ac:dyDescent="0.25">
      <c r="A14" s="39"/>
      <c r="B14" s="18" t="s">
        <v>28</v>
      </c>
      <c r="C14" s="7">
        <v>62372.5</v>
      </c>
      <c r="D14" s="8">
        <v>40857.549999999996</v>
      </c>
      <c r="E14" s="9">
        <v>0</v>
      </c>
      <c r="F14" s="10">
        <v>0</v>
      </c>
      <c r="G14" s="11">
        <v>95059.82</v>
      </c>
      <c r="H14" s="12">
        <v>-7.9145849488593489E-2</v>
      </c>
      <c r="I14" s="13">
        <v>-7.9145849488593489E-2</v>
      </c>
      <c r="J14" s="14">
        <v>3.2381311767379739E-2</v>
      </c>
      <c r="K14" s="15">
        <v>45682</v>
      </c>
    </row>
    <row r="15" spans="1:12" x14ac:dyDescent="0.25">
      <c r="A15" s="39"/>
      <c r="B15" s="18" t="s">
        <v>29</v>
      </c>
      <c r="C15" s="7">
        <v>73840</v>
      </c>
      <c r="D15" s="8">
        <v>0</v>
      </c>
      <c r="E15" s="9">
        <v>0</v>
      </c>
      <c r="F15" s="10">
        <v>-897.26</v>
      </c>
      <c r="G15" s="11">
        <v>76467</v>
      </c>
      <c r="H15" s="12">
        <v>4.8315432077270293E-2</v>
      </c>
      <c r="I15" s="13">
        <v>4.8315432077270293E-2</v>
      </c>
      <c r="J15" s="14">
        <v>2.6047827219915064E-2</v>
      </c>
      <c r="K15" s="15">
        <v>45682</v>
      </c>
    </row>
    <row r="16" spans="1:12" x14ac:dyDescent="0.25">
      <c r="A16" s="39"/>
      <c r="B16" s="18" t="s">
        <v>19</v>
      </c>
      <c r="C16" s="7">
        <v>204973.62</v>
      </c>
      <c r="D16" s="8">
        <v>0</v>
      </c>
      <c r="E16" s="9">
        <v>0</v>
      </c>
      <c r="F16" s="10">
        <v>0</v>
      </c>
      <c r="G16" s="11">
        <v>206862.88</v>
      </c>
      <c r="H16" s="12">
        <v>9.2170885209521547E-3</v>
      </c>
      <c r="I16" s="13">
        <v>9.2170885209521547E-3</v>
      </c>
      <c r="J16" s="14">
        <v>7.0466064530503664E-2</v>
      </c>
      <c r="K16" s="15">
        <v>45682</v>
      </c>
    </row>
    <row r="17" spans="1:11" x14ac:dyDescent="0.25">
      <c r="A17" s="39"/>
      <c r="B17" s="18" t="s">
        <v>30</v>
      </c>
      <c r="C17" s="7">
        <v>55887.839999999997</v>
      </c>
      <c r="D17" s="8">
        <v>0</v>
      </c>
      <c r="E17" s="9">
        <v>0</v>
      </c>
      <c r="F17" s="10">
        <v>0</v>
      </c>
      <c r="G17" s="11">
        <v>56530.06</v>
      </c>
      <c r="H17" s="12">
        <v>1.14912295769527E-2</v>
      </c>
      <c r="I17" s="13">
        <v>1.14912295769527E-2</v>
      </c>
      <c r="J17" s="14">
        <v>1.9256479731275342E-2</v>
      </c>
      <c r="K17" s="15">
        <v>45682</v>
      </c>
    </row>
    <row r="18" spans="1:11" x14ac:dyDescent="0.25">
      <c r="A18" s="39"/>
      <c r="B18" s="18" t="s">
        <v>31</v>
      </c>
      <c r="C18" s="7">
        <v>617.79999999999995</v>
      </c>
      <c r="D18" s="8">
        <v>0</v>
      </c>
      <c r="E18" s="9">
        <v>-619.5</v>
      </c>
      <c r="F18" s="10">
        <v>0</v>
      </c>
      <c r="G18" s="11">
        <v>0</v>
      </c>
      <c r="H18" s="12">
        <v>2.7516995791518895E-3</v>
      </c>
      <c r="I18" s="13">
        <v>-1</v>
      </c>
      <c r="J18" s="14">
        <v>0</v>
      </c>
      <c r="K18" s="15">
        <v>45682</v>
      </c>
    </row>
    <row r="19" spans="1:11" x14ac:dyDescent="0.25">
      <c r="A19" s="39"/>
      <c r="B19" s="18" t="s">
        <v>32</v>
      </c>
      <c r="C19" s="7">
        <v>61436.94</v>
      </c>
      <c r="D19" s="8">
        <v>0</v>
      </c>
      <c r="E19" s="9">
        <v>0</v>
      </c>
      <c r="F19" s="10">
        <v>0</v>
      </c>
      <c r="G19" s="11">
        <v>62057.25</v>
      </c>
      <c r="H19" s="12">
        <v>1.0096694268952877E-2</v>
      </c>
      <c r="I19" s="13">
        <v>1.0096694268952877E-2</v>
      </c>
      <c r="J19" s="14">
        <v>2.1139269563904352E-2</v>
      </c>
      <c r="K19" s="15">
        <v>45682</v>
      </c>
    </row>
    <row r="20" spans="1:11" x14ac:dyDescent="0.25">
      <c r="A20" s="39"/>
      <c r="B20" s="18" t="s">
        <v>33</v>
      </c>
      <c r="C20" s="7">
        <v>27846</v>
      </c>
      <c r="D20" s="8"/>
      <c r="E20" s="9">
        <v>-26170</v>
      </c>
      <c r="F20" s="10">
        <v>0</v>
      </c>
      <c r="G20" s="11">
        <v>0</v>
      </c>
      <c r="H20" s="12">
        <v>-6.0188177835236667E-2</v>
      </c>
      <c r="I20" s="13">
        <v>-1</v>
      </c>
      <c r="J20" s="14">
        <v>0</v>
      </c>
      <c r="K20" s="15">
        <v>45682</v>
      </c>
    </row>
    <row r="21" spans="1:11" x14ac:dyDescent="0.25">
      <c r="A21" s="39"/>
      <c r="B21" s="18" t="s">
        <v>34</v>
      </c>
      <c r="C21" s="7">
        <v>230695.97999999998</v>
      </c>
      <c r="D21" s="19">
        <v>157954.51999999999</v>
      </c>
      <c r="E21" s="9">
        <v>0</v>
      </c>
      <c r="F21" s="10">
        <v>0</v>
      </c>
      <c r="G21" s="11">
        <v>363317.25</v>
      </c>
      <c r="H21" s="12">
        <v>-6.5182599790814644E-2</v>
      </c>
      <c r="I21" s="13">
        <v>-6.5182599790814644E-2</v>
      </c>
      <c r="J21" s="14">
        <v>0.12376090279486165</v>
      </c>
      <c r="K21" s="15">
        <v>45682</v>
      </c>
    </row>
    <row r="22" spans="1:11" x14ac:dyDescent="0.25">
      <c r="A22" s="39"/>
      <c r="B22" s="18" t="s">
        <v>35</v>
      </c>
      <c r="C22" s="7">
        <v>50752.22</v>
      </c>
      <c r="D22" s="8">
        <v>0</v>
      </c>
      <c r="E22" s="9">
        <v>-81.33</v>
      </c>
      <c r="F22" s="10">
        <v>0</v>
      </c>
      <c r="G22" s="11">
        <v>51031.47</v>
      </c>
      <c r="H22" s="12">
        <v>7.1161173604805672E-3</v>
      </c>
      <c r="I22" s="13">
        <v>7.1161173604805672E-3</v>
      </c>
      <c r="J22" s="14">
        <v>1.7383432243167365E-2</v>
      </c>
      <c r="K22" s="15">
        <v>45682</v>
      </c>
    </row>
    <row r="23" spans="1:11" x14ac:dyDescent="0.25">
      <c r="A23" s="39"/>
      <c r="B23" s="18" t="s">
        <v>20</v>
      </c>
      <c r="C23" s="7">
        <v>206515</v>
      </c>
      <c r="D23" s="8">
        <v>0</v>
      </c>
      <c r="E23" s="9">
        <v>0</v>
      </c>
      <c r="F23" s="10">
        <v>0</v>
      </c>
      <c r="G23" s="11">
        <v>218946</v>
      </c>
      <c r="H23" s="12">
        <v>6.0194174757281615E-2</v>
      </c>
      <c r="I23" s="13">
        <v>6.0194174757281615E-2</v>
      </c>
      <c r="J23" s="14">
        <v>7.4582075646900281E-2</v>
      </c>
      <c r="K23" s="15">
        <v>45682</v>
      </c>
    </row>
    <row r="24" spans="1:11" x14ac:dyDescent="0.25">
      <c r="A24" s="39"/>
      <c r="B24" s="18" t="s">
        <v>36</v>
      </c>
      <c r="C24" s="7">
        <v>17222.16</v>
      </c>
      <c r="D24" s="8">
        <v>0</v>
      </c>
      <c r="E24" s="9">
        <v>0</v>
      </c>
      <c r="F24" s="10">
        <v>0</v>
      </c>
      <c r="G24" s="11">
        <v>17285.670000000002</v>
      </c>
      <c r="H24" s="12">
        <v>3.6876907426246497E-3</v>
      </c>
      <c r="I24" s="13">
        <v>3.6876907426246497E-3</v>
      </c>
      <c r="J24" s="14">
        <v>5.8882151194694348E-3</v>
      </c>
      <c r="K24" s="15">
        <v>45682</v>
      </c>
    </row>
    <row r="25" spans="1:11" x14ac:dyDescent="0.25">
      <c r="A25" s="39"/>
      <c r="B25" s="18" t="s">
        <v>21</v>
      </c>
      <c r="C25" s="7">
        <v>170648.8</v>
      </c>
      <c r="D25" s="8">
        <v>81474.509999999995</v>
      </c>
      <c r="E25" s="9">
        <v>-23499.56</v>
      </c>
      <c r="F25" s="10">
        <v>0</v>
      </c>
      <c r="G25" s="11">
        <v>233553.87000000002</v>
      </c>
      <c r="H25" s="12">
        <v>2.15643387880744E-2</v>
      </c>
      <c r="I25" s="13">
        <v>2.15643387880744E-2</v>
      </c>
      <c r="J25" s="14">
        <v>7.9558121180411223E-2</v>
      </c>
      <c r="K25" s="15">
        <v>45682</v>
      </c>
    </row>
    <row r="26" spans="1:11" x14ac:dyDescent="0.25">
      <c r="A26" s="39"/>
      <c r="B26" s="18" t="s">
        <v>22</v>
      </c>
      <c r="C26" s="7">
        <v>332755</v>
      </c>
      <c r="D26" s="8">
        <v>68968</v>
      </c>
      <c r="E26" s="9">
        <v>0</v>
      </c>
      <c r="F26" s="10">
        <v>0</v>
      </c>
      <c r="G26" s="11">
        <v>400858</v>
      </c>
      <c r="H26" s="12">
        <v>-2.1532249833841055E-3</v>
      </c>
      <c r="I26" s="13">
        <v>-2.1532249833841055E-3</v>
      </c>
      <c r="J26" s="14">
        <v>0.13654883706331766</v>
      </c>
      <c r="K26" s="15">
        <v>45682</v>
      </c>
    </row>
    <row r="27" spans="1:11" x14ac:dyDescent="0.25">
      <c r="A27" s="39"/>
      <c r="B27" s="18" t="s">
        <v>37</v>
      </c>
      <c r="C27" s="7">
        <v>1814</v>
      </c>
      <c r="D27" s="8">
        <v>0</v>
      </c>
      <c r="E27" s="9">
        <v>-1845</v>
      </c>
      <c r="F27" s="10">
        <v>0</v>
      </c>
      <c r="G27" s="11">
        <v>0</v>
      </c>
      <c r="H27" s="12">
        <v>1.7089305402425481E-2</v>
      </c>
      <c r="I27" s="13">
        <v>-1</v>
      </c>
      <c r="J27" s="14">
        <v>0</v>
      </c>
      <c r="K27" s="15">
        <v>45682</v>
      </c>
    </row>
    <row r="28" spans="1:11" x14ac:dyDescent="0.25">
      <c r="A28" s="39"/>
      <c r="B28" s="18" t="s">
        <v>38</v>
      </c>
      <c r="C28" s="7">
        <v>2568.64</v>
      </c>
      <c r="D28" s="8">
        <v>296.48</v>
      </c>
      <c r="E28" s="9">
        <v>0</v>
      </c>
      <c r="F28" s="10">
        <v>0</v>
      </c>
      <c r="G28" s="11">
        <v>2655.72</v>
      </c>
      <c r="H28" s="12">
        <v>-7.3085944044228524E-2</v>
      </c>
      <c r="I28" s="13">
        <v>-7.3085944044228524E-2</v>
      </c>
      <c r="J28" s="14">
        <v>9.0464822347513074E-4</v>
      </c>
      <c r="K28" s="15">
        <v>45682</v>
      </c>
    </row>
    <row r="29" spans="1:11" x14ac:dyDescent="0.25">
      <c r="A29" s="39"/>
      <c r="B29" s="18" t="s">
        <v>39</v>
      </c>
      <c r="C29" s="7"/>
      <c r="D29" s="8"/>
      <c r="E29" s="9"/>
      <c r="F29" s="10"/>
      <c r="G29" s="11"/>
      <c r="H29" s="12"/>
      <c r="I29" s="13"/>
      <c r="J29" s="14">
        <v>0</v>
      </c>
      <c r="K29" s="15">
        <v>45682</v>
      </c>
    </row>
    <row r="30" spans="1:11" x14ac:dyDescent="0.25">
      <c r="A30" s="39"/>
      <c r="B30" s="18" t="s">
        <v>40</v>
      </c>
      <c r="C30" s="7">
        <v>44604.15</v>
      </c>
      <c r="D30" s="8">
        <v>266.59000000000003</v>
      </c>
      <c r="E30" s="9">
        <v>0</v>
      </c>
      <c r="F30" s="10">
        <v>0</v>
      </c>
      <c r="G30" s="11">
        <v>47578.44</v>
      </c>
      <c r="H30" s="12">
        <v>6.0344447183175554E-2</v>
      </c>
      <c r="I30" s="13">
        <v>6.0344447183175554E-2</v>
      </c>
      <c r="J30" s="14">
        <v>1.6207187211648107E-2</v>
      </c>
      <c r="K30" s="15">
        <v>45682</v>
      </c>
    </row>
    <row r="31" spans="1:11" x14ac:dyDescent="0.25">
      <c r="A31" s="39"/>
      <c r="B31" s="18" t="s">
        <v>41</v>
      </c>
      <c r="C31" s="7">
        <v>52830</v>
      </c>
      <c r="D31" s="8">
        <v>0</v>
      </c>
      <c r="E31" s="9">
        <v>-49590</v>
      </c>
      <c r="F31" s="10">
        <v>-1902.6</v>
      </c>
      <c r="G31" s="11">
        <v>0</v>
      </c>
      <c r="H31" s="12">
        <v>-6.1328790459965976E-2</v>
      </c>
      <c r="I31" s="13">
        <v>-1</v>
      </c>
      <c r="J31" s="14">
        <v>0</v>
      </c>
      <c r="K31" s="15">
        <v>45682</v>
      </c>
    </row>
    <row r="32" spans="1:11" x14ac:dyDescent="0.25">
      <c r="A32" s="39"/>
      <c r="B32" s="18" t="s">
        <v>42</v>
      </c>
      <c r="C32" s="7">
        <v>9934.35</v>
      </c>
      <c r="D32" s="8">
        <v>0</v>
      </c>
      <c r="E32" s="9">
        <v>0</v>
      </c>
      <c r="F32" s="10">
        <v>0</v>
      </c>
      <c r="G32" s="11">
        <v>10532.34</v>
      </c>
      <c r="H32" s="12">
        <v>6.0194174757281615E-2</v>
      </c>
      <c r="I32" s="13">
        <v>6.0194174757281615E-2</v>
      </c>
      <c r="J32" s="14">
        <v>3.5877512200217115E-3</v>
      </c>
      <c r="K32" s="15">
        <v>45682</v>
      </c>
    </row>
    <row r="33" spans="1:11" x14ac:dyDescent="0.25">
      <c r="A33" s="39"/>
      <c r="B33" s="18" t="s">
        <v>43</v>
      </c>
      <c r="C33" s="7">
        <v>1584.2</v>
      </c>
      <c r="D33" s="8">
        <v>0</v>
      </c>
      <c r="E33" s="9">
        <v>0</v>
      </c>
      <c r="F33" s="10">
        <v>0</v>
      </c>
      <c r="G33" s="11">
        <v>1302.96</v>
      </c>
      <c r="H33" s="12">
        <v>-0.17752808988764046</v>
      </c>
      <c r="I33" s="13">
        <v>-0.17752808988764046</v>
      </c>
      <c r="J33" s="14">
        <v>4.4384214045876692E-4</v>
      </c>
      <c r="K33" s="15">
        <v>45682</v>
      </c>
    </row>
    <row r="34" spans="1:11" x14ac:dyDescent="0.25">
      <c r="A34" s="39"/>
      <c r="B34" s="18" t="s">
        <v>44</v>
      </c>
      <c r="C34" s="7">
        <v>22147.35</v>
      </c>
      <c r="D34" s="8">
        <v>10420.67</v>
      </c>
      <c r="E34" s="9">
        <v>0</v>
      </c>
      <c r="F34" s="10">
        <v>0</v>
      </c>
      <c r="G34" s="11">
        <v>30413.119999999999</v>
      </c>
      <c r="H34" s="12">
        <v>-6.616613475427735E-2</v>
      </c>
      <c r="I34" s="13">
        <v>-6.616613475427735E-2</v>
      </c>
      <c r="J34" s="14">
        <v>1.0359968286692863E-2</v>
      </c>
      <c r="K34" s="15">
        <v>45682</v>
      </c>
    </row>
    <row r="35" spans="1:11" ht="16.5" thickBot="1" x14ac:dyDescent="0.3">
      <c r="A35" s="39"/>
      <c r="B35" s="20" t="s">
        <v>23</v>
      </c>
      <c r="C35" s="21">
        <f t="shared" ref="C35:G35" si="0">SUM(C3:C34)</f>
        <v>2938411.12</v>
      </c>
      <c r="D35" s="22">
        <f t="shared" si="0"/>
        <v>383138.31999999995</v>
      </c>
      <c r="E35" s="23">
        <f t="shared" si="0"/>
        <v>-376944.67000000004</v>
      </c>
      <c r="F35" s="24">
        <f t="shared" si="0"/>
        <v>-2799.8599999999997</v>
      </c>
      <c r="G35" s="11">
        <f t="shared" si="0"/>
        <v>2935638.33</v>
      </c>
      <c r="H35" s="25">
        <f>(G35/(C35+D35+E35+F35))-1</f>
        <v>-2.0961893084882055E-3</v>
      </c>
      <c r="I35" s="26"/>
      <c r="J35" s="27">
        <v>0</v>
      </c>
      <c r="K35" s="15">
        <v>45682</v>
      </c>
    </row>
    <row r="36" spans="1:11" ht="16.5" thickTop="1" x14ac:dyDescent="0.25">
      <c r="A36" s="38">
        <v>45715</v>
      </c>
      <c r="B36" s="18" t="s">
        <v>11</v>
      </c>
      <c r="C36" s="7">
        <v>29710.980000000003</v>
      </c>
      <c r="D36" s="8">
        <v>0</v>
      </c>
      <c r="E36" s="9">
        <v>0</v>
      </c>
      <c r="F36" s="10">
        <v>0</v>
      </c>
      <c r="G36" s="11">
        <v>30019.14</v>
      </c>
      <c r="H36" s="12">
        <v>1.0371923107214798E-2</v>
      </c>
      <c r="I36" s="13">
        <v>1.0371923107214798E-2</v>
      </c>
      <c r="J36" s="14">
        <v>1.1499934842689774E-2</v>
      </c>
      <c r="K36" s="15">
        <v>45713</v>
      </c>
    </row>
    <row r="37" spans="1:11" x14ac:dyDescent="0.25">
      <c r="A37" s="39"/>
      <c r="B37" s="18" t="s">
        <v>12</v>
      </c>
      <c r="C37" s="7">
        <v>160621.69</v>
      </c>
      <c r="D37" s="8">
        <v>0</v>
      </c>
      <c r="E37" s="9">
        <v>0</v>
      </c>
      <c r="F37" s="10">
        <v>0</v>
      </c>
      <c r="G37" s="11">
        <v>162305.43</v>
      </c>
      <c r="H37" s="12">
        <v>1.0482644031450494E-2</v>
      </c>
      <c r="I37" s="13">
        <v>1.0482644031450494E-2</v>
      </c>
      <c r="J37" s="14">
        <v>6.2177060022863613E-2</v>
      </c>
      <c r="K37" s="15">
        <v>45713</v>
      </c>
    </row>
    <row r="38" spans="1:11" x14ac:dyDescent="0.25">
      <c r="A38" s="39"/>
      <c r="B38" s="18" t="s">
        <v>13</v>
      </c>
      <c r="C38" s="7">
        <v>-127324</v>
      </c>
      <c r="D38" s="8">
        <v>0</v>
      </c>
      <c r="E38" s="9">
        <v>224619.86</v>
      </c>
      <c r="F38" s="10">
        <v>0</v>
      </c>
      <c r="G38" s="11">
        <v>97295.859999999986</v>
      </c>
      <c r="H38" s="12">
        <v>0</v>
      </c>
      <c r="I38" s="13">
        <v>0</v>
      </c>
      <c r="J38" s="14">
        <v>3.7272754997760296E-2</v>
      </c>
      <c r="K38" s="15">
        <v>45713</v>
      </c>
    </row>
    <row r="39" spans="1:11" x14ac:dyDescent="0.25">
      <c r="A39" s="39"/>
      <c r="B39" s="18" t="s">
        <v>24</v>
      </c>
      <c r="C39" s="7">
        <v>0</v>
      </c>
      <c r="D39" s="8">
        <v>0</v>
      </c>
      <c r="E39" s="9">
        <v>0</v>
      </c>
      <c r="F39" s="10">
        <v>0</v>
      </c>
      <c r="G39" s="11">
        <v>0</v>
      </c>
      <c r="H39" s="12" t="s">
        <v>14</v>
      </c>
      <c r="I39" s="13" t="s">
        <v>14</v>
      </c>
      <c r="J39" s="14">
        <v>0</v>
      </c>
      <c r="K39" s="15">
        <v>45713</v>
      </c>
    </row>
    <row r="40" spans="1:11" x14ac:dyDescent="0.25">
      <c r="A40" s="39"/>
      <c r="B40" s="18" t="s">
        <v>15</v>
      </c>
      <c r="C40" s="7">
        <v>102989.93</v>
      </c>
      <c r="D40" s="8">
        <v>0</v>
      </c>
      <c r="E40" s="9">
        <v>0</v>
      </c>
      <c r="F40" s="10">
        <v>0</v>
      </c>
      <c r="G40" s="11">
        <v>104004.97</v>
      </c>
      <c r="H40" s="12">
        <v>9.8557208457177303E-3</v>
      </c>
      <c r="I40" s="28">
        <v>9.8557208457177303E-3</v>
      </c>
      <c r="J40" s="14">
        <v>3.9842926156975336E-2</v>
      </c>
      <c r="K40" s="15">
        <v>45713</v>
      </c>
    </row>
    <row r="41" spans="1:11" x14ac:dyDescent="0.25">
      <c r="A41" s="39"/>
      <c r="B41" s="18" t="s">
        <v>25</v>
      </c>
      <c r="C41" s="7">
        <v>156123.70000000001</v>
      </c>
      <c r="D41" s="8">
        <v>0</v>
      </c>
      <c r="E41" s="9">
        <v>-7061.28</v>
      </c>
      <c r="F41" s="10">
        <v>0</v>
      </c>
      <c r="G41" s="11">
        <v>150583.34</v>
      </c>
      <c r="H41" s="12">
        <v>1.020324237322856E-2</v>
      </c>
      <c r="I41" s="13">
        <v>1.020324237322856E-2</v>
      </c>
      <c r="J41" s="14">
        <v>5.76864826372308E-2</v>
      </c>
      <c r="K41" s="15">
        <v>45713</v>
      </c>
    </row>
    <row r="42" spans="1:11" x14ac:dyDescent="0.25">
      <c r="A42" s="39"/>
      <c r="B42" s="18" t="s">
        <v>16</v>
      </c>
      <c r="C42" s="7">
        <v>218118.89</v>
      </c>
      <c r="D42" s="8">
        <v>0</v>
      </c>
      <c r="E42" s="9">
        <v>0</v>
      </c>
      <c r="F42" s="10">
        <v>0</v>
      </c>
      <c r="G42" s="11">
        <v>220600.19</v>
      </c>
      <c r="H42" s="12">
        <v>1.1375906048302298E-2</v>
      </c>
      <c r="I42" s="13">
        <v>1.1375906048302298E-2</v>
      </c>
      <c r="J42" s="14">
        <v>8.4509010294265066E-2</v>
      </c>
      <c r="K42" s="15">
        <v>45713</v>
      </c>
    </row>
    <row r="43" spans="1:11" x14ac:dyDescent="0.25">
      <c r="A43" s="39"/>
      <c r="B43" s="18" t="s">
        <v>26</v>
      </c>
      <c r="C43" s="7">
        <v>153167.21</v>
      </c>
      <c r="D43" s="8">
        <v>0</v>
      </c>
      <c r="E43" s="9">
        <v>-154468.20000000001</v>
      </c>
      <c r="F43" s="10">
        <v>0</v>
      </c>
      <c r="G43" s="11">
        <v>0</v>
      </c>
      <c r="H43" s="12">
        <v>8.4939198148221706E-3</v>
      </c>
      <c r="I43" s="13">
        <v>-1</v>
      </c>
      <c r="J43" s="14">
        <v>0</v>
      </c>
      <c r="K43" s="15">
        <v>45713</v>
      </c>
    </row>
    <row r="44" spans="1:11" x14ac:dyDescent="0.25">
      <c r="A44" s="39"/>
      <c r="B44" s="18" t="s">
        <v>27</v>
      </c>
      <c r="C44" s="7">
        <v>200942.65</v>
      </c>
      <c r="D44" s="8">
        <v>0</v>
      </c>
      <c r="E44" s="9">
        <v>0</v>
      </c>
      <c r="F44" s="10">
        <v>0</v>
      </c>
      <c r="G44" s="11">
        <v>203121.64</v>
      </c>
      <c r="H44" s="12">
        <v>1.0843840269848304E-2</v>
      </c>
      <c r="I44" s="13">
        <v>1.0843840269848304E-2</v>
      </c>
      <c r="J44" s="14">
        <v>7.7813209343781636E-2</v>
      </c>
      <c r="K44" s="15">
        <v>45713</v>
      </c>
    </row>
    <row r="45" spans="1:11" x14ac:dyDescent="0.25">
      <c r="A45" s="39"/>
      <c r="B45" s="18" t="s">
        <v>17</v>
      </c>
      <c r="C45" s="7">
        <v>71851.539999999994</v>
      </c>
      <c r="D45" s="8">
        <v>0</v>
      </c>
      <c r="E45" s="9">
        <v>0</v>
      </c>
      <c r="F45" s="10">
        <v>0</v>
      </c>
      <c r="G45" s="11">
        <v>73131.55</v>
      </c>
      <c r="H45" s="12">
        <v>1.7814649484200418E-2</v>
      </c>
      <c r="I45" s="13">
        <v>1.7814649484200418E-2</v>
      </c>
      <c r="J45" s="14">
        <v>2.801572796372279E-2</v>
      </c>
      <c r="K45" s="15">
        <v>45713</v>
      </c>
    </row>
    <row r="46" spans="1:11" x14ac:dyDescent="0.25">
      <c r="A46" s="39"/>
      <c r="B46" s="18" t="s">
        <v>18</v>
      </c>
      <c r="C46" s="7">
        <v>94983.89</v>
      </c>
      <c r="D46" s="8">
        <v>0</v>
      </c>
      <c r="E46" s="9">
        <v>0</v>
      </c>
      <c r="F46" s="10">
        <v>0</v>
      </c>
      <c r="G46" s="11">
        <v>94983.89</v>
      </c>
      <c r="H46" s="12">
        <v>0</v>
      </c>
      <c r="I46" s="13">
        <v>0</v>
      </c>
      <c r="J46" s="14">
        <v>3.6387069919565071E-2</v>
      </c>
      <c r="K46" s="15">
        <v>45713</v>
      </c>
    </row>
    <row r="47" spans="1:11" x14ac:dyDescent="0.25">
      <c r="A47" s="39"/>
      <c r="B47" s="18" t="s">
        <v>28</v>
      </c>
      <c r="C47" s="7">
        <v>95059.82</v>
      </c>
      <c r="D47" s="8">
        <v>0</v>
      </c>
      <c r="E47" s="9">
        <v>-64240</v>
      </c>
      <c r="F47" s="10">
        <v>0</v>
      </c>
      <c r="G47" s="11">
        <v>52290.73</v>
      </c>
      <c r="H47" s="12">
        <v>0.69665916283742058</v>
      </c>
      <c r="I47" s="13">
        <v>0.69665916283742058</v>
      </c>
      <c r="J47" s="14">
        <v>2.0031885919339576E-2</v>
      </c>
      <c r="K47" s="15">
        <v>45713</v>
      </c>
    </row>
    <row r="48" spans="1:11" x14ac:dyDescent="0.25">
      <c r="A48" s="39"/>
      <c r="B48" s="18" t="s">
        <v>29</v>
      </c>
      <c r="C48" s="7">
        <v>76467</v>
      </c>
      <c r="D48" s="8">
        <v>0</v>
      </c>
      <c r="E48" s="9">
        <v>0</v>
      </c>
      <c r="F48" s="10">
        <v>0</v>
      </c>
      <c r="G48" s="11">
        <v>71213</v>
      </c>
      <c r="H48" s="12">
        <v>-6.8709377901578494E-2</v>
      </c>
      <c r="I48" s="13">
        <v>-6.8709377901578494E-2</v>
      </c>
      <c r="J48" s="14">
        <v>2.7280756875528972E-2</v>
      </c>
      <c r="K48" s="15">
        <v>45713</v>
      </c>
    </row>
    <row r="49" spans="1:11" x14ac:dyDescent="0.25">
      <c r="A49" s="39"/>
      <c r="B49" s="18" t="s">
        <v>19</v>
      </c>
      <c r="C49" s="7">
        <v>206862.88</v>
      </c>
      <c r="D49" s="8">
        <v>0</v>
      </c>
      <c r="E49" s="9">
        <v>0</v>
      </c>
      <c r="F49" s="10">
        <v>0</v>
      </c>
      <c r="G49" s="11">
        <v>209603.07</v>
      </c>
      <c r="H49" s="12">
        <v>1.3246407475328681E-2</v>
      </c>
      <c r="I49" s="13">
        <v>1.3246407475328681E-2</v>
      </c>
      <c r="J49" s="14">
        <v>8.0296159311284185E-2</v>
      </c>
      <c r="K49" s="15">
        <v>45713</v>
      </c>
    </row>
    <row r="50" spans="1:11" x14ac:dyDescent="0.25">
      <c r="A50" s="39"/>
      <c r="B50" s="18" t="s">
        <v>30</v>
      </c>
      <c r="C50" s="7">
        <v>56530.06</v>
      </c>
      <c r="D50" s="8">
        <v>0</v>
      </c>
      <c r="E50" s="9">
        <v>0</v>
      </c>
      <c r="F50" s="10">
        <v>0</v>
      </c>
      <c r="G50" s="11">
        <v>57065.36</v>
      </c>
      <c r="H50" s="12">
        <v>9.4692982813038284E-3</v>
      </c>
      <c r="I50" s="13">
        <v>9.4692982813038284E-3</v>
      </c>
      <c r="J50" s="14">
        <v>2.1860983418400235E-2</v>
      </c>
      <c r="K50" s="15">
        <v>45713</v>
      </c>
    </row>
    <row r="51" spans="1:11" x14ac:dyDescent="0.25">
      <c r="A51" s="39"/>
      <c r="B51" s="18" t="s">
        <v>31</v>
      </c>
      <c r="C51" s="7">
        <v>0</v>
      </c>
      <c r="D51" s="8">
        <v>0</v>
      </c>
      <c r="E51" s="9">
        <v>0</v>
      </c>
      <c r="F51" s="10">
        <v>0</v>
      </c>
      <c r="G51" s="11">
        <v>0</v>
      </c>
      <c r="H51" s="12" t="s">
        <v>14</v>
      </c>
      <c r="I51" s="13" t="s">
        <v>14</v>
      </c>
      <c r="J51" s="14">
        <v>0</v>
      </c>
      <c r="K51" s="15">
        <v>45713</v>
      </c>
    </row>
    <row r="52" spans="1:11" x14ac:dyDescent="0.25">
      <c r="A52" s="39"/>
      <c r="B52" s="18" t="s">
        <v>32</v>
      </c>
      <c r="C52" s="7">
        <v>62057.25</v>
      </c>
      <c r="D52" s="8">
        <v>0</v>
      </c>
      <c r="E52" s="9">
        <v>0</v>
      </c>
      <c r="F52" s="10">
        <v>0</v>
      </c>
      <c r="G52" s="11">
        <v>62668.71</v>
      </c>
      <c r="H52" s="12">
        <v>9.8531597839091045E-3</v>
      </c>
      <c r="I52" s="28">
        <v>9.8531597839091045E-3</v>
      </c>
      <c r="J52" s="14">
        <v>2.400755257064063E-2</v>
      </c>
      <c r="K52" s="15">
        <v>45713</v>
      </c>
    </row>
    <row r="53" spans="1:11" x14ac:dyDescent="0.25">
      <c r="A53" s="39"/>
      <c r="B53" s="18" t="s">
        <v>33</v>
      </c>
      <c r="C53" s="7">
        <v>0</v>
      </c>
      <c r="D53" s="8">
        <v>0</v>
      </c>
      <c r="E53" s="9">
        <v>0</v>
      </c>
      <c r="F53" s="10">
        <v>0</v>
      </c>
      <c r="G53" s="11">
        <v>0</v>
      </c>
      <c r="H53" s="12" t="s">
        <v>14</v>
      </c>
      <c r="I53" s="13" t="s">
        <v>14</v>
      </c>
      <c r="J53" s="14">
        <v>0</v>
      </c>
      <c r="K53" s="15">
        <v>45713</v>
      </c>
    </row>
    <row r="54" spans="1:11" x14ac:dyDescent="0.25">
      <c r="A54" s="39"/>
      <c r="B54" s="18" t="s">
        <v>34</v>
      </c>
      <c r="C54" s="7">
        <v>363317.25</v>
      </c>
      <c r="D54" s="8"/>
      <c r="E54" s="9"/>
      <c r="F54" s="10">
        <v>0</v>
      </c>
      <c r="G54" s="11">
        <v>265950</v>
      </c>
      <c r="H54" s="12">
        <v>-0.2679951199674665</v>
      </c>
      <c r="I54" s="28">
        <v>-0.2679951199674665</v>
      </c>
      <c r="J54" s="14">
        <v>0.10188192171439106</v>
      </c>
      <c r="K54" s="15">
        <v>45713</v>
      </c>
    </row>
    <row r="55" spans="1:11" x14ac:dyDescent="0.25">
      <c r="A55" s="39"/>
      <c r="B55" s="18" t="s">
        <v>35</v>
      </c>
      <c r="C55" s="7">
        <v>51031.47</v>
      </c>
      <c r="D55" s="19">
        <v>0</v>
      </c>
      <c r="E55" s="29">
        <v>-1300</v>
      </c>
      <c r="F55" s="10">
        <v>0</v>
      </c>
      <c r="G55" s="11">
        <v>50160.84</v>
      </c>
      <c r="H55" s="12">
        <v>8.6337685171984369E-3</v>
      </c>
      <c r="I55" s="13">
        <v>8.6337685171984369E-3</v>
      </c>
      <c r="J55" s="14">
        <v>1.9215953276962194E-2</v>
      </c>
      <c r="K55" s="15">
        <v>45713</v>
      </c>
    </row>
    <row r="56" spans="1:11" x14ac:dyDescent="0.25">
      <c r="A56" s="39"/>
      <c r="B56" s="18" t="s">
        <v>20</v>
      </c>
      <c r="C56" s="7">
        <v>218946</v>
      </c>
      <c r="D56" s="8">
        <v>0</v>
      </c>
      <c r="E56" s="9">
        <v>0</v>
      </c>
      <c r="F56" s="10">
        <v>0</v>
      </c>
      <c r="G56" s="11">
        <v>204510</v>
      </c>
      <c r="H56" s="12">
        <v>-6.5934065934065922E-2</v>
      </c>
      <c r="I56" s="13">
        <v>-6.5934065934065922E-2</v>
      </c>
      <c r="J56" s="14">
        <v>7.834507166689271E-2</v>
      </c>
      <c r="K56" s="15">
        <v>45713</v>
      </c>
    </row>
    <row r="57" spans="1:11" x14ac:dyDescent="0.25">
      <c r="A57" s="39"/>
      <c r="B57" s="18" t="s">
        <v>36</v>
      </c>
      <c r="C57" s="7">
        <v>17285.670000000002</v>
      </c>
      <c r="D57" s="8">
        <v>0</v>
      </c>
      <c r="E57" s="9">
        <v>0</v>
      </c>
      <c r="F57" s="10">
        <v>0</v>
      </c>
      <c r="G57" s="11">
        <v>16863</v>
      </c>
      <c r="H57" s="12">
        <v>-2.4452046116812509E-2</v>
      </c>
      <c r="I57" s="13">
        <v>-2.4452046116812509E-2</v>
      </c>
      <c r="J57" s="14">
        <v>6.4599919002435663E-3</v>
      </c>
      <c r="K57" s="15">
        <v>45713</v>
      </c>
    </row>
    <row r="58" spans="1:11" x14ac:dyDescent="0.25">
      <c r="A58" s="39"/>
      <c r="B58" s="18" t="s">
        <v>21</v>
      </c>
      <c r="C58" s="7">
        <v>233553.87000000002</v>
      </c>
      <c r="D58" s="8">
        <v>0</v>
      </c>
      <c r="E58" s="9">
        <v>-126098</v>
      </c>
      <c r="F58" s="10">
        <v>0</v>
      </c>
      <c r="G58" s="11">
        <v>102101.67</v>
      </c>
      <c r="H58" s="12">
        <v>-4.9826966176906184E-2</v>
      </c>
      <c r="I58" s="13">
        <v>-4.9826966176906184E-2</v>
      </c>
      <c r="J58" s="14">
        <v>3.9113797141750666E-2</v>
      </c>
      <c r="K58" s="15">
        <v>45713</v>
      </c>
    </row>
    <row r="59" spans="1:11" x14ac:dyDescent="0.25">
      <c r="A59" s="39"/>
      <c r="B59" s="18" t="s">
        <v>22</v>
      </c>
      <c r="C59" s="7">
        <v>400858</v>
      </c>
      <c r="D59" s="8">
        <v>0</v>
      </c>
      <c r="E59" s="9">
        <v>-28705</v>
      </c>
      <c r="F59" s="10">
        <v>0</v>
      </c>
      <c r="G59" s="11">
        <v>380535</v>
      </c>
      <c r="H59" s="12">
        <v>2.2522994574811994E-2</v>
      </c>
      <c r="I59" s="13">
        <v>2.2522994574811994E-2</v>
      </c>
      <c r="J59" s="14">
        <v>0.14577791720092423</v>
      </c>
      <c r="K59" s="15">
        <v>45713</v>
      </c>
    </row>
    <row r="60" spans="1:11" x14ac:dyDescent="0.25">
      <c r="A60" s="39"/>
      <c r="B60" s="18" t="s">
        <v>37</v>
      </c>
      <c r="C60" s="7">
        <v>0</v>
      </c>
      <c r="D60" s="8">
        <v>0</v>
      </c>
      <c r="E60" s="9">
        <v>0</v>
      </c>
      <c r="F60" s="10">
        <v>0</v>
      </c>
      <c r="G60" s="11">
        <v>0</v>
      </c>
      <c r="H60" s="12" t="s">
        <v>14</v>
      </c>
      <c r="I60" s="13" t="s">
        <v>14</v>
      </c>
      <c r="J60" s="14">
        <v>0</v>
      </c>
      <c r="K60" s="15">
        <v>45713</v>
      </c>
    </row>
    <row r="61" spans="1:11" x14ac:dyDescent="0.25">
      <c r="A61" s="39"/>
      <c r="B61" s="18" t="s">
        <v>38</v>
      </c>
      <c r="C61" s="7">
        <v>2655.72</v>
      </c>
      <c r="D61" s="8">
        <v>0</v>
      </c>
      <c r="E61" s="9">
        <v>-643.79999999999995</v>
      </c>
      <c r="F61" s="10">
        <v>0</v>
      </c>
      <c r="G61" s="11">
        <v>1296</v>
      </c>
      <c r="H61" s="12">
        <v>-0.35583919837766909</v>
      </c>
      <c r="I61" s="28">
        <v>-0.35583919837766909</v>
      </c>
      <c r="J61" s="14">
        <v>4.9648043068941836E-4</v>
      </c>
      <c r="K61" s="15">
        <v>45713</v>
      </c>
    </row>
    <row r="62" spans="1:11" x14ac:dyDescent="0.25">
      <c r="A62" s="39"/>
      <c r="B62" s="18" t="s">
        <v>39</v>
      </c>
      <c r="C62" s="7"/>
      <c r="D62" s="8"/>
      <c r="E62" s="9"/>
      <c r="F62" s="10"/>
      <c r="G62" s="11"/>
      <c r="H62" s="12"/>
      <c r="I62" s="13"/>
      <c r="J62" s="14">
        <v>0</v>
      </c>
      <c r="K62" s="15">
        <v>45713</v>
      </c>
    </row>
    <row r="63" spans="1:11" x14ac:dyDescent="0.25">
      <c r="A63" s="39"/>
      <c r="B63" s="18" t="s">
        <v>40</v>
      </c>
      <c r="C63" s="7">
        <v>47578.44</v>
      </c>
      <c r="D63" s="8">
        <v>0</v>
      </c>
      <c r="E63" s="9">
        <v>-46458</v>
      </c>
      <c r="F63" s="10">
        <v>0</v>
      </c>
      <c r="G63" s="11">
        <v>71.399999999999991</v>
      </c>
      <c r="H63" s="12">
        <v>-0.9362750348077542</v>
      </c>
      <c r="I63" s="28">
        <v>-0.9362750348077542</v>
      </c>
      <c r="J63" s="14">
        <v>2.7352394098167025E-5</v>
      </c>
      <c r="K63" s="15">
        <v>45713</v>
      </c>
    </row>
    <row r="64" spans="1:11" x14ac:dyDescent="0.25">
      <c r="A64" s="39"/>
      <c r="B64" s="18" t="s">
        <v>41</v>
      </c>
      <c r="C64" s="7">
        <v>0</v>
      </c>
      <c r="D64" s="8">
        <v>0</v>
      </c>
      <c r="E64" s="9">
        <v>0</v>
      </c>
      <c r="F64" s="10">
        <v>0</v>
      </c>
      <c r="G64" s="11">
        <v>0</v>
      </c>
      <c r="H64" s="12" t="s">
        <v>14</v>
      </c>
      <c r="I64" s="13" t="s">
        <v>14</v>
      </c>
      <c r="J64" s="14">
        <v>0</v>
      </c>
      <c r="K64" s="15">
        <v>45713</v>
      </c>
    </row>
    <row r="65" spans="1:11" x14ac:dyDescent="0.25">
      <c r="A65" s="39"/>
      <c r="B65" s="18" t="s">
        <v>42</v>
      </c>
      <c r="C65" s="7">
        <v>10532.34</v>
      </c>
      <c r="D65" s="8">
        <v>0</v>
      </c>
      <c r="E65" s="9">
        <v>-10281.57</v>
      </c>
      <c r="F65" s="10">
        <v>0</v>
      </c>
      <c r="G65" s="11">
        <v>0</v>
      </c>
      <c r="H65" s="12">
        <v>-2.3809523809523836E-2</v>
      </c>
      <c r="I65" s="28">
        <v>-1</v>
      </c>
      <c r="J65" s="14">
        <v>0</v>
      </c>
      <c r="K65" s="15">
        <v>45713</v>
      </c>
    </row>
    <row r="66" spans="1:11" x14ac:dyDescent="0.25">
      <c r="A66" s="39"/>
      <c r="B66" s="18" t="s">
        <v>43</v>
      </c>
      <c r="C66" s="7">
        <v>1302.96</v>
      </c>
      <c r="D66" s="8">
        <v>0</v>
      </c>
      <c r="E66" s="9">
        <v>-1375.05</v>
      </c>
      <c r="F66" s="10">
        <v>0</v>
      </c>
      <c r="G66" s="11">
        <v>0</v>
      </c>
      <c r="H66" s="12">
        <v>5.5327868852458995E-2</v>
      </c>
      <c r="I66" s="13">
        <v>-1</v>
      </c>
      <c r="J66" s="14">
        <v>0</v>
      </c>
      <c r="K66" s="15">
        <v>45713</v>
      </c>
    </row>
    <row r="67" spans="1:11" x14ac:dyDescent="0.25">
      <c r="A67" s="39"/>
      <c r="B67" s="18" t="s">
        <v>44</v>
      </c>
      <c r="C67" s="7">
        <v>30413.119999999999</v>
      </c>
      <c r="D67" s="8">
        <v>0</v>
      </c>
      <c r="E67" s="9">
        <v>-37880.400000000001</v>
      </c>
      <c r="F67" s="10">
        <v>0</v>
      </c>
      <c r="G67" s="11">
        <v>0</v>
      </c>
      <c r="H67" s="12">
        <v>0.24552824570448561</v>
      </c>
      <c r="I67" s="13">
        <v>-1</v>
      </c>
      <c r="J67" s="14">
        <v>0</v>
      </c>
      <c r="K67" s="15">
        <v>45713</v>
      </c>
    </row>
    <row r="68" spans="1:11" ht="16.5" thickBot="1" x14ac:dyDescent="0.3">
      <c r="A68" s="39"/>
      <c r="B68" s="20" t="s">
        <v>23</v>
      </c>
      <c r="C68" s="21">
        <f t="shared" ref="C68:G68" si="1">SUM(C36:C67)</f>
        <v>2935638.33</v>
      </c>
      <c r="D68" s="22">
        <f t="shared" si="1"/>
        <v>0</v>
      </c>
      <c r="E68" s="23">
        <f t="shared" si="1"/>
        <v>-253891.44</v>
      </c>
      <c r="F68" s="24">
        <f t="shared" si="1"/>
        <v>0</v>
      </c>
      <c r="G68" s="11">
        <f t="shared" si="1"/>
        <v>2610374.79</v>
      </c>
      <c r="H68" s="25">
        <f>(G68/(C68+D68+E68+F68))-1</f>
        <v>-2.6614032914940799E-2</v>
      </c>
      <c r="I68" s="13"/>
      <c r="J68" s="14"/>
      <c r="K68" s="15">
        <v>45713</v>
      </c>
    </row>
    <row r="69" spans="1:11" ht="16.5" thickTop="1" x14ac:dyDescent="0.25">
      <c r="A69" s="38">
        <v>45742</v>
      </c>
      <c r="B69" s="18" t="s">
        <v>11</v>
      </c>
      <c r="C69" s="7">
        <v>30019.14</v>
      </c>
      <c r="D69" s="8">
        <v>0</v>
      </c>
      <c r="E69" s="9">
        <v>0</v>
      </c>
      <c r="F69" s="10">
        <v>0</v>
      </c>
      <c r="G69" s="11">
        <v>30308.93</v>
      </c>
      <c r="H69" s="12">
        <v>9.6535077287358551E-3</v>
      </c>
      <c r="I69" s="13">
        <v>9.6535077287358551E-3</v>
      </c>
      <c r="J69" s="14">
        <v>1.1052294532423578E-2</v>
      </c>
      <c r="K69" s="15">
        <v>45741</v>
      </c>
    </row>
    <row r="70" spans="1:11" x14ac:dyDescent="0.25">
      <c r="A70" s="39"/>
      <c r="B70" s="18" t="s">
        <v>12</v>
      </c>
      <c r="C70" s="7">
        <v>162305.43</v>
      </c>
      <c r="D70" s="8">
        <v>0</v>
      </c>
      <c r="E70" s="9">
        <v>0</v>
      </c>
      <c r="F70" s="10">
        <v>0</v>
      </c>
      <c r="G70" s="11">
        <v>163868.98000000001</v>
      </c>
      <c r="H70" s="12">
        <v>9.6333807193020871E-3</v>
      </c>
      <c r="I70" s="13">
        <v>9.6333807193020871E-3</v>
      </c>
      <c r="J70" s="14">
        <v>5.9755597828357147E-2</v>
      </c>
      <c r="K70" s="15">
        <v>45741</v>
      </c>
    </row>
    <row r="71" spans="1:11" x14ac:dyDescent="0.25">
      <c r="A71" s="39"/>
      <c r="B71" s="18" t="s">
        <v>13</v>
      </c>
      <c r="C71" s="7">
        <v>97295.859999999986</v>
      </c>
      <c r="D71" s="8">
        <v>0</v>
      </c>
      <c r="E71" s="9">
        <v>-98622.859999999986</v>
      </c>
      <c r="F71" s="10">
        <v>0</v>
      </c>
      <c r="G71" s="11">
        <v>-1327</v>
      </c>
      <c r="H71" s="12">
        <v>0</v>
      </c>
      <c r="I71" s="13">
        <v>0</v>
      </c>
      <c r="J71" s="14">
        <v>-4.8389681999747562E-4</v>
      </c>
      <c r="K71" s="15">
        <v>45741</v>
      </c>
    </row>
    <row r="72" spans="1:11" x14ac:dyDescent="0.25">
      <c r="A72" s="39"/>
      <c r="B72" s="18" t="s">
        <v>24</v>
      </c>
      <c r="C72" s="7">
        <v>0</v>
      </c>
      <c r="D72" s="8">
        <v>180207.93000000002</v>
      </c>
      <c r="E72" s="9">
        <v>-83962.4</v>
      </c>
      <c r="F72" s="10">
        <v>0</v>
      </c>
      <c r="G72" s="11">
        <v>96971.58</v>
      </c>
      <c r="H72" s="12">
        <v>7.54372696581318E-3</v>
      </c>
      <c r="I72" s="13">
        <v>7.54372696581318E-3</v>
      </c>
      <c r="J72" s="14">
        <v>3.5361144832050342E-2</v>
      </c>
      <c r="K72" s="15">
        <v>45741</v>
      </c>
    </row>
    <row r="73" spans="1:11" x14ac:dyDescent="0.25">
      <c r="A73" s="39"/>
      <c r="B73" s="18" t="s">
        <v>15</v>
      </c>
      <c r="C73" s="7">
        <v>104004.97</v>
      </c>
      <c r="D73" s="8">
        <v>0</v>
      </c>
      <c r="E73" s="9">
        <v>0</v>
      </c>
      <c r="F73" s="10">
        <v>0</v>
      </c>
      <c r="G73" s="11">
        <v>105058.49</v>
      </c>
      <c r="H73" s="12">
        <v>1.012951592601774E-2</v>
      </c>
      <c r="I73" s="13">
        <v>1.012951592601774E-2</v>
      </c>
      <c r="J73" s="14">
        <v>3.8310074773727651E-2</v>
      </c>
      <c r="K73" s="15">
        <v>45741</v>
      </c>
    </row>
    <row r="74" spans="1:11" x14ac:dyDescent="0.25">
      <c r="A74" s="39"/>
      <c r="B74" s="18" t="s">
        <v>25</v>
      </c>
      <c r="C74" s="7">
        <v>150583.34</v>
      </c>
      <c r="D74" s="8">
        <v>0</v>
      </c>
      <c r="E74" s="9">
        <v>0</v>
      </c>
      <c r="F74" s="10">
        <v>0</v>
      </c>
      <c r="G74" s="11">
        <v>152109.57999999999</v>
      </c>
      <c r="H74" s="12">
        <v>1.0135516983485582E-2</v>
      </c>
      <c r="I74" s="13">
        <v>1.0135516983485582E-2</v>
      </c>
      <c r="J74" s="14">
        <v>5.5467477055879129E-2</v>
      </c>
      <c r="K74" s="15">
        <v>45741</v>
      </c>
    </row>
    <row r="75" spans="1:11" x14ac:dyDescent="0.25">
      <c r="A75" s="39"/>
      <c r="B75" s="18" t="s">
        <v>16</v>
      </c>
      <c r="C75" s="7">
        <v>220600.19</v>
      </c>
      <c r="D75" s="8">
        <v>0</v>
      </c>
      <c r="E75" s="9">
        <v>0</v>
      </c>
      <c r="F75" s="10">
        <v>0</v>
      </c>
      <c r="G75" s="11">
        <v>222835.27</v>
      </c>
      <c r="H75" s="12">
        <v>1.0131813576407023E-2</v>
      </c>
      <c r="I75" s="13">
        <v>1.0131813576407023E-2</v>
      </c>
      <c r="J75" s="14">
        <v>8.1257934089132525E-2</v>
      </c>
      <c r="K75" s="15">
        <v>45741</v>
      </c>
    </row>
    <row r="76" spans="1:11" x14ac:dyDescent="0.25">
      <c r="A76" s="39"/>
      <c r="B76" s="18" t="s">
        <v>26</v>
      </c>
      <c r="C76" s="7">
        <v>0</v>
      </c>
      <c r="D76" s="8">
        <v>50000</v>
      </c>
      <c r="E76" s="9">
        <v>0</v>
      </c>
      <c r="F76" s="10">
        <v>0</v>
      </c>
      <c r="G76" s="11">
        <v>50165.7</v>
      </c>
      <c r="H76" s="12">
        <v>3.3140000000000391E-3</v>
      </c>
      <c r="I76" s="13">
        <v>3.3140000000000391E-3</v>
      </c>
      <c r="J76" s="14">
        <v>1.8293159535001779E-2</v>
      </c>
      <c r="K76" s="15">
        <v>45741</v>
      </c>
    </row>
    <row r="77" spans="1:11" x14ac:dyDescent="0.25">
      <c r="A77" s="39"/>
      <c r="B77" s="18" t="s">
        <v>27</v>
      </c>
      <c r="C77" s="7">
        <v>203121.64</v>
      </c>
      <c r="D77" s="8">
        <v>0</v>
      </c>
      <c r="E77" s="9">
        <v>0</v>
      </c>
      <c r="F77" s="10">
        <v>0</v>
      </c>
      <c r="G77" s="11">
        <v>205079</v>
      </c>
      <c r="H77" s="12">
        <v>9.636393246923225E-3</v>
      </c>
      <c r="I77" s="13">
        <v>9.636393246923225E-3</v>
      </c>
      <c r="J77" s="14">
        <v>7.478302633629412E-2</v>
      </c>
      <c r="K77" s="15">
        <v>45741</v>
      </c>
    </row>
    <row r="78" spans="1:11" x14ac:dyDescent="0.25">
      <c r="A78" s="39"/>
      <c r="B78" s="18" t="s">
        <v>17</v>
      </c>
      <c r="C78" s="7">
        <v>73131.55</v>
      </c>
      <c r="D78" s="8">
        <v>0</v>
      </c>
      <c r="E78" s="9">
        <v>-13141.08</v>
      </c>
      <c r="F78" s="10">
        <v>0</v>
      </c>
      <c r="G78" s="11">
        <v>60175.44</v>
      </c>
      <c r="H78" s="12">
        <v>3.0833230678140033E-3</v>
      </c>
      <c r="I78" s="13">
        <v>3.0833230678140033E-3</v>
      </c>
      <c r="J78" s="14">
        <v>2.1943258521438504E-2</v>
      </c>
      <c r="K78" s="15">
        <v>45741</v>
      </c>
    </row>
    <row r="79" spans="1:11" x14ac:dyDescent="0.25">
      <c r="A79" s="39"/>
      <c r="B79" s="18" t="s">
        <v>18</v>
      </c>
      <c r="C79" s="7">
        <v>94983.89</v>
      </c>
      <c r="D79" s="8">
        <v>0</v>
      </c>
      <c r="E79" s="9">
        <v>0</v>
      </c>
      <c r="F79" s="10">
        <v>0</v>
      </c>
      <c r="G79" s="11">
        <v>101893.69</v>
      </c>
      <c r="H79" s="12">
        <v>7.2747073214205038E-2</v>
      </c>
      <c r="I79" s="13">
        <v>7.2747073214205038E-2</v>
      </c>
      <c r="J79" s="14">
        <v>3.7156015500232537E-2</v>
      </c>
      <c r="K79" s="15">
        <v>45741</v>
      </c>
    </row>
    <row r="80" spans="1:11" x14ac:dyDescent="0.25">
      <c r="A80" s="39"/>
      <c r="B80" s="18" t="s">
        <v>28</v>
      </c>
      <c r="C80" s="7">
        <v>52290.73</v>
      </c>
      <c r="D80" s="8">
        <v>68566</v>
      </c>
      <c r="E80" s="9">
        <v>0</v>
      </c>
      <c r="F80" s="10">
        <v>0</v>
      </c>
      <c r="G80" s="11">
        <v>118051.46</v>
      </c>
      <c r="H80" s="12">
        <v>-2.3211533193062572E-2</v>
      </c>
      <c r="I80" s="13">
        <v>-2.3211533193062572E-2</v>
      </c>
      <c r="J80" s="14">
        <v>4.3048022675251839E-2</v>
      </c>
      <c r="K80" s="15">
        <v>45741</v>
      </c>
    </row>
    <row r="81" spans="1:11" x14ac:dyDescent="0.25">
      <c r="A81" s="39"/>
      <c r="B81" s="18" t="s">
        <v>29</v>
      </c>
      <c r="C81" s="7">
        <v>71213</v>
      </c>
      <c r="D81" s="8">
        <v>6389</v>
      </c>
      <c r="E81" s="9">
        <v>0</v>
      </c>
      <c r="F81" s="10">
        <v>0</v>
      </c>
      <c r="G81" s="11">
        <v>80080</v>
      </c>
      <c r="H81" s="12">
        <v>3.193216669673471E-2</v>
      </c>
      <c r="I81" s="13">
        <v>3.193216669673471E-2</v>
      </c>
      <c r="J81" s="14">
        <v>2.9201550373321662E-2</v>
      </c>
      <c r="K81" s="15">
        <v>45741</v>
      </c>
    </row>
    <row r="82" spans="1:11" x14ac:dyDescent="0.25">
      <c r="A82" s="39"/>
      <c r="B82" s="18" t="s">
        <v>19</v>
      </c>
      <c r="C82" s="7">
        <v>209603.07</v>
      </c>
      <c r="D82" s="8">
        <v>0</v>
      </c>
      <c r="E82" s="9">
        <v>0</v>
      </c>
      <c r="F82" s="10">
        <v>0</v>
      </c>
      <c r="G82" s="11">
        <v>212679.73</v>
      </c>
      <c r="H82" s="12">
        <v>1.4678506378747347E-2</v>
      </c>
      <c r="I82" s="13">
        <v>1.4678506378747347E-2</v>
      </c>
      <c r="J82" s="14">
        <v>7.7554668443799338E-2</v>
      </c>
      <c r="K82" s="15">
        <v>45741</v>
      </c>
    </row>
    <row r="83" spans="1:11" x14ac:dyDescent="0.25">
      <c r="A83" s="39"/>
      <c r="B83" s="18" t="s">
        <v>30</v>
      </c>
      <c r="C83" s="7">
        <v>57065.36</v>
      </c>
      <c r="D83" s="8">
        <v>0</v>
      </c>
      <c r="E83" s="9">
        <v>0</v>
      </c>
      <c r="F83" s="10">
        <v>0</v>
      </c>
      <c r="G83" s="11">
        <v>57688.06</v>
      </c>
      <c r="H83" s="12">
        <v>1.0912048920746376E-2</v>
      </c>
      <c r="I83" s="13">
        <v>1.0912048920746376E-2</v>
      </c>
      <c r="J83" s="14">
        <v>2.1036223651713315E-2</v>
      </c>
      <c r="K83" s="15">
        <v>45741</v>
      </c>
    </row>
    <row r="84" spans="1:11" x14ac:dyDescent="0.25">
      <c r="A84" s="39"/>
      <c r="B84" s="18" t="s">
        <v>31</v>
      </c>
      <c r="C84" s="7">
        <v>0</v>
      </c>
      <c r="D84" s="8">
        <v>0</v>
      </c>
      <c r="E84" s="9">
        <v>0</v>
      </c>
      <c r="F84" s="10">
        <v>0</v>
      </c>
      <c r="G84" s="11">
        <v>0</v>
      </c>
      <c r="H84" s="12" t="s">
        <v>14</v>
      </c>
      <c r="I84" s="13" t="s">
        <v>14</v>
      </c>
      <c r="J84" s="14">
        <v>0</v>
      </c>
      <c r="K84" s="15">
        <v>45741</v>
      </c>
    </row>
    <row r="85" spans="1:11" x14ac:dyDescent="0.25">
      <c r="A85" s="39"/>
      <c r="B85" s="18" t="s">
        <v>32</v>
      </c>
      <c r="C85" s="7">
        <v>62668.71</v>
      </c>
      <c r="D85" s="8">
        <v>0</v>
      </c>
      <c r="E85" s="9">
        <v>0</v>
      </c>
      <c r="F85" s="10">
        <v>0</v>
      </c>
      <c r="G85" s="11">
        <v>63303.9</v>
      </c>
      <c r="H85" s="12">
        <v>1.0135680150429094E-2</v>
      </c>
      <c r="I85" s="28">
        <v>1.0135680150429094E-2</v>
      </c>
      <c r="J85" s="14">
        <v>2.3084066242229237E-2</v>
      </c>
      <c r="K85" s="15">
        <v>45741</v>
      </c>
    </row>
    <row r="86" spans="1:11" x14ac:dyDescent="0.25">
      <c r="A86" s="39"/>
      <c r="B86" s="18" t="s">
        <v>33</v>
      </c>
      <c r="C86" s="7">
        <v>0</v>
      </c>
      <c r="D86" s="8">
        <v>0</v>
      </c>
      <c r="E86" s="9">
        <v>0</v>
      </c>
      <c r="F86" s="10">
        <v>0</v>
      </c>
      <c r="G86" s="11">
        <v>0</v>
      </c>
      <c r="H86" s="12" t="s">
        <v>14</v>
      </c>
      <c r="I86" s="13" t="s">
        <v>14</v>
      </c>
      <c r="J86" s="14">
        <v>0</v>
      </c>
      <c r="K86" s="15">
        <v>45741</v>
      </c>
    </row>
    <row r="87" spans="1:11" x14ac:dyDescent="0.25">
      <c r="A87" s="39"/>
      <c r="B87" s="18" t="s">
        <v>34</v>
      </c>
      <c r="C87" s="7">
        <v>265950</v>
      </c>
      <c r="D87" s="8">
        <v>179702</v>
      </c>
      <c r="E87" s="9">
        <v>0</v>
      </c>
      <c r="F87" s="10">
        <v>0</v>
      </c>
      <c r="G87" s="11">
        <v>407540</v>
      </c>
      <c r="H87" s="12">
        <v>-8.5519643129616796E-2</v>
      </c>
      <c r="I87" s="28">
        <v>-8.5519643129616796E-2</v>
      </c>
      <c r="J87" s="14">
        <v>0.14861138660269119</v>
      </c>
      <c r="K87" s="15">
        <v>45741</v>
      </c>
    </row>
    <row r="88" spans="1:11" x14ac:dyDescent="0.25">
      <c r="A88" s="39"/>
      <c r="B88" s="18" t="s">
        <v>35</v>
      </c>
      <c r="C88" s="7">
        <v>50160.84</v>
      </c>
      <c r="D88" s="8">
        <v>0</v>
      </c>
      <c r="E88" s="9">
        <v>0</v>
      </c>
      <c r="F88" s="10">
        <v>0</v>
      </c>
      <c r="G88" s="11">
        <v>50538</v>
      </c>
      <c r="H88" s="12">
        <v>7.5190128394979627E-3</v>
      </c>
      <c r="I88" s="13">
        <v>7.5190128394979627E-3</v>
      </c>
      <c r="J88" s="14">
        <v>1.8428920489097528E-2</v>
      </c>
      <c r="K88" s="15">
        <v>45741</v>
      </c>
    </row>
    <row r="89" spans="1:11" x14ac:dyDescent="0.25">
      <c r="A89" s="39"/>
      <c r="B89" s="18" t="s">
        <v>20</v>
      </c>
      <c r="C89" s="7">
        <v>204510</v>
      </c>
      <c r="D89" s="8">
        <v>0</v>
      </c>
      <c r="E89" s="9">
        <v>-243960</v>
      </c>
      <c r="F89" s="10">
        <v>0</v>
      </c>
      <c r="G89" s="11">
        <v>0</v>
      </c>
      <c r="H89" s="12">
        <v>0.19290010268446522</v>
      </c>
      <c r="I89" s="13">
        <v>-1</v>
      </c>
      <c r="J89" s="14">
        <v>0</v>
      </c>
      <c r="K89" s="15">
        <v>45741</v>
      </c>
    </row>
    <row r="90" spans="1:11" x14ac:dyDescent="0.25">
      <c r="A90" s="39"/>
      <c r="B90" s="18" t="s">
        <v>36</v>
      </c>
      <c r="C90" s="7">
        <v>16863</v>
      </c>
      <c r="D90" s="8">
        <v>0</v>
      </c>
      <c r="E90" s="9">
        <v>0</v>
      </c>
      <c r="F90" s="10">
        <v>0</v>
      </c>
      <c r="G90" s="11">
        <v>14968.65</v>
      </c>
      <c r="H90" s="12">
        <v>-0.1123376623376624</v>
      </c>
      <c r="I90" s="13">
        <v>-0.1123376623376624</v>
      </c>
      <c r="J90" s="14">
        <v>5.4583889484967696E-3</v>
      </c>
      <c r="K90" s="15">
        <v>45741</v>
      </c>
    </row>
    <row r="91" spans="1:11" x14ac:dyDescent="0.25">
      <c r="A91" s="39"/>
      <c r="B91" s="18" t="s">
        <v>21</v>
      </c>
      <c r="C91" s="7">
        <v>102101.67</v>
      </c>
      <c r="D91" s="8">
        <v>0</v>
      </c>
      <c r="E91" s="9">
        <v>0</v>
      </c>
      <c r="F91" s="10">
        <v>0</v>
      </c>
      <c r="G91" s="11">
        <v>92887.65</v>
      </c>
      <c r="H91" s="12">
        <v>-9.0243577798482688E-2</v>
      </c>
      <c r="I91" s="13">
        <v>-9.0243577798482688E-2</v>
      </c>
      <c r="J91" s="14">
        <v>3.3871920461219673E-2</v>
      </c>
      <c r="K91" s="15">
        <v>45741</v>
      </c>
    </row>
    <row r="92" spans="1:11" x14ac:dyDescent="0.25">
      <c r="A92" s="39"/>
      <c r="B92" s="18" t="s">
        <v>22</v>
      </c>
      <c r="C92" s="7">
        <v>380535</v>
      </c>
      <c r="D92" s="8">
        <v>0</v>
      </c>
      <c r="E92" s="9">
        <v>0</v>
      </c>
      <c r="F92" s="10">
        <v>-17123.72</v>
      </c>
      <c r="G92" s="11">
        <v>391230</v>
      </c>
      <c r="H92" s="12">
        <v>7.6548862214733671E-2</v>
      </c>
      <c r="I92" s="13">
        <v>7.6548862214733671E-2</v>
      </c>
      <c r="J92" s="14">
        <v>0.14266386803889403</v>
      </c>
      <c r="K92" s="15">
        <v>45741</v>
      </c>
    </row>
    <row r="93" spans="1:11" x14ac:dyDescent="0.25">
      <c r="A93" s="39"/>
      <c r="B93" s="18" t="s">
        <v>37</v>
      </c>
      <c r="C93" s="7">
        <v>0</v>
      </c>
      <c r="D93" s="8">
        <v>26599</v>
      </c>
      <c r="E93" s="9">
        <v>0</v>
      </c>
      <c r="F93" s="10">
        <v>0</v>
      </c>
      <c r="G93" s="11">
        <v>25194</v>
      </c>
      <c r="H93" s="12">
        <v>-5.2821534644159507E-2</v>
      </c>
      <c r="I93" s="13">
        <v>-5.2821534644159507E-2</v>
      </c>
      <c r="J93" s="14">
        <v>9.1871111401781464E-3</v>
      </c>
      <c r="K93" s="15">
        <v>45741</v>
      </c>
    </row>
    <row r="94" spans="1:11" x14ac:dyDescent="0.25">
      <c r="A94" s="39"/>
      <c r="B94" s="18" t="s">
        <v>38</v>
      </c>
      <c r="C94" s="7">
        <v>1296</v>
      </c>
      <c r="D94" s="8">
        <v>16673.22</v>
      </c>
      <c r="E94" s="9">
        <v>-1135.92</v>
      </c>
      <c r="F94" s="10">
        <v>0</v>
      </c>
      <c r="G94" s="11">
        <v>18919.04</v>
      </c>
      <c r="H94" s="12">
        <v>0.12390559189226114</v>
      </c>
      <c r="I94" s="13">
        <v>0.12390559189226114</v>
      </c>
      <c r="J94" s="14">
        <v>6.8989173273587348E-3</v>
      </c>
      <c r="K94" s="15">
        <v>45741</v>
      </c>
    </row>
    <row r="95" spans="1:11" x14ac:dyDescent="0.25">
      <c r="A95" s="39"/>
      <c r="B95" s="18" t="s">
        <v>39</v>
      </c>
      <c r="C95" s="7"/>
      <c r="D95" s="8"/>
      <c r="E95" s="9"/>
      <c r="F95" s="10"/>
      <c r="G95" s="11"/>
      <c r="H95" s="12"/>
      <c r="I95" s="13"/>
      <c r="J95" s="14">
        <v>8.0588694212089008E-3</v>
      </c>
      <c r="K95" s="15">
        <v>45741</v>
      </c>
    </row>
    <row r="96" spans="1:11" x14ac:dyDescent="0.25">
      <c r="A96" s="39"/>
      <c r="B96" s="18" t="s">
        <v>40</v>
      </c>
      <c r="C96" s="7">
        <v>71.399999999999991</v>
      </c>
      <c r="D96" s="8">
        <v>0</v>
      </c>
      <c r="E96" s="9">
        <v>-76.44</v>
      </c>
      <c r="F96" s="10">
        <v>0</v>
      </c>
      <c r="G96" s="11">
        <v>0</v>
      </c>
      <c r="H96" s="12">
        <v>7.058823529411784E-2</v>
      </c>
      <c r="I96" s="13">
        <v>-1</v>
      </c>
      <c r="J96" s="14">
        <v>0</v>
      </c>
      <c r="K96" s="15">
        <v>45741</v>
      </c>
    </row>
    <row r="97" spans="1:11" x14ac:dyDescent="0.25">
      <c r="A97" s="39"/>
      <c r="B97" s="18" t="s">
        <v>41</v>
      </c>
      <c r="C97" s="7">
        <v>0</v>
      </c>
      <c r="D97" s="8">
        <v>0</v>
      </c>
      <c r="E97" s="9">
        <v>0</v>
      </c>
      <c r="F97" s="10">
        <v>0</v>
      </c>
      <c r="G97" s="11">
        <v>0</v>
      </c>
      <c r="H97" s="12" t="s">
        <v>14</v>
      </c>
      <c r="I97" s="13" t="s">
        <v>14</v>
      </c>
      <c r="J97" s="14">
        <v>0</v>
      </c>
      <c r="K97" s="15">
        <v>45741</v>
      </c>
    </row>
    <row r="98" spans="1:11" x14ac:dyDescent="0.25">
      <c r="A98" s="39"/>
      <c r="B98" s="18" t="s">
        <v>42</v>
      </c>
      <c r="C98" s="7">
        <v>0</v>
      </c>
      <c r="D98" s="8">
        <v>0</v>
      </c>
      <c r="E98" s="9">
        <v>0</v>
      </c>
      <c r="F98" s="10">
        <v>0</v>
      </c>
      <c r="G98" s="11">
        <v>0</v>
      </c>
      <c r="H98" s="12" t="s">
        <v>14</v>
      </c>
      <c r="I98" s="28" t="s">
        <v>14</v>
      </c>
      <c r="J98" s="14">
        <v>0</v>
      </c>
      <c r="K98" s="15">
        <v>45741</v>
      </c>
    </row>
    <row r="99" spans="1:11" x14ac:dyDescent="0.25">
      <c r="A99" s="39"/>
      <c r="B99" s="18" t="s">
        <v>43</v>
      </c>
      <c r="C99" s="7">
        <v>0</v>
      </c>
      <c r="D99" s="8">
        <v>0</v>
      </c>
      <c r="E99" s="9">
        <v>0</v>
      </c>
      <c r="F99" s="10">
        <v>0</v>
      </c>
      <c r="G99" s="11">
        <v>0</v>
      </c>
      <c r="H99" s="12" t="s">
        <v>14</v>
      </c>
      <c r="I99" s="28" t="s">
        <v>14</v>
      </c>
      <c r="J99" s="14">
        <v>0</v>
      </c>
      <c r="K99" s="15">
        <v>45741</v>
      </c>
    </row>
    <row r="100" spans="1:11" x14ac:dyDescent="0.25">
      <c r="A100" s="39"/>
      <c r="B100" s="18" t="s">
        <v>44</v>
      </c>
      <c r="C100" s="7">
        <v>0</v>
      </c>
      <c r="D100" s="8">
        <v>0</v>
      </c>
      <c r="E100" s="9">
        <v>0</v>
      </c>
      <c r="F100" s="10">
        <v>0</v>
      </c>
      <c r="G100" s="11">
        <v>0</v>
      </c>
      <c r="H100" s="12" t="s">
        <v>14</v>
      </c>
      <c r="I100" s="28" t="s">
        <v>14</v>
      </c>
      <c r="J100" s="14">
        <v>0</v>
      </c>
      <c r="K100" s="15">
        <v>45741</v>
      </c>
    </row>
    <row r="101" spans="1:11" ht="16.5" thickBot="1" x14ac:dyDescent="0.3">
      <c r="A101" s="39"/>
      <c r="B101" s="20" t="s">
        <v>23</v>
      </c>
      <c r="C101" s="21">
        <f t="shared" ref="C101:G101" si="2">SUM(C69:C100)</f>
        <v>2610374.79</v>
      </c>
      <c r="D101" s="22">
        <f t="shared" si="2"/>
        <v>528137.15</v>
      </c>
      <c r="E101" s="23">
        <f t="shared" si="2"/>
        <v>-440898.69999999995</v>
      </c>
      <c r="F101" s="24">
        <f t="shared" si="2"/>
        <v>-17123.72</v>
      </c>
      <c r="G101" s="11">
        <f t="shared" si="2"/>
        <v>2720220.1499999994</v>
      </c>
      <c r="H101" s="25">
        <f>(G101/(C101+D101+E101+F101))-1</f>
        <v>1.4822154574213542E-2</v>
      </c>
      <c r="I101" s="13"/>
      <c r="J101" s="14"/>
      <c r="K101" s="15">
        <v>45741</v>
      </c>
    </row>
    <row r="102" spans="1:11" ht="16.5" thickTop="1" x14ac:dyDescent="0.25">
      <c r="A102" s="38">
        <v>45774</v>
      </c>
      <c r="B102" s="18" t="s">
        <v>11</v>
      </c>
      <c r="C102" s="7">
        <v>30308.93</v>
      </c>
      <c r="D102" s="8">
        <v>0</v>
      </c>
      <c r="E102" s="9">
        <v>0</v>
      </c>
      <c r="F102" s="10">
        <v>0</v>
      </c>
      <c r="G102" s="11">
        <v>30610.809999999998</v>
      </c>
      <c r="H102" s="12">
        <v>9.9601008679619518E-3</v>
      </c>
      <c r="I102" s="13">
        <v>9.9601008679619518E-3</v>
      </c>
      <c r="J102" s="14">
        <v>1.0246723629868287E-2</v>
      </c>
      <c r="K102" s="15">
        <v>45772</v>
      </c>
    </row>
    <row r="103" spans="1:11" x14ac:dyDescent="0.25">
      <c r="A103" s="39"/>
      <c r="B103" s="18" t="s">
        <v>12</v>
      </c>
      <c r="C103" s="7">
        <v>163868.98000000001</v>
      </c>
      <c r="D103" s="8">
        <v>0</v>
      </c>
      <c r="E103" s="9">
        <v>0</v>
      </c>
      <c r="F103" s="10">
        <v>0</v>
      </c>
      <c r="G103" s="11">
        <v>165501.98000000001</v>
      </c>
      <c r="H103" s="12">
        <v>9.9652783583568105E-3</v>
      </c>
      <c r="I103" s="13">
        <v>9.9652783583568105E-3</v>
      </c>
      <c r="J103" s="14">
        <v>5.5400463080068414E-2</v>
      </c>
      <c r="K103" s="15">
        <v>45772</v>
      </c>
    </row>
    <row r="104" spans="1:11" x14ac:dyDescent="0.25">
      <c r="A104" s="39"/>
      <c r="B104" s="18" t="s">
        <v>13</v>
      </c>
      <c r="C104" s="7">
        <v>-1327</v>
      </c>
      <c r="D104" s="8">
        <v>0</v>
      </c>
      <c r="E104" s="9">
        <v>1764.44</v>
      </c>
      <c r="F104" s="10">
        <v>0</v>
      </c>
      <c r="G104" s="11">
        <v>437.44</v>
      </c>
      <c r="H104" s="12">
        <v>-1.1102230246251565E-16</v>
      </c>
      <c r="I104" s="13">
        <v>-1.1102230246251565E-16</v>
      </c>
      <c r="J104" s="14">
        <v>1.4642953860579267E-4</v>
      </c>
      <c r="K104" s="15">
        <v>45772</v>
      </c>
    </row>
    <row r="105" spans="1:11" x14ac:dyDescent="0.25">
      <c r="A105" s="39"/>
      <c r="B105" s="18" t="s">
        <v>24</v>
      </c>
      <c r="C105" s="7">
        <v>96971.58</v>
      </c>
      <c r="D105" s="8">
        <v>13184</v>
      </c>
      <c r="E105" s="9">
        <v>-110514.24999999999</v>
      </c>
      <c r="F105" s="10">
        <v>0</v>
      </c>
      <c r="G105" s="11">
        <v>0</v>
      </c>
      <c r="H105" s="12">
        <v>0.13965607242864331</v>
      </c>
      <c r="I105" s="13">
        <v>-1</v>
      </c>
      <c r="J105" s="14">
        <v>0</v>
      </c>
      <c r="K105" s="15">
        <v>45772</v>
      </c>
    </row>
    <row r="106" spans="1:11" x14ac:dyDescent="0.25">
      <c r="A106" s="39"/>
      <c r="B106" s="18" t="s">
        <v>15</v>
      </c>
      <c r="C106" s="7">
        <v>105058.49</v>
      </c>
      <c r="D106" s="8">
        <v>0</v>
      </c>
      <c r="E106" s="9">
        <v>0</v>
      </c>
      <c r="F106" s="10">
        <v>0</v>
      </c>
      <c r="G106" s="11">
        <v>106106.01</v>
      </c>
      <c r="H106" s="12">
        <v>9.9708267270925965E-3</v>
      </c>
      <c r="I106" s="13">
        <v>9.9708267270925965E-3</v>
      </c>
      <c r="J106" s="14">
        <v>3.5518137544809855E-2</v>
      </c>
      <c r="K106" s="15">
        <v>45772</v>
      </c>
    </row>
    <row r="107" spans="1:11" x14ac:dyDescent="0.25">
      <c r="A107" s="39"/>
      <c r="B107" s="18" t="s">
        <v>25</v>
      </c>
      <c r="C107" s="7">
        <v>152109.57999999999</v>
      </c>
      <c r="D107" s="8">
        <v>0</v>
      </c>
      <c r="E107" s="9">
        <v>0</v>
      </c>
      <c r="F107" s="10">
        <v>0</v>
      </c>
      <c r="G107" s="11">
        <v>153634.95000000001</v>
      </c>
      <c r="H107" s="12">
        <v>1.0028099479336028E-2</v>
      </c>
      <c r="I107" s="13">
        <v>1.0028099479336028E-2</v>
      </c>
      <c r="J107" s="14">
        <v>5.1428069774652585E-2</v>
      </c>
      <c r="K107" s="15">
        <v>45772</v>
      </c>
    </row>
    <row r="108" spans="1:11" x14ac:dyDescent="0.25">
      <c r="A108" s="39"/>
      <c r="B108" s="18" t="s">
        <v>16</v>
      </c>
      <c r="C108" s="7">
        <v>222835.27</v>
      </c>
      <c r="D108" s="8">
        <v>0</v>
      </c>
      <c r="E108" s="9">
        <v>0</v>
      </c>
      <c r="F108" s="10">
        <v>0</v>
      </c>
      <c r="G108" s="11">
        <v>225058.64</v>
      </c>
      <c r="H108" s="12">
        <v>9.9776395361470538E-3</v>
      </c>
      <c r="I108" s="13">
        <v>9.9776395361470538E-3</v>
      </c>
      <c r="J108" s="14">
        <v>7.5336578306618496E-2</v>
      </c>
      <c r="K108" s="15">
        <v>45772</v>
      </c>
    </row>
    <row r="109" spans="1:11" x14ac:dyDescent="0.25">
      <c r="A109" s="39"/>
      <c r="B109" s="18" t="s">
        <v>26</v>
      </c>
      <c r="C109" s="7">
        <v>50165.7</v>
      </c>
      <c r="D109" s="8">
        <v>0</v>
      </c>
      <c r="E109" s="9">
        <v>0</v>
      </c>
      <c r="F109" s="10">
        <v>0</v>
      </c>
      <c r="G109" s="11">
        <v>50694.05</v>
      </c>
      <c r="H109" s="12">
        <v>1.0532096631762355E-2</v>
      </c>
      <c r="I109" s="13">
        <v>1.0532096631762355E-2</v>
      </c>
      <c r="J109" s="14">
        <v>1.6969427467901848E-2</v>
      </c>
      <c r="K109" s="15">
        <v>45772</v>
      </c>
    </row>
    <row r="110" spans="1:11" x14ac:dyDescent="0.25">
      <c r="A110" s="39"/>
      <c r="B110" s="18" t="s">
        <v>27</v>
      </c>
      <c r="C110" s="7">
        <v>205079</v>
      </c>
      <c r="D110" s="8">
        <v>0</v>
      </c>
      <c r="E110" s="9">
        <v>0</v>
      </c>
      <c r="F110" s="10">
        <v>0</v>
      </c>
      <c r="G110" s="11">
        <v>207136.38</v>
      </c>
      <c r="H110" s="12">
        <v>1.0032133958133294E-2</v>
      </c>
      <c r="I110" s="13">
        <v>1.0032133958133294E-2</v>
      </c>
      <c r="J110" s="14">
        <v>6.9337245226486238E-2</v>
      </c>
      <c r="K110" s="15">
        <v>45772</v>
      </c>
    </row>
    <row r="111" spans="1:11" x14ac:dyDescent="0.25">
      <c r="A111" s="39"/>
      <c r="B111" s="18" t="s">
        <v>17</v>
      </c>
      <c r="C111" s="7">
        <v>60175.44</v>
      </c>
      <c r="D111" s="8">
        <v>0</v>
      </c>
      <c r="E111" s="9">
        <v>0</v>
      </c>
      <c r="F111" s="10">
        <v>0</v>
      </c>
      <c r="G111" s="11">
        <v>59389.03</v>
      </c>
      <c r="H111" s="12">
        <v>-1.3068620686446208E-2</v>
      </c>
      <c r="I111" s="13">
        <v>-1.3068620686446208E-2</v>
      </c>
      <c r="J111" s="14">
        <v>1.9880002425808289E-2</v>
      </c>
      <c r="K111" s="15">
        <v>45772</v>
      </c>
    </row>
    <row r="112" spans="1:11" x14ac:dyDescent="0.25">
      <c r="A112" s="39"/>
      <c r="B112" s="18" t="s">
        <v>18</v>
      </c>
      <c r="C112" s="7">
        <v>101893.69</v>
      </c>
      <c r="D112" s="8">
        <v>0</v>
      </c>
      <c r="E112" s="9">
        <v>0</v>
      </c>
      <c r="F112" s="10">
        <v>0</v>
      </c>
      <c r="G112" s="11">
        <v>109022.46</v>
      </c>
      <c r="H112" s="12">
        <v>6.9962821053982882E-2</v>
      </c>
      <c r="I112" s="13">
        <v>6.9962821053982882E-2</v>
      </c>
      <c r="J112" s="14">
        <v>3.6494395838214358E-2</v>
      </c>
      <c r="K112" s="15">
        <v>45772</v>
      </c>
    </row>
    <row r="113" spans="1:11" x14ac:dyDescent="0.25">
      <c r="A113" s="39"/>
      <c r="B113" s="18" t="s">
        <v>28</v>
      </c>
      <c r="C113" s="7">
        <v>118051.46</v>
      </c>
      <c r="D113" s="8">
        <v>69680.5</v>
      </c>
      <c r="E113" s="9">
        <v>0</v>
      </c>
      <c r="F113" s="10">
        <v>0</v>
      </c>
      <c r="G113" s="11">
        <v>172607.35999999999</v>
      </c>
      <c r="H113" s="12">
        <v>-8.0564864927634261E-2</v>
      </c>
      <c r="I113" s="13">
        <v>-8.0564864927634261E-2</v>
      </c>
      <c r="J113" s="14">
        <v>5.7778932161585472E-2</v>
      </c>
      <c r="K113" s="15">
        <v>45772</v>
      </c>
    </row>
    <row r="114" spans="1:11" x14ac:dyDescent="0.25">
      <c r="A114" s="39"/>
      <c r="B114" s="18" t="s">
        <v>29</v>
      </c>
      <c r="C114" s="7">
        <v>80080</v>
      </c>
      <c r="D114" s="8">
        <v>8833</v>
      </c>
      <c r="E114" s="9">
        <v>0</v>
      </c>
      <c r="F114" s="10">
        <v>0</v>
      </c>
      <c r="G114" s="11">
        <v>89010</v>
      </c>
      <c r="H114" s="12">
        <v>1.0909540787060745E-3</v>
      </c>
      <c r="I114" s="13">
        <v>1.0909540787060745E-3</v>
      </c>
      <c r="J114" s="14">
        <v>2.9795385038637538E-2</v>
      </c>
      <c r="K114" s="15">
        <v>45772</v>
      </c>
    </row>
    <row r="115" spans="1:11" x14ac:dyDescent="0.25">
      <c r="A115" s="39"/>
      <c r="B115" s="18" t="s">
        <v>19</v>
      </c>
      <c r="C115" s="7">
        <v>212679.73</v>
      </c>
      <c r="D115" s="8">
        <v>0</v>
      </c>
      <c r="E115" s="9">
        <v>0</v>
      </c>
      <c r="F115" s="10">
        <v>0</v>
      </c>
      <c r="G115" s="11">
        <v>214944.59</v>
      </c>
      <c r="H115" s="12">
        <v>1.0649157773521711E-2</v>
      </c>
      <c r="I115" s="13">
        <v>1.0649157773521711E-2</v>
      </c>
      <c r="J115" s="14">
        <v>7.1950981024852034E-2</v>
      </c>
      <c r="K115" s="15">
        <v>45772</v>
      </c>
    </row>
    <row r="116" spans="1:11" x14ac:dyDescent="0.25">
      <c r="A116" s="39"/>
      <c r="B116" s="18" t="s">
        <v>30</v>
      </c>
      <c r="C116" s="7">
        <v>57688.06</v>
      </c>
      <c r="D116" s="8">
        <v>0</v>
      </c>
      <c r="E116" s="9">
        <v>0</v>
      </c>
      <c r="F116" s="10">
        <v>0</v>
      </c>
      <c r="G116" s="11">
        <v>59322.84</v>
      </c>
      <c r="H116" s="12">
        <v>2.8338273119255408E-2</v>
      </c>
      <c r="I116" s="13">
        <v>2.8338273119255408E-2</v>
      </c>
      <c r="J116" s="14">
        <v>1.9857845853111879E-2</v>
      </c>
      <c r="K116" s="15">
        <v>45772</v>
      </c>
    </row>
    <row r="117" spans="1:11" x14ac:dyDescent="0.25">
      <c r="A117" s="39"/>
      <c r="B117" s="18" t="s">
        <v>31</v>
      </c>
      <c r="C117" s="7">
        <v>0</v>
      </c>
      <c r="D117" s="8">
        <v>0</v>
      </c>
      <c r="E117" s="9">
        <v>0</v>
      </c>
      <c r="F117" s="10">
        <v>0</v>
      </c>
      <c r="G117" s="11">
        <v>0</v>
      </c>
      <c r="H117" s="12" t="s">
        <v>14</v>
      </c>
      <c r="I117" s="13" t="s">
        <v>14</v>
      </c>
      <c r="J117" s="14">
        <v>0</v>
      </c>
      <c r="K117" s="15">
        <v>45772</v>
      </c>
    </row>
    <row r="118" spans="1:11" x14ac:dyDescent="0.25">
      <c r="A118" s="39"/>
      <c r="B118" s="18" t="s">
        <v>32</v>
      </c>
      <c r="C118" s="7">
        <v>63303.9</v>
      </c>
      <c r="D118" s="8">
        <v>0</v>
      </c>
      <c r="E118" s="9">
        <v>-900</v>
      </c>
      <c r="F118" s="10">
        <v>0</v>
      </c>
      <c r="G118" s="11">
        <v>63026.33</v>
      </c>
      <c r="H118" s="12">
        <v>9.9742163550675667E-3</v>
      </c>
      <c r="I118" s="28">
        <v>9.9742163550675667E-3</v>
      </c>
      <c r="J118" s="14">
        <v>2.1097559486824315E-2</v>
      </c>
      <c r="K118" s="15">
        <v>45772</v>
      </c>
    </row>
    <row r="119" spans="1:11" x14ac:dyDescent="0.25">
      <c r="A119" s="39"/>
      <c r="B119" s="18" t="s">
        <v>33</v>
      </c>
      <c r="C119" s="7">
        <v>0</v>
      </c>
      <c r="D119" s="8">
        <v>45965.8</v>
      </c>
      <c r="E119" s="9">
        <v>0</v>
      </c>
      <c r="F119" s="10">
        <v>0</v>
      </c>
      <c r="G119" s="11">
        <v>52417.5</v>
      </c>
      <c r="H119" s="12">
        <v>0.14035870146935325</v>
      </c>
      <c r="I119" s="13">
        <v>0.14035870146935325</v>
      </c>
      <c r="J119" s="14">
        <v>1.7546338560417742E-2</v>
      </c>
      <c r="K119" s="15">
        <v>45772</v>
      </c>
    </row>
    <row r="120" spans="1:11" x14ac:dyDescent="0.25">
      <c r="A120" s="39"/>
      <c r="B120" s="18" t="s">
        <v>34</v>
      </c>
      <c r="C120" s="7">
        <v>407540</v>
      </c>
      <c r="D120" s="8">
        <v>142294.38000000003</v>
      </c>
      <c r="E120" s="9">
        <v>0</v>
      </c>
      <c r="F120" s="10">
        <v>0</v>
      </c>
      <c r="G120" s="11">
        <v>613121.03999999992</v>
      </c>
      <c r="H120" s="12">
        <v>0.1151013146904345</v>
      </c>
      <c r="I120" s="13">
        <v>0.1151013146904345</v>
      </c>
      <c r="J120" s="14">
        <v>0.20523736054476896</v>
      </c>
      <c r="K120" s="15">
        <v>45772</v>
      </c>
    </row>
    <row r="121" spans="1:11" x14ac:dyDescent="0.25">
      <c r="A121" s="39"/>
      <c r="B121" s="18" t="s">
        <v>35</v>
      </c>
      <c r="C121" s="7">
        <v>50538</v>
      </c>
      <c r="D121" s="8">
        <v>0</v>
      </c>
      <c r="E121" s="9">
        <v>-9867.74</v>
      </c>
      <c r="F121" s="10">
        <v>0</v>
      </c>
      <c r="G121" s="11">
        <v>41060.94</v>
      </c>
      <c r="H121" s="12">
        <v>9.6060364502219553E-3</v>
      </c>
      <c r="I121" s="13">
        <v>9.6060364502219553E-3</v>
      </c>
      <c r="J121" s="14">
        <v>1.3744821001554811E-2</v>
      </c>
      <c r="K121" s="15">
        <v>45772</v>
      </c>
    </row>
    <row r="122" spans="1:11" x14ac:dyDescent="0.25">
      <c r="A122" s="39"/>
      <c r="B122" s="18" t="s">
        <v>20</v>
      </c>
      <c r="C122" s="7">
        <v>0</v>
      </c>
      <c r="D122" s="8">
        <v>0</v>
      </c>
      <c r="E122" s="9">
        <v>0</v>
      </c>
      <c r="F122" s="10">
        <v>0</v>
      </c>
      <c r="G122" s="11">
        <v>0</v>
      </c>
      <c r="H122" s="12" t="s">
        <v>14</v>
      </c>
      <c r="I122" s="13" t="s">
        <v>14</v>
      </c>
      <c r="J122" s="14">
        <v>0</v>
      </c>
      <c r="K122" s="15">
        <v>45772</v>
      </c>
    </row>
    <row r="123" spans="1:11" x14ac:dyDescent="0.25">
      <c r="A123" s="39"/>
      <c r="B123" s="18" t="s">
        <v>36</v>
      </c>
      <c r="C123" s="7">
        <v>14968.65</v>
      </c>
      <c r="D123" s="8">
        <v>0</v>
      </c>
      <c r="E123" s="9">
        <v>0</v>
      </c>
      <c r="F123" s="10">
        <v>0</v>
      </c>
      <c r="G123" s="11">
        <v>15069.390000000001</v>
      </c>
      <c r="H123" s="12">
        <v>6.7300658376006073E-3</v>
      </c>
      <c r="I123" s="28">
        <v>6.7300658376006073E-3</v>
      </c>
      <c r="J123" s="14">
        <v>5.0443576828153487E-3</v>
      </c>
      <c r="K123" s="15">
        <v>45772</v>
      </c>
    </row>
    <row r="124" spans="1:11" x14ac:dyDescent="0.25">
      <c r="A124" s="39"/>
      <c r="B124" s="18" t="s">
        <v>21</v>
      </c>
      <c r="C124" s="7">
        <v>92887.65</v>
      </c>
      <c r="D124" s="8">
        <v>22793.13</v>
      </c>
      <c r="E124" s="9">
        <v>0</v>
      </c>
      <c r="F124" s="10">
        <v>0</v>
      </c>
      <c r="G124" s="11">
        <v>116357.71</v>
      </c>
      <c r="H124" s="12">
        <v>5.8517067398751177E-3</v>
      </c>
      <c r="I124" s="13">
        <v>5.8517067398751177E-3</v>
      </c>
      <c r="J124" s="14">
        <v>3.8949812062286551E-2</v>
      </c>
      <c r="K124" s="15">
        <v>45772</v>
      </c>
    </row>
    <row r="125" spans="1:11" x14ac:dyDescent="0.25">
      <c r="A125" s="39"/>
      <c r="B125" s="18" t="s">
        <v>22</v>
      </c>
      <c r="C125" s="7">
        <v>391230</v>
      </c>
      <c r="D125" s="8">
        <v>0</v>
      </c>
      <c r="E125" s="9">
        <v>0</v>
      </c>
      <c r="F125" s="10">
        <v>0</v>
      </c>
      <c r="G125" s="11">
        <v>365700</v>
      </c>
      <c r="H125" s="12">
        <v>-6.5255731922398641E-2</v>
      </c>
      <c r="I125" s="13">
        <v>-6.5255731922398641E-2</v>
      </c>
      <c r="J125" s="14">
        <v>0.12241514783316199</v>
      </c>
      <c r="K125" s="15">
        <v>45772</v>
      </c>
    </row>
    <row r="126" spans="1:11" x14ac:dyDescent="0.25">
      <c r="A126" s="39"/>
      <c r="B126" s="18" t="s">
        <v>37</v>
      </c>
      <c r="C126" s="7">
        <v>25194</v>
      </c>
      <c r="D126" s="8">
        <v>1528</v>
      </c>
      <c r="E126" s="9">
        <v>0</v>
      </c>
      <c r="F126" s="10">
        <v>0</v>
      </c>
      <c r="G126" s="11">
        <v>28193</v>
      </c>
      <c r="H126" s="12">
        <v>5.5048274829728294E-2</v>
      </c>
      <c r="I126" s="13">
        <v>5.5048274829728294E-2</v>
      </c>
      <c r="J126" s="14">
        <v>9.4373810852073706E-3</v>
      </c>
      <c r="K126" s="15">
        <v>45772</v>
      </c>
    </row>
    <row r="127" spans="1:11" x14ac:dyDescent="0.25">
      <c r="A127" s="39"/>
      <c r="B127" s="18" t="s">
        <v>38</v>
      </c>
      <c r="C127" s="7">
        <v>18919.04</v>
      </c>
      <c r="D127" s="8">
        <v>0</v>
      </c>
      <c r="E127" s="9">
        <v>0</v>
      </c>
      <c r="F127" s="10">
        <v>0</v>
      </c>
      <c r="G127" s="11">
        <v>20678.28</v>
      </c>
      <c r="H127" s="12">
        <v>9.2987804878048586E-2</v>
      </c>
      <c r="I127" s="13">
        <v>9.2987804878048586E-2</v>
      </c>
      <c r="J127" s="14">
        <v>6.9218887151641139E-3</v>
      </c>
      <c r="K127" s="15">
        <v>45772</v>
      </c>
    </row>
    <row r="128" spans="1:11" x14ac:dyDescent="0.25">
      <c r="A128" s="39"/>
      <c r="B128" s="18" t="s">
        <v>39</v>
      </c>
      <c r="C128" s="7"/>
      <c r="D128" s="8"/>
      <c r="E128" s="9"/>
      <c r="F128" s="10"/>
      <c r="G128" s="11"/>
      <c r="H128" s="12"/>
      <c r="I128" s="13"/>
      <c r="J128" s="14">
        <v>7.7994885001713811E-3</v>
      </c>
      <c r="K128" s="15">
        <v>45772</v>
      </c>
    </row>
    <row r="129" spans="1:11" x14ac:dyDescent="0.25">
      <c r="A129" s="39"/>
      <c r="B129" s="18" t="s">
        <v>40</v>
      </c>
      <c r="C129" s="7">
        <v>0</v>
      </c>
      <c r="D129" s="8">
        <v>0</v>
      </c>
      <c r="E129" s="9">
        <v>0</v>
      </c>
      <c r="F129" s="10">
        <v>0</v>
      </c>
      <c r="G129" s="11">
        <v>0</v>
      </c>
      <c r="H129" s="12" t="s">
        <v>14</v>
      </c>
      <c r="I129" s="13" t="s">
        <v>14</v>
      </c>
      <c r="J129" s="14">
        <v>0</v>
      </c>
      <c r="K129" s="15">
        <v>45772</v>
      </c>
    </row>
    <row r="130" spans="1:11" x14ac:dyDescent="0.25">
      <c r="A130" s="39"/>
      <c r="B130" s="18" t="s">
        <v>41</v>
      </c>
      <c r="C130" s="7">
        <v>0</v>
      </c>
      <c r="D130" s="8">
        <v>0</v>
      </c>
      <c r="E130" s="9">
        <v>0</v>
      </c>
      <c r="F130" s="10">
        <v>0</v>
      </c>
      <c r="G130" s="11">
        <v>0</v>
      </c>
      <c r="H130" s="12" t="s">
        <v>14</v>
      </c>
      <c r="I130" s="28" t="s">
        <v>14</v>
      </c>
      <c r="J130" s="14">
        <v>0</v>
      </c>
      <c r="K130" s="15">
        <v>45772</v>
      </c>
    </row>
    <row r="131" spans="1:11" x14ac:dyDescent="0.25">
      <c r="A131" s="39"/>
      <c r="B131" s="18" t="s">
        <v>42</v>
      </c>
      <c r="C131" s="7">
        <v>0</v>
      </c>
      <c r="D131" s="8">
        <v>0</v>
      </c>
      <c r="E131" s="9">
        <v>0</v>
      </c>
      <c r="F131" s="10">
        <v>0</v>
      </c>
      <c r="G131" s="11">
        <v>0</v>
      </c>
      <c r="H131" s="12" t="s">
        <v>14</v>
      </c>
      <c r="I131" s="28" t="s">
        <v>14</v>
      </c>
      <c r="J131" s="14">
        <v>0</v>
      </c>
      <c r="K131" s="15">
        <v>45772</v>
      </c>
    </row>
    <row r="132" spans="1:11" x14ac:dyDescent="0.25">
      <c r="A132" s="39"/>
      <c r="B132" s="18" t="s">
        <v>43</v>
      </c>
      <c r="C132" s="7">
        <v>0</v>
      </c>
      <c r="D132" s="8">
        <v>0</v>
      </c>
      <c r="E132" s="9">
        <v>0</v>
      </c>
      <c r="F132" s="10">
        <v>0</v>
      </c>
      <c r="G132" s="11">
        <v>0</v>
      </c>
      <c r="H132" s="12" t="s">
        <v>14</v>
      </c>
      <c r="I132" s="28" t="s">
        <v>14</v>
      </c>
      <c r="J132" s="14">
        <v>0</v>
      </c>
      <c r="K132" s="15">
        <v>45772</v>
      </c>
    </row>
    <row r="133" spans="1:11" x14ac:dyDescent="0.25">
      <c r="A133" s="39"/>
      <c r="B133" s="18" t="s">
        <v>44</v>
      </c>
      <c r="C133" s="7">
        <v>0</v>
      </c>
      <c r="D133" s="8">
        <v>4787.63</v>
      </c>
      <c r="E133" s="9">
        <v>0</v>
      </c>
      <c r="F133" s="10">
        <v>0</v>
      </c>
      <c r="G133" s="11">
        <v>4974.66</v>
      </c>
      <c r="H133" s="12">
        <v>3.9065257758013727E-2</v>
      </c>
      <c r="I133" s="28">
        <v>3.9065257758013727E-2</v>
      </c>
      <c r="J133" s="14">
        <v>1.6652276164061187E-3</v>
      </c>
      <c r="K133" s="15">
        <v>45772</v>
      </c>
    </row>
    <row r="134" spans="1:11" ht="16.5" thickBot="1" x14ac:dyDescent="0.3">
      <c r="A134" s="39"/>
      <c r="B134" s="20" t="s">
        <v>23</v>
      </c>
      <c r="C134" s="21">
        <f t="shared" ref="C134:G134" si="3">SUM(C102:C133)</f>
        <v>2720220.1499999994</v>
      </c>
      <c r="D134" s="22">
        <f t="shared" si="3"/>
        <v>309066.44000000006</v>
      </c>
      <c r="E134" s="23">
        <f t="shared" si="3"/>
        <v>-119517.54999999999</v>
      </c>
      <c r="F134" s="24">
        <f t="shared" si="3"/>
        <v>0</v>
      </c>
      <c r="G134" s="11">
        <f t="shared" si="3"/>
        <v>2964075.3900000006</v>
      </c>
      <c r="H134" s="25">
        <f>(G134/(C134+D134+E134+F134))-1</f>
        <v>1.8663457220646329E-2</v>
      </c>
      <c r="I134" s="13"/>
      <c r="J134" s="14"/>
      <c r="K134" s="15">
        <v>45772</v>
      </c>
    </row>
    <row r="135" spans="1:11" ht="16.5" thickTop="1" x14ac:dyDescent="0.25">
      <c r="A135" s="38">
        <v>45803</v>
      </c>
      <c r="B135" s="18" t="s">
        <v>11</v>
      </c>
      <c r="C135" s="7">
        <v>30610.809999999998</v>
      </c>
      <c r="D135" s="8">
        <v>0</v>
      </c>
      <c r="E135" s="9">
        <v>0</v>
      </c>
      <c r="F135" s="10">
        <v>0</v>
      </c>
      <c r="G135" s="11">
        <v>30960.720000000001</v>
      </c>
      <c r="H135" s="12">
        <v>1.1430929139085277E-2</v>
      </c>
      <c r="I135" s="13">
        <v>1.1430929139085277E-2</v>
      </c>
      <c r="J135" s="14">
        <v>9.6992265848665788E-3</v>
      </c>
      <c r="K135" s="15">
        <v>45802</v>
      </c>
    </row>
    <row r="136" spans="1:11" x14ac:dyDescent="0.25">
      <c r="A136" s="39"/>
      <c r="B136" s="18" t="s">
        <v>12</v>
      </c>
      <c r="C136" s="7">
        <v>165501.98000000001</v>
      </c>
      <c r="D136" s="8">
        <v>0</v>
      </c>
      <c r="E136" s="9">
        <v>0</v>
      </c>
      <c r="F136" s="10">
        <v>0</v>
      </c>
      <c r="G136" s="11">
        <v>167418.62</v>
      </c>
      <c r="H136" s="12">
        <v>1.1580767795043911E-2</v>
      </c>
      <c r="I136" s="13">
        <v>1.1580767795043911E-2</v>
      </c>
      <c r="J136" s="14">
        <v>5.2448106177946624E-2</v>
      </c>
      <c r="K136" s="15">
        <v>45802</v>
      </c>
    </row>
    <row r="137" spans="1:11" x14ac:dyDescent="0.25">
      <c r="A137" s="39"/>
      <c r="B137" s="18" t="s">
        <v>13</v>
      </c>
      <c r="C137" s="7">
        <v>437.44</v>
      </c>
      <c r="D137" s="8">
        <v>0</v>
      </c>
      <c r="E137" s="9">
        <v>-44778.93</v>
      </c>
      <c r="F137" s="10">
        <v>0</v>
      </c>
      <c r="G137" s="11">
        <v>-44341.49</v>
      </c>
      <c r="H137" s="12">
        <v>0</v>
      </c>
      <c r="I137" s="13">
        <v>0</v>
      </c>
      <c r="J137" s="14">
        <v>-1.3891090343525458E-2</v>
      </c>
      <c r="K137" s="15">
        <v>45802</v>
      </c>
    </row>
    <row r="138" spans="1:11" x14ac:dyDescent="0.25">
      <c r="A138" s="39"/>
      <c r="B138" s="18" t="s">
        <v>24</v>
      </c>
      <c r="C138" s="7">
        <v>0</v>
      </c>
      <c r="D138" s="8">
        <v>61675.82</v>
      </c>
      <c r="E138" s="9">
        <v>-61897.740000000005</v>
      </c>
      <c r="F138" s="10">
        <v>0</v>
      </c>
      <c r="G138" s="11">
        <v>0</v>
      </c>
      <c r="H138" s="12">
        <v>3.5981686177826155E-3</v>
      </c>
      <c r="I138" s="13">
        <v>-1</v>
      </c>
      <c r="J138" s="14">
        <v>0</v>
      </c>
      <c r="K138" s="15">
        <v>45802</v>
      </c>
    </row>
    <row r="139" spans="1:11" x14ac:dyDescent="0.25">
      <c r="A139" s="39"/>
      <c r="B139" s="18" t="s">
        <v>15</v>
      </c>
      <c r="C139" s="7">
        <v>106106.01</v>
      </c>
      <c r="D139" s="8">
        <v>0</v>
      </c>
      <c r="E139" s="9">
        <v>0</v>
      </c>
      <c r="F139" s="10">
        <v>0</v>
      </c>
      <c r="G139" s="11">
        <v>106377.04</v>
      </c>
      <c r="H139" s="12">
        <v>2.5543322192587148E-3</v>
      </c>
      <c r="I139" s="13">
        <v>2.5543322192587148E-3</v>
      </c>
      <c r="J139" s="14">
        <v>3.33252913494071E-2</v>
      </c>
      <c r="K139" s="15">
        <v>45802</v>
      </c>
    </row>
    <row r="140" spans="1:11" x14ac:dyDescent="0.25">
      <c r="A140" s="39"/>
      <c r="B140" s="18" t="s">
        <v>25</v>
      </c>
      <c r="C140" s="7">
        <v>153634.95000000001</v>
      </c>
      <c r="D140" s="8">
        <v>0</v>
      </c>
      <c r="E140" s="9">
        <v>0</v>
      </c>
      <c r="F140" s="10">
        <v>0</v>
      </c>
      <c r="G140" s="11">
        <v>155466.21</v>
      </c>
      <c r="H140" s="12">
        <v>1.1919553460979948E-2</v>
      </c>
      <c r="I140" s="13">
        <v>1.1919553460979948E-2</v>
      </c>
      <c r="J140" s="14">
        <v>4.8703712222469317E-2</v>
      </c>
      <c r="K140" s="15">
        <v>45802</v>
      </c>
    </row>
    <row r="141" spans="1:11" x14ac:dyDescent="0.25">
      <c r="A141" s="39"/>
      <c r="B141" s="18" t="s">
        <v>16</v>
      </c>
      <c r="C141" s="7">
        <v>225058.64</v>
      </c>
      <c r="D141" s="8">
        <v>0</v>
      </c>
      <c r="E141" s="9">
        <v>-1975.24</v>
      </c>
      <c r="F141" s="10">
        <v>0</v>
      </c>
      <c r="G141" s="11">
        <v>225754.86</v>
      </c>
      <c r="H141" s="12">
        <v>1.1975162652173799E-2</v>
      </c>
      <c r="I141" s="13">
        <v>1.1975162652173799E-2</v>
      </c>
      <c r="J141" s="14">
        <v>7.0723405003980291E-2</v>
      </c>
      <c r="K141" s="15">
        <v>45802</v>
      </c>
    </row>
    <row r="142" spans="1:11" x14ac:dyDescent="0.25">
      <c r="A142" s="39"/>
      <c r="B142" s="18" t="s">
        <v>26</v>
      </c>
      <c r="C142" s="7">
        <v>50694.05</v>
      </c>
      <c r="D142" s="8">
        <v>0</v>
      </c>
      <c r="E142" s="9">
        <v>0</v>
      </c>
      <c r="F142" s="10">
        <v>0</v>
      </c>
      <c r="G142" s="11">
        <v>51328.65</v>
      </c>
      <c r="H142" s="12">
        <v>1.2518234388453786E-2</v>
      </c>
      <c r="I142" s="13">
        <v>1.2518234388453786E-2</v>
      </c>
      <c r="J142" s="14">
        <v>1.6079994478336163E-2</v>
      </c>
      <c r="K142" s="15">
        <v>45802</v>
      </c>
    </row>
    <row r="143" spans="1:11" x14ac:dyDescent="0.25">
      <c r="A143" s="39"/>
      <c r="B143" s="18" t="s">
        <v>27</v>
      </c>
      <c r="C143" s="7">
        <v>207136.38</v>
      </c>
      <c r="D143" s="8">
        <v>0</v>
      </c>
      <c r="E143" s="9">
        <v>0</v>
      </c>
      <c r="F143" s="10">
        <v>0</v>
      </c>
      <c r="G143" s="11">
        <v>209605.25</v>
      </c>
      <c r="H143" s="12">
        <v>1.1919055455154703E-2</v>
      </c>
      <c r="I143" s="13">
        <v>1.1919055455154703E-2</v>
      </c>
      <c r="J143" s="14">
        <v>6.5664132265903549E-2</v>
      </c>
      <c r="K143" s="15">
        <v>45802</v>
      </c>
    </row>
    <row r="144" spans="1:11" x14ac:dyDescent="0.25">
      <c r="A144" s="39"/>
      <c r="B144" s="18" t="s">
        <v>17</v>
      </c>
      <c r="C144" s="7">
        <v>59389.03</v>
      </c>
      <c r="D144" s="8">
        <v>58994.434800000003</v>
      </c>
      <c r="E144" s="9">
        <v>0</v>
      </c>
      <c r="F144" s="10">
        <v>0</v>
      </c>
      <c r="G144" s="11">
        <v>119946.6</v>
      </c>
      <c r="H144" s="12">
        <v>1.3203999415296819E-2</v>
      </c>
      <c r="I144" s="13">
        <v>1.3203999415296819E-2</v>
      </c>
      <c r="J144" s="14">
        <v>3.7576298338163894E-2</v>
      </c>
      <c r="K144" s="15">
        <v>45802</v>
      </c>
    </row>
    <row r="145" spans="1:11" x14ac:dyDescent="0.25">
      <c r="A145" s="39"/>
      <c r="B145" s="18" t="s">
        <v>18</v>
      </c>
      <c r="C145" s="7">
        <v>109022.46</v>
      </c>
      <c r="D145" s="8">
        <v>0</v>
      </c>
      <c r="E145" s="9">
        <v>0</v>
      </c>
      <c r="F145" s="10">
        <v>0</v>
      </c>
      <c r="G145" s="11">
        <v>115971.89</v>
      </c>
      <c r="H145" s="12">
        <v>6.3743103943902923E-2</v>
      </c>
      <c r="I145" s="13">
        <v>6.3743103943902923E-2</v>
      </c>
      <c r="J145" s="14">
        <v>3.6331120160810942E-2</v>
      </c>
      <c r="K145" s="15">
        <v>45802</v>
      </c>
    </row>
    <row r="146" spans="1:11" x14ac:dyDescent="0.25">
      <c r="A146" s="39"/>
      <c r="B146" s="18" t="s">
        <v>28</v>
      </c>
      <c r="C146" s="7">
        <v>172607.35999999999</v>
      </c>
      <c r="D146" s="8">
        <v>0</v>
      </c>
      <c r="E146" s="9">
        <v>0</v>
      </c>
      <c r="F146" s="10">
        <v>0</v>
      </c>
      <c r="G146" s="11">
        <v>169618.88</v>
      </c>
      <c r="H146" s="12">
        <v>-1.7313746065057645E-2</v>
      </c>
      <c r="I146" s="13">
        <v>-1.7313746065057645E-2</v>
      </c>
      <c r="J146" s="14">
        <v>5.3137393128819169E-2</v>
      </c>
      <c r="K146" s="15">
        <v>45802</v>
      </c>
    </row>
    <row r="147" spans="1:11" x14ac:dyDescent="0.25">
      <c r="A147" s="39"/>
      <c r="B147" s="18" t="s">
        <v>29</v>
      </c>
      <c r="C147" s="7">
        <v>89010</v>
      </c>
      <c r="D147" s="8">
        <v>21280</v>
      </c>
      <c r="E147" s="9">
        <v>0</v>
      </c>
      <c r="F147" s="10">
        <v>0</v>
      </c>
      <c r="G147" s="11">
        <v>117599.99999999999</v>
      </c>
      <c r="H147" s="12">
        <v>6.6279807779490385E-2</v>
      </c>
      <c r="I147" s="13">
        <v>6.6279807779490385E-2</v>
      </c>
      <c r="J147" s="14">
        <v>3.6841166690577916E-2</v>
      </c>
      <c r="K147" s="15">
        <v>45802</v>
      </c>
    </row>
    <row r="148" spans="1:11" x14ac:dyDescent="0.25">
      <c r="A148" s="39"/>
      <c r="B148" s="18" t="s">
        <v>19</v>
      </c>
      <c r="C148" s="7">
        <v>214944.59</v>
      </c>
      <c r="D148" s="8">
        <v>0</v>
      </c>
      <c r="E148" s="9">
        <v>0</v>
      </c>
      <c r="F148" s="10">
        <v>0</v>
      </c>
      <c r="G148" s="11">
        <v>217087.4</v>
      </c>
      <c r="H148" s="12">
        <v>9.9691273923199208E-3</v>
      </c>
      <c r="I148" s="13">
        <v>9.9691273923199208E-3</v>
      </c>
      <c r="J148" s="14">
        <v>6.8008104505307532E-2</v>
      </c>
      <c r="K148" s="15">
        <v>45802</v>
      </c>
    </row>
    <row r="149" spans="1:11" x14ac:dyDescent="0.25">
      <c r="A149" s="39"/>
      <c r="B149" s="18" t="s">
        <v>30</v>
      </c>
      <c r="C149" s="7">
        <v>59322.84</v>
      </c>
      <c r="D149" s="8">
        <v>0</v>
      </c>
      <c r="E149" s="9">
        <v>0</v>
      </c>
      <c r="F149" s="10">
        <v>0</v>
      </c>
      <c r="G149" s="11">
        <v>59800.69</v>
      </c>
      <c r="H149" s="12">
        <v>8.0550762573068369E-3</v>
      </c>
      <c r="I149" s="13">
        <v>8.0550762573068369E-3</v>
      </c>
      <c r="J149" s="14">
        <v>1.8734074732156263E-2</v>
      </c>
      <c r="K149" s="15">
        <v>45802</v>
      </c>
    </row>
    <row r="150" spans="1:11" x14ac:dyDescent="0.25">
      <c r="A150" s="39"/>
      <c r="B150" s="18" t="s">
        <v>31</v>
      </c>
      <c r="C150" s="7" t="s">
        <v>14</v>
      </c>
      <c r="D150" s="8">
        <v>0</v>
      </c>
      <c r="E150" s="9">
        <v>0</v>
      </c>
      <c r="F150" s="10">
        <v>0</v>
      </c>
      <c r="G150" s="11"/>
      <c r="H150" s="12" t="s">
        <v>14</v>
      </c>
      <c r="I150" s="13" t="s">
        <v>14</v>
      </c>
      <c r="J150" s="14">
        <v>0</v>
      </c>
      <c r="K150" s="15">
        <v>45802</v>
      </c>
    </row>
    <row r="151" spans="1:11" x14ac:dyDescent="0.25">
      <c r="A151" s="39"/>
      <c r="B151" s="18" t="s">
        <v>32</v>
      </c>
      <c r="C151" s="7">
        <v>63026.33</v>
      </c>
      <c r="D151" s="8">
        <v>0</v>
      </c>
      <c r="E151" s="9">
        <v>0</v>
      </c>
      <c r="F151" s="10">
        <v>0</v>
      </c>
      <c r="G151" s="11">
        <v>63777.52</v>
      </c>
      <c r="H151" s="12">
        <v>1.191866954652121E-2</v>
      </c>
      <c r="I151" s="28">
        <v>1.191866954652121E-2</v>
      </c>
      <c r="J151" s="14">
        <v>1.9979917052990365E-2</v>
      </c>
      <c r="K151" s="15">
        <v>45802</v>
      </c>
    </row>
    <row r="152" spans="1:11" x14ac:dyDescent="0.25">
      <c r="A152" s="39"/>
      <c r="B152" s="18" t="s">
        <v>33</v>
      </c>
      <c r="C152" s="7">
        <v>52417.5</v>
      </c>
      <c r="D152" s="8">
        <v>0</v>
      </c>
      <c r="E152" s="9">
        <v>0</v>
      </c>
      <c r="F152" s="10">
        <v>0</v>
      </c>
      <c r="G152" s="11">
        <v>49851</v>
      </c>
      <c r="H152" s="12">
        <v>-4.8962655601659799E-2</v>
      </c>
      <c r="I152" s="13">
        <v>-4.8962655601659799E-2</v>
      </c>
      <c r="J152" s="14">
        <v>1.5617083339217687E-2</v>
      </c>
      <c r="K152" s="15">
        <v>45802</v>
      </c>
    </row>
    <row r="153" spans="1:11" x14ac:dyDescent="0.25">
      <c r="A153" s="39"/>
      <c r="B153" s="18" t="s">
        <v>34</v>
      </c>
      <c r="C153" s="7">
        <v>613121.03999999992</v>
      </c>
      <c r="D153" s="8">
        <v>0</v>
      </c>
      <c r="E153" s="9">
        <v>0</v>
      </c>
      <c r="F153" s="10">
        <v>0</v>
      </c>
      <c r="G153" s="11">
        <v>759835.20000000007</v>
      </c>
      <c r="H153" s="12">
        <v>0.23929069535764125</v>
      </c>
      <c r="I153" s="13">
        <v>0.23929069535764125</v>
      </c>
      <c r="J153" s="14">
        <v>0.23803754473272634</v>
      </c>
      <c r="K153" s="15">
        <v>45802</v>
      </c>
    </row>
    <row r="154" spans="1:11" x14ac:dyDescent="0.25">
      <c r="A154" s="39"/>
      <c r="B154" s="18" t="s">
        <v>35</v>
      </c>
      <c r="C154" s="7">
        <v>41060.94</v>
      </c>
      <c r="D154" s="8">
        <v>0</v>
      </c>
      <c r="E154" s="9">
        <v>-21500</v>
      </c>
      <c r="F154" s="10">
        <v>0</v>
      </c>
      <c r="G154" s="11">
        <v>20004.400000000001</v>
      </c>
      <c r="H154" s="12">
        <v>2.2670689649883835E-2</v>
      </c>
      <c r="I154" s="13">
        <v>2.2670689649883835E-2</v>
      </c>
      <c r="J154" s="14">
        <v>6.2668829502125602E-3</v>
      </c>
      <c r="K154" s="15">
        <v>45802</v>
      </c>
    </row>
    <row r="155" spans="1:11" x14ac:dyDescent="0.25">
      <c r="A155" s="39"/>
      <c r="B155" s="18" t="s">
        <v>20</v>
      </c>
      <c r="C155" s="7">
        <v>0</v>
      </c>
      <c r="D155" s="8">
        <v>0</v>
      </c>
      <c r="E155" s="9">
        <v>0</v>
      </c>
      <c r="F155" s="10">
        <v>0</v>
      </c>
      <c r="G155" s="11">
        <v>0</v>
      </c>
      <c r="H155" s="12" t="s">
        <v>14</v>
      </c>
      <c r="I155" s="13" t="s">
        <v>14</v>
      </c>
      <c r="J155" s="14">
        <v>0</v>
      </c>
      <c r="K155" s="15">
        <v>45802</v>
      </c>
    </row>
    <row r="156" spans="1:11" x14ac:dyDescent="0.25">
      <c r="A156" s="39"/>
      <c r="B156" s="18" t="s">
        <v>36</v>
      </c>
      <c r="C156" s="7">
        <v>15069.390000000001</v>
      </c>
      <c r="D156" s="8">
        <v>11609.329999999998</v>
      </c>
      <c r="E156" s="9">
        <v>0</v>
      </c>
      <c r="F156" s="10">
        <v>-39.22</v>
      </c>
      <c r="G156" s="11">
        <v>28704.5</v>
      </c>
      <c r="H156" s="12">
        <v>7.7516469903714302E-2</v>
      </c>
      <c r="I156" s="28">
        <v>7.7516469903714302E-2</v>
      </c>
      <c r="J156" s="14">
        <v>8.9924087522933165E-3</v>
      </c>
      <c r="K156" s="15">
        <v>45802</v>
      </c>
    </row>
    <row r="157" spans="1:11" x14ac:dyDescent="0.25">
      <c r="A157" s="39"/>
      <c r="B157" s="18" t="s">
        <v>21</v>
      </c>
      <c r="C157" s="7">
        <v>116357.71</v>
      </c>
      <c r="D157" s="8">
        <v>0</v>
      </c>
      <c r="E157" s="9">
        <v>0</v>
      </c>
      <c r="F157" s="10">
        <v>-302.87</v>
      </c>
      <c r="G157" s="11">
        <v>129784.25</v>
      </c>
      <c r="H157" s="12">
        <v>0.1183010549150727</v>
      </c>
      <c r="I157" s="13">
        <v>0.1183010549150727</v>
      </c>
      <c r="J157" s="14">
        <v>4.0658190374673789E-2</v>
      </c>
      <c r="K157" s="15">
        <v>45802</v>
      </c>
    </row>
    <row r="158" spans="1:11" x14ac:dyDescent="0.25">
      <c r="A158" s="39"/>
      <c r="B158" s="18" t="s">
        <v>22</v>
      </c>
      <c r="C158" s="7">
        <v>365700</v>
      </c>
      <c r="D158" s="8">
        <v>0</v>
      </c>
      <c r="E158" s="9">
        <v>0</v>
      </c>
      <c r="F158" s="10">
        <v>0</v>
      </c>
      <c r="G158" s="11">
        <v>359490</v>
      </c>
      <c r="H158" s="12">
        <v>-1.6981132075471694E-2</v>
      </c>
      <c r="I158" s="13">
        <v>-1.6981132075471694E-2</v>
      </c>
      <c r="J158" s="14">
        <v>0.11261931134010082</v>
      </c>
      <c r="K158" s="15">
        <v>45802</v>
      </c>
    </row>
    <row r="159" spans="1:11" x14ac:dyDescent="0.25">
      <c r="A159" s="39"/>
      <c r="B159" s="18" t="s">
        <v>37</v>
      </c>
      <c r="C159" s="7">
        <v>28193</v>
      </c>
      <c r="D159" s="8">
        <v>1712</v>
      </c>
      <c r="E159" s="9">
        <v>-36480</v>
      </c>
      <c r="F159" s="10">
        <v>0</v>
      </c>
      <c r="G159" s="11">
        <v>0</v>
      </c>
      <c r="H159" s="12">
        <v>0.29393821161281175</v>
      </c>
      <c r="I159" s="13">
        <v>-1</v>
      </c>
      <c r="J159" s="14">
        <v>0</v>
      </c>
      <c r="K159" s="15">
        <v>45802</v>
      </c>
    </row>
    <row r="160" spans="1:11" x14ac:dyDescent="0.25">
      <c r="A160" s="39"/>
      <c r="B160" s="18" t="s">
        <v>38</v>
      </c>
      <c r="C160" s="7">
        <v>20678.28</v>
      </c>
      <c r="D160" s="8">
        <v>615.01</v>
      </c>
      <c r="E160" s="9">
        <v>0</v>
      </c>
      <c r="F160" s="10">
        <v>0</v>
      </c>
      <c r="G160" s="11">
        <v>26310.600000000002</v>
      </c>
      <c r="H160" s="12">
        <v>0.23562868866201536</v>
      </c>
      <c r="I160" s="13">
        <v>0.23562868866201536</v>
      </c>
      <c r="J160" s="14">
        <v>8.2424591864721057E-3</v>
      </c>
      <c r="K160" s="15">
        <v>45802</v>
      </c>
    </row>
    <row r="161" spans="1:11" x14ac:dyDescent="0.25">
      <c r="A161" s="39"/>
      <c r="B161" s="18" t="s">
        <v>39</v>
      </c>
      <c r="C161" s="7"/>
      <c r="D161" s="8"/>
      <c r="E161" s="9"/>
      <c r="F161" s="10"/>
      <c r="G161" s="11"/>
      <c r="H161" s="12"/>
      <c r="I161" s="13"/>
      <c r="J161" s="14">
        <v>0</v>
      </c>
      <c r="K161" s="15">
        <v>45802</v>
      </c>
    </row>
    <row r="162" spans="1:11" x14ac:dyDescent="0.25">
      <c r="A162" s="39"/>
      <c r="B162" s="18" t="s">
        <v>40</v>
      </c>
      <c r="C162" s="7">
        <v>0</v>
      </c>
      <c r="D162" s="8">
        <v>0</v>
      </c>
      <c r="E162" s="9">
        <v>0</v>
      </c>
      <c r="F162" s="10">
        <v>0</v>
      </c>
      <c r="G162" s="11">
        <v>0</v>
      </c>
      <c r="H162" s="12" t="s">
        <v>14</v>
      </c>
      <c r="I162" s="13" t="s">
        <v>14</v>
      </c>
      <c r="J162" s="14">
        <v>0</v>
      </c>
      <c r="K162" s="15">
        <v>45802</v>
      </c>
    </row>
    <row r="163" spans="1:11" x14ac:dyDescent="0.25">
      <c r="A163" s="39"/>
      <c r="B163" s="18" t="s">
        <v>41</v>
      </c>
      <c r="C163" s="7">
        <v>0</v>
      </c>
      <c r="D163" s="8">
        <v>48652</v>
      </c>
      <c r="E163" s="9">
        <v>0</v>
      </c>
      <c r="F163" s="10">
        <v>0</v>
      </c>
      <c r="G163" s="11">
        <v>46840</v>
      </c>
      <c r="H163" s="12">
        <v>-3.7244100961933757E-2</v>
      </c>
      <c r="I163" s="28">
        <v>-3.7244100961933757E-2</v>
      </c>
      <c r="J163" s="14">
        <v>1.467381163083903E-2</v>
      </c>
      <c r="K163" s="15">
        <v>45802</v>
      </c>
    </row>
    <row r="164" spans="1:11" x14ac:dyDescent="0.25">
      <c r="A164" s="39"/>
      <c r="B164" s="18" t="s">
        <v>42</v>
      </c>
      <c r="C164" s="7">
        <v>0</v>
      </c>
      <c r="D164" s="8">
        <v>0</v>
      </c>
      <c r="E164" s="9">
        <v>0</v>
      </c>
      <c r="F164" s="10">
        <v>0</v>
      </c>
      <c r="G164" s="11">
        <v>0</v>
      </c>
      <c r="H164" s="12" t="s">
        <v>14</v>
      </c>
      <c r="I164" s="13" t="s">
        <v>14</v>
      </c>
      <c r="J164" s="14">
        <v>0</v>
      </c>
      <c r="K164" s="15">
        <v>45802</v>
      </c>
    </row>
    <row r="165" spans="1:11" x14ac:dyDescent="0.25">
      <c r="A165" s="39"/>
      <c r="B165" s="18" t="s">
        <v>43</v>
      </c>
      <c r="C165" s="7">
        <v>0</v>
      </c>
      <c r="D165" s="8">
        <v>54019</v>
      </c>
      <c r="E165" s="9">
        <v>-56128</v>
      </c>
      <c r="F165" s="10">
        <v>0</v>
      </c>
      <c r="G165" s="11">
        <v>0</v>
      </c>
      <c r="H165" s="12">
        <v>3.9041818619374613E-2</v>
      </c>
      <c r="I165" s="28">
        <v>-1</v>
      </c>
      <c r="J165" s="14">
        <v>0</v>
      </c>
      <c r="K165" s="15">
        <v>45802</v>
      </c>
    </row>
    <row r="166" spans="1:11" x14ac:dyDescent="0.25">
      <c r="A166" s="39"/>
      <c r="B166" s="18" t="s">
        <v>44</v>
      </c>
      <c r="C166" s="7">
        <v>4974.66</v>
      </c>
      <c r="D166" s="8">
        <v>0</v>
      </c>
      <c r="E166" s="9">
        <v>0</v>
      </c>
      <c r="F166" s="10">
        <v>0</v>
      </c>
      <c r="G166" s="11">
        <v>4888.53</v>
      </c>
      <c r="H166" s="12">
        <v>-1.7313746065057756E-2</v>
      </c>
      <c r="I166" s="13">
        <v>-1.7313746065057756E-2</v>
      </c>
      <c r="J166" s="14">
        <v>1.5314553452541741E-3</v>
      </c>
      <c r="K166" s="15">
        <v>45802</v>
      </c>
    </row>
    <row r="167" spans="1:11" ht="16.5" thickBot="1" x14ac:dyDescent="0.3">
      <c r="A167" s="39"/>
      <c r="B167" s="20" t="s">
        <v>23</v>
      </c>
      <c r="C167" s="21">
        <f t="shared" ref="C167:G167" si="4">SUM(C135:C166)</f>
        <v>2964075.3900000006</v>
      </c>
      <c r="D167" s="22">
        <f t="shared" si="4"/>
        <v>258557.59479999999</v>
      </c>
      <c r="E167" s="23">
        <f t="shared" si="4"/>
        <v>-222759.91000000003</v>
      </c>
      <c r="F167" s="24">
        <f t="shared" si="4"/>
        <v>-342.09000000000003</v>
      </c>
      <c r="G167" s="11">
        <f t="shared" si="4"/>
        <v>3192081.32</v>
      </c>
      <c r="H167" s="25">
        <f>(G167/(C167+D167+E167+F167))-1</f>
        <v>6.4193480972771999E-2</v>
      </c>
      <c r="I167" s="13"/>
      <c r="J167" s="14"/>
      <c r="K167" s="15">
        <v>45802</v>
      </c>
    </row>
    <row r="168" spans="1:11" ht="16.5" thickTop="1" x14ac:dyDescent="0.25">
      <c r="A168" s="38">
        <v>45835</v>
      </c>
      <c r="B168" s="18" t="s">
        <v>11</v>
      </c>
      <c r="C168" s="7">
        <v>30960.720000000001</v>
      </c>
      <c r="D168" s="8">
        <v>0</v>
      </c>
      <c r="E168" s="9">
        <v>0</v>
      </c>
      <c r="F168" s="10">
        <v>0</v>
      </c>
      <c r="G168" s="11">
        <v>31302.83</v>
      </c>
      <c r="H168" s="12">
        <v>1.1049807627212749E-2</v>
      </c>
      <c r="I168" s="13">
        <v>1.1049807627212749E-2</v>
      </c>
      <c r="J168" s="14">
        <v>1.0936568237530401E-2</v>
      </c>
      <c r="K168" s="15">
        <v>45833</v>
      </c>
    </row>
    <row r="169" spans="1:11" x14ac:dyDescent="0.25">
      <c r="A169" s="39"/>
      <c r="B169" s="18" t="s">
        <v>12</v>
      </c>
      <c r="C169" s="7">
        <v>167418.62</v>
      </c>
      <c r="D169" s="8">
        <v>0</v>
      </c>
      <c r="E169" s="9">
        <v>0</v>
      </c>
      <c r="F169" s="10">
        <v>0</v>
      </c>
      <c r="G169" s="11">
        <v>169266.37</v>
      </c>
      <c r="H169" s="12">
        <v>1.1036705475173658E-2</v>
      </c>
      <c r="I169" s="13">
        <v>1.1036705475173658E-2</v>
      </c>
      <c r="J169" s="14">
        <v>5.9138205901002196E-2</v>
      </c>
      <c r="K169" s="15">
        <v>45833</v>
      </c>
    </row>
    <row r="170" spans="1:11" x14ac:dyDescent="0.25">
      <c r="A170" s="39"/>
      <c r="B170" s="18" t="s">
        <v>13</v>
      </c>
      <c r="C170" s="7">
        <v>-44341.49</v>
      </c>
      <c r="D170" s="8">
        <v>0</v>
      </c>
      <c r="E170" s="9">
        <v>-257286.51</v>
      </c>
      <c r="F170" s="10">
        <v>0</v>
      </c>
      <c r="G170" s="11">
        <v>-301628</v>
      </c>
      <c r="H170" s="12">
        <v>0</v>
      </c>
      <c r="I170" s="13">
        <v>0</v>
      </c>
      <c r="J170" s="14">
        <v>-0.10538265084498173</v>
      </c>
      <c r="K170" s="15">
        <v>45833</v>
      </c>
    </row>
    <row r="171" spans="1:11" x14ac:dyDescent="0.25">
      <c r="A171" s="39"/>
      <c r="B171" s="18" t="s">
        <v>24</v>
      </c>
      <c r="C171" s="7">
        <v>0</v>
      </c>
      <c r="D171" s="8">
        <v>40459.5</v>
      </c>
      <c r="E171" s="9">
        <v>-40616.999999999993</v>
      </c>
      <c r="F171" s="10">
        <v>0</v>
      </c>
      <c r="G171" s="11">
        <v>0</v>
      </c>
      <c r="H171" s="12" t="s">
        <v>14</v>
      </c>
      <c r="I171" s="13">
        <v>-1</v>
      </c>
      <c r="J171" s="14">
        <v>0</v>
      </c>
      <c r="K171" s="15">
        <v>45833</v>
      </c>
    </row>
    <row r="172" spans="1:11" x14ac:dyDescent="0.25">
      <c r="A172" s="39"/>
      <c r="B172" s="18" t="s">
        <v>15</v>
      </c>
      <c r="C172" s="7">
        <v>106377.04</v>
      </c>
      <c r="D172" s="8">
        <v>0</v>
      </c>
      <c r="E172" s="9">
        <v>0</v>
      </c>
      <c r="F172" s="10">
        <v>0</v>
      </c>
      <c r="G172" s="11">
        <v>107546.85</v>
      </c>
      <c r="H172" s="12">
        <v>1.0996827886920135E-2</v>
      </c>
      <c r="I172" s="13">
        <v>1.0996827886920135E-2</v>
      </c>
      <c r="J172" s="14">
        <v>3.7574668608443593E-2</v>
      </c>
      <c r="K172" s="15">
        <v>45833</v>
      </c>
    </row>
    <row r="173" spans="1:11" x14ac:dyDescent="0.25">
      <c r="A173" s="39"/>
      <c r="B173" s="18" t="s">
        <v>25</v>
      </c>
      <c r="C173" s="7">
        <v>155466.21</v>
      </c>
      <c r="D173" s="8">
        <v>0</v>
      </c>
      <c r="E173" s="9">
        <v>0</v>
      </c>
      <c r="F173" s="10">
        <v>0</v>
      </c>
      <c r="G173" s="11">
        <v>157171.67000000001</v>
      </c>
      <c r="H173" s="12">
        <v>1.0969972188812127E-2</v>
      </c>
      <c r="I173" s="13">
        <v>1.0969972188812127E-2</v>
      </c>
      <c r="J173" s="14">
        <v>5.4912565220512327E-2</v>
      </c>
      <c r="K173" s="15">
        <v>45833</v>
      </c>
    </row>
    <row r="174" spans="1:11" x14ac:dyDescent="0.25">
      <c r="A174" s="39"/>
      <c r="B174" s="18" t="s">
        <v>16</v>
      </c>
      <c r="C174" s="7">
        <v>225754.86</v>
      </c>
      <c r="D174" s="8">
        <v>0</v>
      </c>
      <c r="E174" s="9">
        <v>-2000</v>
      </c>
      <c r="F174" s="10">
        <v>0</v>
      </c>
      <c r="G174" s="11">
        <v>226205.97</v>
      </c>
      <c r="H174" s="12">
        <v>1.0954443626386645E-2</v>
      </c>
      <c r="I174" s="13">
        <v>1.0954443626386645E-2</v>
      </c>
      <c r="J174" s="14">
        <v>7.9031736959302226E-2</v>
      </c>
      <c r="K174" s="15">
        <v>45833</v>
      </c>
    </row>
    <row r="175" spans="1:11" x14ac:dyDescent="0.25">
      <c r="A175" s="39"/>
      <c r="B175" s="18" t="s">
        <v>26</v>
      </c>
      <c r="C175" s="7">
        <v>51328.65</v>
      </c>
      <c r="D175" s="8">
        <v>0</v>
      </c>
      <c r="E175" s="9">
        <v>-51592.45</v>
      </c>
      <c r="F175" s="10"/>
      <c r="G175" s="11">
        <v>0</v>
      </c>
      <c r="H175" s="12">
        <v>5.1394299285096867E-3</v>
      </c>
      <c r="I175" s="13">
        <v>-1</v>
      </c>
      <c r="J175" s="14">
        <v>0</v>
      </c>
      <c r="K175" s="15">
        <v>45833</v>
      </c>
    </row>
    <row r="176" spans="1:11" x14ac:dyDescent="0.25">
      <c r="A176" s="39"/>
      <c r="B176" s="18" t="s">
        <v>27</v>
      </c>
      <c r="C176" s="7">
        <v>209605.25</v>
      </c>
      <c r="D176" s="8">
        <v>0</v>
      </c>
      <c r="E176" s="9">
        <v>0</v>
      </c>
      <c r="F176" s="30">
        <v>0</v>
      </c>
      <c r="G176" s="11">
        <v>211904.73</v>
      </c>
      <c r="H176" s="12">
        <v>1.0970526740146092E-2</v>
      </c>
      <c r="I176" s="13">
        <v>1.0970526740146092E-2</v>
      </c>
      <c r="J176" s="14">
        <v>7.4035176356273713E-2</v>
      </c>
      <c r="K176" s="15">
        <v>45833</v>
      </c>
    </row>
    <row r="177" spans="1:11" x14ac:dyDescent="0.25">
      <c r="A177" s="39"/>
      <c r="B177" s="18" t="s">
        <v>17</v>
      </c>
      <c r="C177" s="7">
        <v>119946.6</v>
      </c>
      <c r="D177" s="8">
        <v>2500</v>
      </c>
      <c r="E177" s="9">
        <v>0</v>
      </c>
      <c r="F177" s="10">
        <v>0</v>
      </c>
      <c r="G177" s="11">
        <v>117945.9</v>
      </c>
      <c r="H177" s="12">
        <v>-3.6756430966641829E-2</v>
      </c>
      <c r="I177" s="13">
        <v>-3.6756430966641829E-2</v>
      </c>
      <c r="J177" s="14">
        <v>4.1207883877813503E-2</v>
      </c>
      <c r="K177" s="15">
        <v>45833</v>
      </c>
    </row>
    <row r="178" spans="1:11" x14ac:dyDescent="0.25">
      <c r="A178" s="39"/>
      <c r="B178" s="18" t="s">
        <v>18</v>
      </c>
      <c r="C178" s="7">
        <v>115971.89</v>
      </c>
      <c r="D178" s="8">
        <v>0</v>
      </c>
      <c r="E178" s="9">
        <v>0</v>
      </c>
      <c r="F178" s="10">
        <v>0</v>
      </c>
      <c r="G178" s="11">
        <v>115971.89</v>
      </c>
      <c r="H178" s="12">
        <v>0</v>
      </c>
      <c r="I178" s="13">
        <v>0</v>
      </c>
      <c r="J178" s="14">
        <v>4.0518205178904573E-2</v>
      </c>
      <c r="K178" s="15">
        <v>45833</v>
      </c>
    </row>
    <row r="179" spans="1:11" x14ac:dyDescent="0.25">
      <c r="A179" s="39"/>
      <c r="B179" s="18" t="s">
        <v>28</v>
      </c>
      <c r="C179" s="7">
        <v>169618.88</v>
      </c>
      <c r="D179" s="8">
        <v>4827.5</v>
      </c>
      <c r="E179" s="9">
        <v>0</v>
      </c>
      <c r="F179" s="10">
        <v>0</v>
      </c>
      <c r="G179" s="11">
        <v>189563.22</v>
      </c>
      <c r="H179" s="12">
        <v>8.665608308982975E-2</v>
      </c>
      <c r="I179" s="13">
        <v>8.665608308982975E-2</v>
      </c>
      <c r="J179" s="14">
        <v>6.6229509947055509E-2</v>
      </c>
      <c r="K179" s="15">
        <v>45833</v>
      </c>
    </row>
    <row r="180" spans="1:11" x14ac:dyDescent="0.25">
      <c r="A180" s="39"/>
      <c r="B180" s="18" t="s">
        <v>29</v>
      </c>
      <c r="C180" s="7">
        <v>117599.99999999999</v>
      </c>
      <c r="D180" s="8">
        <v>0</v>
      </c>
      <c r="E180" s="9">
        <v>0</v>
      </c>
      <c r="F180" s="10">
        <v>0</v>
      </c>
      <c r="G180" s="11">
        <v>120750</v>
      </c>
      <c r="H180" s="12">
        <v>2.6785714285714413E-2</v>
      </c>
      <c r="I180" s="13">
        <v>2.6785714285714413E-2</v>
      </c>
      <c r="J180" s="14">
        <v>4.2187579036202023E-2</v>
      </c>
      <c r="K180" s="15">
        <v>45833</v>
      </c>
    </row>
    <row r="181" spans="1:11" x14ac:dyDescent="0.25">
      <c r="A181" s="39"/>
      <c r="B181" s="18" t="s">
        <v>19</v>
      </c>
      <c r="C181" s="7">
        <v>217087.4</v>
      </c>
      <c r="D181" s="8">
        <v>0</v>
      </c>
      <c r="E181" s="9">
        <v>0</v>
      </c>
      <c r="F181" s="10">
        <v>0</v>
      </c>
      <c r="G181" s="11">
        <v>218697.3</v>
      </c>
      <c r="H181" s="12">
        <v>7.4159071415476063E-3</v>
      </c>
      <c r="I181" s="13">
        <v>7.4159071415476063E-3</v>
      </c>
      <c r="J181" s="14">
        <v>7.6408361314732789E-2</v>
      </c>
      <c r="K181" s="15">
        <v>45833</v>
      </c>
    </row>
    <row r="182" spans="1:11" x14ac:dyDescent="0.25">
      <c r="A182" s="39"/>
      <c r="B182" s="18" t="s">
        <v>30</v>
      </c>
      <c r="C182" s="7">
        <v>59800.69</v>
      </c>
      <c r="D182" s="8">
        <v>0</v>
      </c>
      <c r="E182" s="9">
        <v>0</v>
      </c>
      <c r="F182" s="10">
        <v>0</v>
      </c>
      <c r="G182" s="11">
        <v>59938.31</v>
      </c>
      <c r="H182" s="12">
        <v>2.3013112390508628E-3</v>
      </c>
      <c r="I182" s="13">
        <v>2.3013112390508628E-3</v>
      </c>
      <c r="J182" s="14">
        <v>2.0941218968292985E-2</v>
      </c>
      <c r="K182" s="15">
        <v>45833</v>
      </c>
    </row>
    <row r="183" spans="1:11" x14ac:dyDescent="0.25">
      <c r="A183" s="39"/>
      <c r="B183" s="18" t="s">
        <v>31</v>
      </c>
      <c r="C183" s="7"/>
      <c r="D183" s="8">
        <v>0</v>
      </c>
      <c r="E183" s="9">
        <v>0</v>
      </c>
      <c r="F183" s="10">
        <v>0</v>
      </c>
      <c r="G183" s="11">
        <v>0</v>
      </c>
      <c r="H183" s="12" t="s">
        <v>14</v>
      </c>
      <c r="I183" s="13" t="s">
        <v>14</v>
      </c>
      <c r="J183" s="14">
        <v>0</v>
      </c>
      <c r="K183" s="15">
        <v>45833</v>
      </c>
    </row>
    <row r="184" spans="1:11" x14ac:dyDescent="0.25">
      <c r="A184" s="39"/>
      <c r="B184" s="18" t="s">
        <v>32</v>
      </c>
      <c r="C184" s="31">
        <v>63777.52</v>
      </c>
      <c r="D184" s="8">
        <v>0</v>
      </c>
      <c r="E184" s="9">
        <v>0</v>
      </c>
      <c r="F184" s="10">
        <v>0</v>
      </c>
      <c r="G184" s="11">
        <v>64477.19</v>
      </c>
      <c r="H184" s="12">
        <v>1.0970479880685335E-2</v>
      </c>
      <c r="I184" s="28">
        <v>1.0970479880685335E-2</v>
      </c>
      <c r="J184" s="14">
        <v>2.2527010759065963E-2</v>
      </c>
      <c r="K184" s="15">
        <v>45833</v>
      </c>
    </row>
    <row r="185" spans="1:11" x14ac:dyDescent="0.25">
      <c r="A185" s="39"/>
      <c r="B185" s="18" t="s">
        <v>33</v>
      </c>
      <c r="C185" s="7">
        <v>49851</v>
      </c>
      <c r="D185" s="8">
        <v>0</v>
      </c>
      <c r="E185" s="9">
        <v>0</v>
      </c>
      <c r="F185" s="10">
        <v>0</v>
      </c>
      <c r="G185" s="11">
        <v>48589.5</v>
      </c>
      <c r="H185" s="12">
        <v>-2.5305410122164029E-2</v>
      </c>
      <c r="I185" s="13">
        <v>-2.5305410122164029E-2</v>
      </c>
      <c r="J185" s="14">
        <v>1.6976176990306735E-2</v>
      </c>
      <c r="K185" s="15">
        <v>45833</v>
      </c>
    </row>
    <row r="186" spans="1:11" x14ac:dyDescent="0.25">
      <c r="A186" s="39"/>
      <c r="B186" s="18" t="s">
        <v>34</v>
      </c>
      <c r="C186" s="7">
        <v>759835.20000000007</v>
      </c>
      <c r="D186" s="8">
        <v>0</v>
      </c>
      <c r="E186" s="9">
        <v>0</v>
      </c>
      <c r="F186" s="10">
        <v>0</v>
      </c>
      <c r="G186" s="11">
        <v>659664</v>
      </c>
      <c r="H186" s="12">
        <v>-0.13183279742765286</v>
      </c>
      <c r="I186" s="13">
        <v>-0.13183279742765286</v>
      </c>
      <c r="J186" s="14">
        <v>0.23047310258664325</v>
      </c>
      <c r="K186" s="15">
        <v>45833</v>
      </c>
    </row>
    <row r="187" spans="1:11" x14ac:dyDescent="0.25">
      <c r="A187" s="39"/>
      <c r="B187" s="18" t="s">
        <v>35</v>
      </c>
      <c r="C187" s="7">
        <v>20004.400000000001</v>
      </c>
      <c r="D187" s="8">
        <v>0</v>
      </c>
      <c r="E187" s="9">
        <v>-15000</v>
      </c>
      <c r="F187" s="10">
        <v>0</v>
      </c>
      <c r="G187" s="11">
        <v>5106.6099999999997</v>
      </c>
      <c r="H187" s="12">
        <v>2.0424026856366018E-2</v>
      </c>
      <c r="I187" s="13">
        <v>2.0424026856366018E-2</v>
      </c>
      <c r="J187" s="14">
        <v>1.7841450350481126E-3</v>
      </c>
      <c r="K187" s="15">
        <v>45833</v>
      </c>
    </row>
    <row r="188" spans="1:11" x14ac:dyDescent="0.25">
      <c r="A188" s="39"/>
      <c r="B188" s="18" t="s">
        <v>20</v>
      </c>
      <c r="C188" s="7">
        <v>0</v>
      </c>
      <c r="D188" s="8">
        <v>0</v>
      </c>
      <c r="E188" s="9">
        <v>0</v>
      </c>
      <c r="F188" s="10">
        <v>0</v>
      </c>
      <c r="G188" s="11">
        <v>0</v>
      </c>
      <c r="H188" s="12" t="s">
        <v>14</v>
      </c>
      <c r="I188" s="13" t="s">
        <v>14</v>
      </c>
      <c r="J188" s="14">
        <v>0</v>
      </c>
      <c r="K188" s="15">
        <v>45833</v>
      </c>
    </row>
    <row r="189" spans="1:11" x14ac:dyDescent="0.25">
      <c r="A189" s="39"/>
      <c r="B189" s="18" t="s">
        <v>36</v>
      </c>
      <c r="C189" s="7">
        <v>28704.5</v>
      </c>
      <c r="D189" s="8">
        <v>29142.080000000002</v>
      </c>
      <c r="E189" s="9">
        <v>-58807.02</v>
      </c>
      <c r="F189" s="10">
        <v>0</v>
      </c>
      <c r="G189" s="11">
        <v>0</v>
      </c>
      <c r="H189" s="12">
        <v>1.0487038617638347</v>
      </c>
      <c r="I189" s="28">
        <v>-1</v>
      </c>
      <c r="J189" s="14">
        <v>0</v>
      </c>
      <c r="K189" s="15">
        <v>45833</v>
      </c>
    </row>
    <row r="190" spans="1:11" x14ac:dyDescent="0.25">
      <c r="A190" s="39"/>
      <c r="B190" s="18" t="s">
        <v>21</v>
      </c>
      <c r="C190" s="7">
        <v>129784.25</v>
      </c>
      <c r="D190" s="8">
        <v>0</v>
      </c>
      <c r="E190" s="9">
        <v>0</v>
      </c>
      <c r="F190" s="10">
        <v>0</v>
      </c>
      <c r="G190" s="11">
        <v>133961.01999999999</v>
      </c>
      <c r="H190" s="12">
        <v>3.2182410423452712E-2</v>
      </c>
      <c r="I190" s="13">
        <v>3.2182410423452712E-2</v>
      </c>
      <c r="J190" s="14">
        <v>4.680323908091296E-2</v>
      </c>
      <c r="K190" s="15">
        <v>45833</v>
      </c>
    </row>
    <row r="191" spans="1:11" x14ac:dyDescent="0.25">
      <c r="A191" s="39"/>
      <c r="B191" s="18" t="s">
        <v>22</v>
      </c>
      <c r="C191" s="7">
        <v>359490</v>
      </c>
      <c r="D191" s="8">
        <v>0</v>
      </c>
      <c r="E191" s="9">
        <v>0</v>
      </c>
      <c r="F191" s="10">
        <v>0</v>
      </c>
      <c r="G191" s="11">
        <v>363285</v>
      </c>
      <c r="H191" s="12">
        <v>1.0556621880998041E-2</v>
      </c>
      <c r="I191" s="13">
        <v>1.0556621880998041E-2</v>
      </c>
      <c r="J191" s="14">
        <v>0.12692434492891638</v>
      </c>
      <c r="K191" s="15">
        <v>45833</v>
      </c>
    </row>
    <row r="192" spans="1:11" x14ac:dyDescent="0.25">
      <c r="A192" s="39"/>
      <c r="B192" s="18" t="s">
        <v>37</v>
      </c>
      <c r="C192" s="7">
        <v>0</v>
      </c>
      <c r="D192" s="8">
        <v>0</v>
      </c>
      <c r="E192" s="9">
        <v>0</v>
      </c>
      <c r="F192" s="10">
        <v>0</v>
      </c>
      <c r="G192" s="11">
        <v>0</v>
      </c>
      <c r="H192" s="12" t="s">
        <v>14</v>
      </c>
      <c r="I192" s="13" t="s">
        <v>14</v>
      </c>
      <c r="J192" s="14">
        <v>0</v>
      </c>
      <c r="K192" s="15">
        <v>45833</v>
      </c>
    </row>
    <row r="193" spans="1:11" x14ac:dyDescent="0.25">
      <c r="A193" s="39"/>
      <c r="B193" s="18" t="s">
        <v>38</v>
      </c>
      <c r="C193" s="7">
        <v>26310.600000000002</v>
      </c>
      <c r="D193" s="8">
        <v>22545.899999999998</v>
      </c>
      <c r="E193" s="9">
        <v>-46487.7</v>
      </c>
      <c r="F193" s="10">
        <v>0</v>
      </c>
      <c r="G193" s="11">
        <v>0</v>
      </c>
      <c r="H193" s="12">
        <v>0.76688102893890653</v>
      </c>
      <c r="I193" s="28">
        <v>-1</v>
      </c>
      <c r="J193" s="14">
        <v>0</v>
      </c>
      <c r="K193" s="15">
        <v>45833</v>
      </c>
    </row>
    <row r="194" spans="1:11" x14ac:dyDescent="0.25">
      <c r="A194" s="39"/>
      <c r="B194" s="18" t="s">
        <v>39</v>
      </c>
      <c r="C194" s="7"/>
      <c r="D194" s="8"/>
      <c r="E194" s="9"/>
      <c r="F194" s="10"/>
      <c r="G194" s="11"/>
      <c r="H194" s="12"/>
      <c r="I194" s="13"/>
      <c r="J194" s="14">
        <v>0</v>
      </c>
      <c r="K194" s="15">
        <v>45833</v>
      </c>
    </row>
    <row r="195" spans="1:11" x14ac:dyDescent="0.25">
      <c r="A195" s="39"/>
      <c r="B195" s="18" t="s">
        <v>40</v>
      </c>
      <c r="C195" s="7">
        <v>0</v>
      </c>
      <c r="D195" s="8">
        <v>0</v>
      </c>
      <c r="E195" s="9">
        <v>0</v>
      </c>
      <c r="F195" s="10">
        <v>0</v>
      </c>
      <c r="G195" s="11">
        <v>0</v>
      </c>
      <c r="H195" s="12" t="s">
        <v>14</v>
      </c>
      <c r="I195" s="28" t="s">
        <v>14</v>
      </c>
      <c r="J195" s="14">
        <v>0</v>
      </c>
      <c r="K195" s="15">
        <v>45833</v>
      </c>
    </row>
    <row r="196" spans="1:11" x14ac:dyDescent="0.25">
      <c r="A196" s="39"/>
      <c r="B196" s="18" t="s">
        <v>41</v>
      </c>
      <c r="C196" s="7">
        <v>46840</v>
      </c>
      <c r="D196" s="8">
        <v>13951</v>
      </c>
      <c r="E196" s="9">
        <v>0</v>
      </c>
      <c r="F196" s="10">
        <v>-938.6</v>
      </c>
      <c r="G196" s="11">
        <v>57434</v>
      </c>
      <c r="H196" s="12">
        <v>-4.0406065588013185E-2</v>
      </c>
      <c r="I196" s="28">
        <v>-4.0406065588013185E-2</v>
      </c>
      <c r="J196" s="14">
        <v>2.0066264301161301E-2</v>
      </c>
      <c r="K196" s="15">
        <v>45833</v>
      </c>
    </row>
    <row r="197" spans="1:11" x14ac:dyDescent="0.25">
      <c r="A197" s="39"/>
      <c r="B197" s="18" t="s">
        <v>42</v>
      </c>
      <c r="C197" s="7">
        <v>0</v>
      </c>
      <c r="D197" s="8">
        <v>77401.919999999998</v>
      </c>
      <c r="E197" s="9">
        <v>-5603</v>
      </c>
      <c r="F197" s="10">
        <v>0</v>
      </c>
      <c r="G197" s="11">
        <v>69876</v>
      </c>
      <c r="H197" s="12">
        <v>-2.6782018448188283E-2</v>
      </c>
      <c r="I197" s="13">
        <v>-2.6782018448188283E-2</v>
      </c>
      <c r="J197" s="14">
        <v>2.4413244494688634E-2</v>
      </c>
      <c r="K197" s="15">
        <v>45833</v>
      </c>
    </row>
    <row r="198" spans="1:11" x14ac:dyDescent="0.25">
      <c r="A198" s="39"/>
      <c r="B198" s="18" t="s">
        <v>43</v>
      </c>
      <c r="C198" s="7">
        <v>0</v>
      </c>
      <c r="D198" s="8">
        <v>17590.300000000003</v>
      </c>
      <c r="E198" s="9">
        <v>0</v>
      </c>
      <c r="F198" s="10">
        <v>0</v>
      </c>
      <c r="G198" s="11">
        <v>17872</v>
      </c>
      <c r="H198" s="12">
        <v>1.6014507995883998E-2</v>
      </c>
      <c r="I198" s="13">
        <v>1.6014507995883998E-2</v>
      </c>
      <c r="J198" s="14">
        <v>6.244111076894431E-3</v>
      </c>
      <c r="K198" s="15">
        <v>45833</v>
      </c>
    </row>
    <row r="199" spans="1:11" x14ac:dyDescent="0.25">
      <c r="A199" s="39"/>
      <c r="B199" s="18" t="s">
        <v>44</v>
      </c>
      <c r="C199" s="7">
        <v>4888.53</v>
      </c>
      <c r="D199" s="8">
        <v>16361</v>
      </c>
      <c r="E199" s="9">
        <v>-4964.22</v>
      </c>
      <c r="F199" s="10">
        <v>0</v>
      </c>
      <c r="G199" s="11">
        <v>17314.5</v>
      </c>
      <c r="H199" s="12">
        <v>6.3197446041862504E-2</v>
      </c>
      <c r="I199" s="13">
        <v>6.3197446041862504E-2</v>
      </c>
      <c r="J199" s="14">
        <v>6.0493319852780118E-3</v>
      </c>
      <c r="K199" s="15">
        <v>45833</v>
      </c>
    </row>
    <row r="200" spans="1:11" ht="16.5" thickBot="1" x14ac:dyDescent="0.3">
      <c r="A200" s="39"/>
      <c r="B200" s="20" t="s">
        <v>23</v>
      </c>
      <c r="C200" s="21">
        <f t="shared" ref="C200:G200" si="5">SUM(C168:C199)</f>
        <v>3192081.32</v>
      </c>
      <c r="D200" s="22">
        <f t="shared" si="5"/>
        <v>224779.2</v>
      </c>
      <c r="E200" s="23">
        <f t="shared" si="5"/>
        <v>-482357.9</v>
      </c>
      <c r="F200" s="24">
        <f t="shared" si="5"/>
        <v>-938.6</v>
      </c>
      <c r="G200" s="11">
        <f t="shared" si="5"/>
        <v>2862216.8600000003</v>
      </c>
      <c r="H200" s="25">
        <f>(G200/(C200+D200+E200+F200))-1</f>
        <v>-2.4320982775074995E-2</v>
      </c>
      <c r="I200" s="13"/>
      <c r="J200" s="14"/>
      <c r="K200" s="15">
        <v>45833</v>
      </c>
    </row>
    <row r="201" spans="1:11" ht="16.5" thickTop="1" x14ac:dyDescent="0.25">
      <c r="A201" s="38">
        <v>45865</v>
      </c>
      <c r="B201" s="18" t="s">
        <v>11</v>
      </c>
      <c r="C201" s="7">
        <v>31302.83</v>
      </c>
      <c r="D201" s="8">
        <v>0</v>
      </c>
      <c r="E201" s="9">
        <v>0</v>
      </c>
      <c r="F201" s="10">
        <v>0</v>
      </c>
      <c r="G201" s="11">
        <v>31722.95</v>
      </c>
      <c r="H201" s="12">
        <v>1.3421150739405974E-2</v>
      </c>
      <c r="I201" s="13">
        <v>1.3421150739405974E-2</v>
      </c>
      <c r="J201" s="14">
        <v>1.0758130660905875E-2</v>
      </c>
      <c r="K201" s="15">
        <v>45863</v>
      </c>
    </row>
    <row r="202" spans="1:11" x14ac:dyDescent="0.25">
      <c r="A202" s="39"/>
      <c r="B202" s="18" t="s">
        <v>12</v>
      </c>
      <c r="C202" s="7">
        <v>169266.37</v>
      </c>
      <c r="D202" s="8">
        <v>0</v>
      </c>
      <c r="E202" s="9">
        <v>-28858.309999999998</v>
      </c>
      <c r="F202" s="10">
        <v>0</v>
      </c>
      <c r="G202" s="11">
        <v>142344.16</v>
      </c>
      <c r="H202" s="12">
        <v>1.378909444372356E-2</v>
      </c>
      <c r="I202" s="13">
        <v>1.378909444372356E-2</v>
      </c>
      <c r="J202" s="14">
        <v>4.8272845750376034E-2</v>
      </c>
      <c r="K202" s="15">
        <v>45863</v>
      </c>
    </row>
    <row r="203" spans="1:11" x14ac:dyDescent="0.25">
      <c r="A203" s="39"/>
      <c r="B203" s="18" t="s">
        <v>13</v>
      </c>
      <c r="C203" s="7">
        <v>-301628</v>
      </c>
      <c r="D203" s="8">
        <v>0</v>
      </c>
      <c r="E203" s="9">
        <v>171438</v>
      </c>
      <c r="F203" s="10">
        <v>0</v>
      </c>
      <c r="G203" s="11">
        <v>-130190</v>
      </c>
      <c r="H203" s="12">
        <v>0</v>
      </c>
      <c r="I203" s="13">
        <v>0</v>
      </c>
      <c r="J203" s="14">
        <v>-4.4151033581156095E-2</v>
      </c>
      <c r="K203" s="15">
        <v>45863</v>
      </c>
    </row>
    <row r="204" spans="1:11" x14ac:dyDescent="0.25">
      <c r="A204" s="39"/>
      <c r="B204" s="18" t="s">
        <v>24</v>
      </c>
      <c r="C204" s="7">
        <v>0</v>
      </c>
      <c r="D204" s="8">
        <v>123064</v>
      </c>
      <c r="E204" s="9">
        <v>-13680.000000000002</v>
      </c>
      <c r="F204" s="10">
        <v>-54873.999999999993</v>
      </c>
      <c r="G204" s="11">
        <v>54908.000000000007</v>
      </c>
      <c r="H204" s="12">
        <v>7.3014125848467337E-3</v>
      </c>
      <c r="I204" s="13">
        <v>7.3014125848467337E-3</v>
      </c>
      <c r="J204" s="14">
        <v>1.8620823042277586E-2</v>
      </c>
      <c r="K204" s="15">
        <v>45863</v>
      </c>
    </row>
    <row r="205" spans="1:11" x14ac:dyDescent="0.25">
      <c r="A205" s="39"/>
      <c r="B205" s="18" t="s">
        <v>15</v>
      </c>
      <c r="C205" s="7">
        <v>107546.85</v>
      </c>
      <c r="D205" s="8">
        <v>0</v>
      </c>
      <c r="E205" s="9">
        <v>0</v>
      </c>
      <c r="F205" s="10">
        <v>0</v>
      </c>
      <c r="G205" s="11">
        <v>108987.13</v>
      </c>
      <c r="H205" s="12">
        <v>1.3392117016909344E-2</v>
      </c>
      <c r="I205" s="13">
        <v>1.3392117016909344E-2</v>
      </c>
      <c r="J205" s="14">
        <v>3.6960553318563828E-2</v>
      </c>
      <c r="K205" s="15">
        <v>45863</v>
      </c>
    </row>
    <row r="206" spans="1:11" x14ac:dyDescent="0.25">
      <c r="A206" s="39"/>
      <c r="B206" s="18" t="s">
        <v>25</v>
      </c>
      <c r="C206" s="7">
        <v>157171.67000000001</v>
      </c>
      <c r="D206" s="8">
        <v>0</v>
      </c>
      <c r="E206" s="9">
        <v>-154968.57</v>
      </c>
      <c r="F206" s="10">
        <v>0</v>
      </c>
      <c r="G206" s="11">
        <v>0</v>
      </c>
      <c r="H206" s="12">
        <v>-1.4017157163247029E-2</v>
      </c>
      <c r="I206" s="13">
        <v>-1</v>
      </c>
      <c r="J206" s="14">
        <v>0</v>
      </c>
      <c r="K206" s="15">
        <v>45863</v>
      </c>
    </row>
    <row r="207" spans="1:11" x14ac:dyDescent="0.25">
      <c r="A207" s="39"/>
      <c r="B207" s="18" t="s">
        <v>16</v>
      </c>
      <c r="C207" s="7">
        <v>226205.97</v>
      </c>
      <c r="D207" s="8">
        <v>0</v>
      </c>
      <c r="E207" s="9">
        <v>-49000</v>
      </c>
      <c r="F207" s="10">
        <v>0</v>
      </c>
      <c r="G207" s="11">
        <v>179585.01</v>
      </c>
      <c r="H207" s="12">
        <v>1.3425281326582938E-2</v>
      </c>
      <c r="I207" s="13">
        <v>1.3425281326582938E-2</v>
      </c>
      <c r="J207" s="14">
        <v>6.0902249075829584E-2</v>
      </c>
      <c r="K207" s="15">
        <v>45863</v>
      </c>
    </row>
    <row r="208" spans="1:11" x14ac:dyDescent="0.25">
      <c r="A208" s="39"/>
      <c r="B208" s="18" t="s">
        <v>26</v>
      </c>
      <c r="C208" s="7">
        <v>0</v>
      </c>
      <c r="D208" s="8">
        <v>218744.87</v>
      </c>
      <c r="E208" s="9">
        <v>0</v>
      </c>
      <c r="F208" s="10">
        <v>0</v>
      </c>
      <c r="G208" s="11">
        <v>220947.13</v>
      </c>
      <c r="H208" s="12">
        <v>1.0067710387905437E-2</v>
      </c>
      <c r="I208" s="13">
        <v>1.0067710387905437E-2</v>
      </c>
      <c r="J208" s="14">
        <v>7.4929289164221993E-2</v>
      </c>
      <c r="K208" s="15">
        <v>45863</v>
      </c>
    </row>
    <row r="209" spans="1:11" x14ac:dyDescent="0.25">
      <c r="A209" s="39"/>
      <c r="B209" s="18" t="s">
        <v>27</v>
      </c>
      <c r="C209" s="7">
        <v>211904.73</v>
      </c>
      <c r="D209" s="8">
        <v>0</v>
      </c>
      <c r="E209" s="9">
        <v>0</v>
      </c>
      <c r="F209" s="30">
        <v>0</v>
      </c>
      <c r="G209" s="11">
        <v>214608.07</v>
      </c>
      <c r="H209" s="12">
        <v>1.2757336752228232E-2</v>
      </c>
      <c r="I209" s="13">
        <v>1.2757336752228232E-2</v>
      </c>
      <c r="J209" s="14">
        <v>7.2779538408150379E-2</v>
      </c>
      <c r="K209" s="15">
        <v>45863</v>
      </c>
    </row>
    <row r="210" spans="1:11" x14ac:dyDescent="0.25">
      <c r="A210" s="39"/>
      <c r="B210" s="18" t="s">
        <v>17</v>
      </c>
      <c r="C210" s="7">
        <v>117945.9</v>
      </c>
      <c r="D210" s="8">
        <v>0</v>
      </c>
      <c r="E210" s="9">
        <v>-33042</v>
      </c>
      <c r="F210" s="10">
        <v>0</v>
      </c>
      <c r="G210" s="11">
        <v>87154</v>
      </c>
      <c r="H210" s="12">
        <v>2.650172724692279E-2</v>
      </c>
      <c r="I210" s="13">
        <v>2.650172724692279E-2</v>
      </c>
      <c r="J210" s="14">
        <v>2.95563344399115E-2</v>
      </c>
      <c r="K210" s="15">
        <v>45863</v>
      </c>
    </row>
    <row r="211" spans="1:11" x14ac:dyDescent="0.25">
      <c r="A211" s="39"/>
      <c r="B211" s="18" t="s">
        <v>18</v>
      </c>
      <c r="C211" s="7">
        <v>115971.89</v>
      </c>
      <c r="D211" s="8">
        <v>33042</v>
      </c>
      <c r="E211" s="9">
        <v>0</v>
      </c>
      <c r="F211" s="10">
        <v>0</v>
      </c>
      <c r="G211" s="11">
        <v>149013.89000000001</v>
      </c>
      <c r="H211" s="12">
        <v>0</v>
      </c>
      <c r="I211" s="13">
        <v>0</v>
      </c>
      <c r="J211" s="14">
        <v>5.0534735858734935E-2</v>
      </c>
      <c r="K211" s="15">
        <v>45863</v>
      </c>
    </row>
    <row r="212" spans="1:11" x14ac:dyDescent="0.25">
      <c r="A212" s="39"/>
      <c r="B212" s="18" t="s">
        <v>28</v>
      </c>
      <c r="C212" s="7">
        <v>189563.22</v>
      </c>
      <c r="D212" s="8">
        <v>25762.5</v>
      </c>
      <c r="E212" s="9">
        <v>0</v>
      </c>
      <c r="F212" s="10">
        <v>0</v>
      </c>
      <c r="G212" s="11">
        <v>197668.80000000002</v>
      </c>
      <c r="H212" s="12">
        <v>-8.2000979725041612E-2</v>
      </c>
      <c r="I212" s="13">
        <v>-8.2000979725041612E-2</v>
      </c>
      <c r="J212" s="14">
        <v>6.7034962952199309E-2</v>
      </c>
      <c r="K212" s="15">
        <v>45863</v>
      </c>
    </row>
    <row r="213" spans="1:11" x14ac:dyDescent="0.25">
      <c r="A213" s="39"/>
      <c r="B213" s="18" t="s">
        <v>29</v>
      </c>
      <c r="C213" s="7">
        <v>120750</v>
      </c>
      <c r="D213" s="8">
        <v>95260</v>
      </c>
      <c r="E213" s="9">
        <v>-203839</v>
      </c>
      <c r="F213" s="10">
        <v>0</v>
      </c>
      <c r="G213" s="11">
        <v>0</v>
      </c>
      <c r="H213" s="12">
        <v>0.68810766045548655</v>
      </c>
      <c r="I213" s="13">
        <v>-1</v>
      </c>
      <c r="J213" s="14">
        <v>0</v>
      </c>
      <c r="K213" s="15">
        <v>45863</v>
      </c>
    </row>
    <row r="214" spans="1:11" x14ac:dyDescent="0.25">
      <c r="A214" s="39"/>
      <c r="B214" s="18" t="s">
        <v>19</v>
      </c>
      <c r="C214" s="7">
        <v>218697.3</v>
      </c>
      <c r="D214" s="8">
        <v>0</v>
      </c>
      <c r="E214" s="9">
        <v>0</v>
      </c>
      <c r="F214" s="10">
        <v>0</v>
      </c>
      <c r="G214" s="11">
        <v>220872.66</v>
      </c>
      <c r="H214" s="12">
        <v>9.9468992072604401E-3</v>
      </c>
      <c r="I214" s="13">
        <v>9.9468992072604401E-3</v>
      </c>
      <c r="J214" s="14">
        <v>7.4904034325365021E-2</v>
      </c>
      <c r="K214" s="15">
        <v>45863</v>
      </c>
    </row>
    <row r="215" spans="1:11" x14ac:dyDescent="0.25">
      <c r="A215" s="39"/>
      <c r="B215" s="18" t="s">
        <v>30</v>
      </c>
      <c r="C215" s="7">
        <v>59938.31</v>
      </c>
      <c r="D215" s="8">
        <v>0</v>
      </c>
      <c r="E215" s="9">
        <v>0</v>
      </c>
      <c r="F215" s="10">
        <v>0</v>
      </c>
      <c r="G215" s="11">
        <v>59956.26</v>
      </c>
      <c r="H215" s="12">
        <v>2.9947457644374786E-4</v>
      </c>
      <c r="I215" s="13">
        <v>2.9947457644374786E-4</v>
      </c>
      <c r="J215" s="14">
        <v>2.0332827779864244E-2</v>
      </c>
      <c r="K215" s="15">
        <v>45863</v>
      </c>
    </row>
    <row r="216" spans="1:11" x14ac:dyDescent="0.25">
      <c r="A216" s="39"/>
      <c r="B216" s="18" t="s">
        <v>31</v>
      </c>
      <c r="C216" s="7">
        <v>0</v>
      </c>
      <c r="D216" s="8">
        <v>0</v>
      </c>
      <c r="E216" s="9">
        <v>0</v>
      </c>
      <c r="F216" s="10">
        <v>0</v>
      </c>
      <c r="G216" s="11">
        <v>0</v>
      </c>
      <c r="H216" s="12" t="s">
        <v>14</v>
      </c>
      <c r="I216" s="13" t="s">
        <v>14</v>
      </c>
      <c r="J216" s="14">
        <v>0</v>
      </c>
      <c r="K216" s="15">
        <v>45863</v>
      </c>
    </row>
    <row r="217" spans="1:11" x14ac:dyDescent="0.25">
      <c r="A217" s="39"/>
      <c r="B217" s="18" t="s">
        <v>32</v>
      </c>
      <c r="C217" s="31">
        <v>64477.19</v>
      </c>
      <c r="D217" s="8">
        <v>0</v>
      </c>
      <c r="E217" s="9">
        <v>-63750</v>
      </c>
      <c r="F217" s="10">
        <v>0</v>
      </c>
      <c r="G217" s="11">
        <v>0</v>
      </c>
      <c r="H217" s="12">
        <v>-1.1278252045413328E-2</v>
      </c>
      <c r="I217" s="28">
        <v>-1</v>
      </c>
      <c r="J217" s="14">
        <v>0</v>
      </c>
      <c r="K217" s="15">
        <v>45863</v>
      </c>
    </row>
    <row r="218" spans="1:11" x14ac:dyDescent="0.25">
      <c r="A218" s="39"/>
      <c r="B218" s="18" t="s">
        <v>33</v>
      </c>
      <c r="C218" s="7">
        <v>48589.5</v>
      </c>
      <c r="D218" s="8">
        <v>0</v>
      </c>
      <c r="E218" s="9">
        <v>0</v>
      </c>
      <c r="F218" s="10">
        <v>0</v>
      </c>
      <c r="G218" s="11">
        <v>50616.6</v>
      </c>
      <c r="H218" s="12">
        <v>4.1718889883616717E-2</v>
      </c>
      <c r="I218" s="13">
        <v>4.1718889883616717E-2</v>
      </c>
      <c r="J218" s="14">
        <v>1.716549048593552E-2</v>
      </c>
      <c r="K218" s="15">
        <v>45863</v>
      </c>
    </row>
    <row r="219" spans="1:11" x14ac:dyDescent="0.25">
      <c r="A219" s="39"/>
      <c r="B219" s="18" t="s">
        <v>34</v>
      </c>
      <c r="C219" s="7">
        <v>659664</v>
      </c>
      <c r="D219" s="8">
        <v>0</v>
      </c>
      <c r="E219" s="9">
        <v>0</v>
      </c>
      <c r="F219" s="10">
        <v>0</v>
      </c>
      <c r="G219" s="11">
        <v>656121.36</v>
      </c>
      <c r="H219" s="12">
        <v>-5.3703703703703587E-3</v>
      </c>
      <c r="I219" s="13">
        <v>-5.3703703703703587E-3</v>
      </c>
      <c r="J219" s="14">
        <v>0.22250891926164687</v>
      </c>
      <c r="K219" s="15">
        <v>45863</v>
      </c>
    </row>
    <row r="220" spans="1:11" x14ac:dyDescent="0.25">
      <c r="A220" s="39"/>
      <c r="B220" s="18" t="s">
        <v>35</v>
      </c>
      <c r="C220" s="7">
        <v>5106.6099999999997</v>
      </c>
      <c r="D220" s="8">
        <v>0</v>
      </c>
      <c r="E220" s="9">
        <v>-5115.7700000000004</v>
      </c>
      <c r="F220" s="10">
        <v>0</v>
      </c>
      <c r="G220" s="11">
        <v>0</v>
      </c>
      <c r="H220" s="12">
        <v>1.7937535860386156E-3</v>
      </c>
      <c r="I220" s="13">
        <v>-1</v>
      </c>
      <c r="J220" s="14">
        <v>0</v>
      </c>
      <c r="K220" s="15">
        <v>45863</v>
      </c>
    </row>
    <row r="221" spans="1:11" x14ac:dyDescent="0.25">
      <c r="A221" s="39"/>
      <c r="B221" s="18" t="s">
        <v>20</v>
      </c>
      <c r="C221" s="7">
        <v>0</v>
      </c>
      <c r="D221" s="8">
        <v>20280</v>
      </c>
      <c r="E221" s="9">
        <v>0</v>
      </c>
      <c r="F221" s="10">
        <v>0</v>
      </c>
      <c r="G221" s="11">
        <v>20160</v>
      </c>
      <c r="H221" s="12">
        <v>-5.9171597633136397E-3</v>
      </c>
      <c r="I221" s="13">
        <v>-5.9171597633136397E-3</v>
      </c>
      <c r="J221" s="14">
        <v>6.8368141715654572E-3</v>
      </c>
      <c r="K221" s="15">
        <v>45863</v>
      </c>
    </row>
    <row r="222" spans="1:11" x14ac:dyDescent="0.25">
      <c r="A222" s="39"/>
      <c r="B222" s="18" t="s">
        <v>36</v>
      </c>
      <c r="C222" s="7">
        <v>0</v>
      </c>
      <c r="D222" s="8">
        <v>30174.22</v>
      </c>
      <c r="E222" s="9">
        <v>0</v>
      </c>
      <c r="F222" s="10">
        <v>0</v>
      </c>
      <c r="G222" s="11">
        <v>30379.78</v>
      </c>
      <c r="H222" s="12">
        <v>6.8124379022886927E-3</v>
      </c>
      <c r="I222" s="28">
        <v>6.8124379022886927E-3</v>
      </c>
      <c r="J222" s="14">
        <v>1.0302624525448454E-2</v>
      </c>
      <c r="K222" s="15">
        <v>45863</v>
      </c>
    </row>
    <row r="223" spans="1:11" x14ac:dyDescent="0.25">
      <c r="A223" s="39"/>
      <c r="B223" s="18" t="s">
        <v>21</v>
      </c>
      <c r="C223" s="7">
        <v>133961.01999999999</v>
      </c>
      <c r="D223" s="8">
        <v>40073.71</v>
      </c>
      <c r="E223" s="9">
        <v>0</v>
      </c>
      <c r="F223" s="10">
        <v>0</v>
      </c>
      <c r="G223" s="11">
        <v>161977.5</v>
      </c>
      <c r="H223" s="12">
        <v>-6.9280597039452885E-2</v>
      </c>
      <c r="I223" s="13">
        <v>-6.9280597039452885E-2</v>
      </c>
      <c r="J223" s="14">
        <v>5.4931054934263084E-2</v>
      </c>
      <c r="K223" s="15">
        <v>45863</v>
      </c>
    </row>
    <row r="224" spans="1:11" x14ac:dyDescent="0.25">
      <c r="A224" s="39"/>
      <c r="B224" s="18" t="s">
        <v>22</v>
      </c>
      <c r="C224" s="7">
        <v>363285</v>
      </c>
      <c r="D224" s="8">
        <v>0</v>
      </c>
      <c r="E224" s="9">
        <v>0</v>
      </c>
      <c r="F224" s="10">
        <v>0</v>
      </c>
      <c r="G224" s="11">
        <v>368874</v>
      </c>
      <c r="H224" s="12">
        <v>1.538461538461533E-2</v>
      </c>
      <c r="I224" s="13">
        <v>1.538461538461533E-2</v>
      </c>
      <c r="J224" s="14">
        <v>0.12509538644454546</v>
      </c>
      <c r="K224" s="15">
        <v>45863</v>
      </c>
    </row>
    <row r="225" spans="1:11" x14ac:dyDescent="0.25">
      <c r="A225" s="39"/>
      <c r="B225" s="18" t="s">
        <v>37</v>
      </c>
      <c r="C225" s="7">
        <v>0</v>
      </c>
      <c r="D225" s="8">
        <v>0</v>
      </c>
      <c r="E225" s="9">
        <v>0</v>
      </c>
      <c r="F225" s="10">
        <v>0</v>
      </c>
      <c r="G225" s="11">
        <v>0</v>
      </c>
      <c r="H225" s="12" t="s">
        <v>14</v>
      </c>
      <c r="I225" s="13" t="s">
        <v>14</v>
      </c>
      <c r="J225" s="14">
        <v>0</v>
      </c>
      <c r="K225" s="15">
        <v>45863</v>
      </c>
    </row>
    <row r="226" spans="1:11" x14ac:dyDescent="0.25">
      <c r="A226" s="39"/>
      <c r="B226" s="18" t="s">
        <v>38</v>
      </c>
      <c r="C226" s="7">
        <v>0</v>
      </c>
      <c r="D226" s="8">
        <v>0</v>
      </c>
      <c r="E226" s="9">
        <v>0</v>
      </c>
      <c r="F226" s="10">
        <v>0</v>
      </c>
      <c r="G226" s="11">
        <v>0</v>
      </c>
      <c r="H226" s="12" t="s">
        <v>14</v>
      </c>
      <c r="I226" s="28" t="s">
        <v>14</v>
      </c>
      <c r="J226" s="14">
        <v>0</v>
      </c>
      <c r="K226" s="15">
        <v>45863</v>
      </c>
    </row>
    <row r="227" spans="1:11" x14ac:dyDescent="0.25">
      <c r="A227" s="39"/>
      <c r="B227" s="18" t="s">
        <v>39</v>
      </c>
      <c r="C227" s="7"/>
      <c r="D227" s="8"/>
      <c r="E227" s="9"/>
      <c r="F227" s="10"/>
      <c r="G227" s="11"/>
      <c r="H227" s="12"/>
      <c r="I227" s="13"/>
      <c r="J227" s="14">
        <v>0</v>
      </c>
      <c r="K227" s="15">
        <v>45863</v>
      </c>
    </row>
    <row r="228" spans="1:11" x14ac:dyDescent="0.25">
      <c r="A228" s="39"/>
      <c r="B228" s="18" t="s">
        <v>40</v>
      </c>
      <c r="C228" s="7">
        <v>0</v>
      </c>
      <c r="D228" s="8">
        <v>84881</v>
      </c>
      <c r="E228" s="9">
        <v>-83654</v>
      </c>
      <c r="F228" s="10">
        <v>0</v>
      </c>
      <c r="G228" s="11">
        <v>0</v>
      </c>
      <c r="H228" s="12" t="s">
        <v>14</v>
      </c>
      <c r="I228" s="28">
        <v>-1</v>
      </c>
      <c r="J228" s="14">
        <v>0</v>
      </c>
      <c r="K228" s="15">
        <v>45863</v>
      </c>
    </row>
    <row r="229" spans="1:11" x14ac:dyDescent="0.25">
      <c r="A229" s="39"/>
      <c r="B229" s="18" t="s">
        <v>41</v>
      </c>
      <c r="C229" s="7">
        <v>57434</v>
      </c>
      <c r="D229" s="8">
        <v>20400</v>
      </c>
      <c r="E229" s="9">
        <v>-71950</v>
      </c>
      <c r="F229" s="10">
        <v>0</v>
      </c>
      <c r="G229" s="11">
        <v>0</v>
      </c>
      <c r="H229" s="12">
        <v>0.25274227809311567</v>
      </c>
      <c r="I229" s="28">
        <v>-1</v>
      </c>
      <c r="J229" s="14">
        <v>0</v>
      </c>
      <c r="K229" s="15">
        <v>45863</v>
      </c>
    </row>
    <row r="230" spans="1:11" x14ac:dyDescent="0.25">
      <c r="A230" s="39"/>
      <c r="B230" s="18" t="s">
        <v>42</v>
      </c>
      <c r="C230" s="7">
        <v>69876</v>
      </c>
      <c r="D230" s="8">
        <v>0</v>
      </c>
      <c r="E230" s="9">
        <v>0</v>
      </c>
      <c r="F230" s="10">
        <v>0</v>
      </c>
      <c r="G230" s="11">
        <v>69500.740000000005</v>
      </c>
      <c r="H230" s="12">
        <v>-5.3703703703702477E-3</v>
      </c>
      <c r="I230" s="13">
        <v>-5.3703703703702477E-3</v>
      </c>
      <c r="J230" s="14">
        <v>2.3569625206661025E-2</v>
      </c>
      <c r="K230" s="15">
        <v>45863</v>
      </c>
    </row>
    <row r="231" spans="1:11" x14ac:dyDescent="0.25">
      <c r="A231" s="39"/>
      <c r="B231" s="18" t="s">
        <v>43</v>
      </c>
      <c r="C231" s="7">
        <v>17872</v>
      </c>
      <c r="D231" s="8">
        <v>5239.2</v>
      </c>
      <c r="E231" s="9">
        <v>0</v>
      </c>
      <c r="F231" s="10">
        <v>0</v>
      </c>
      <c r="G231" s="11">
        <v>23853.8</v>
      </c>
      <c r="H231" s="12">
        <v>3.2131607186126177E-2</v>
      </c>
      <c r="I231" s="13">
        <v>3.2131607186126177E-2</v>
      </c>
      <c r="J231" s="14">
        <v>8.0894840221075442E-3</v>
      </c>
      <c r="K231" s="15">
        <v>45863</v>
      </c>
    </row>
    <row r="232" spans="1:11" x14ac:dyDescent="0.25">
      <c r="A232" s="39"/>
      <c r="B232" s="18" t="s">
        <v>44</v>
      </c>
      <c r="C232" s="7">
        <v>17314.5</v>
      </c>
      <c r="D232" s="8">
        <v>14193.3</v>
      </c>
      <c r="E232" s="9">
        <v>0</v>
      </c>
      <c r="F232" s="10">
        <v>0</v>
      </c>
      <c r="G232" s="11">
        <v>29680</v>
      </c>
      <c r="H232" s="12">
        <v>-5.8011032188854839E-2</v>
      </c>
      <c r="I232" s="13">
        <v>-5.8011032188854839E-2</v>
      </c>
      <c r="J232" s="14">
        <v>1.0065309752582479E-2</v>
      </c>
      <c r="K232" s="15">
        <v>45863</v>
      </c>
    </row>
    <row r="233" spans="1:11" ht="16.5" thickBot="1" x14ac:dyDescent="0.3">
      <c r="A233" s="39"/>
      <c r="B233" s="20" t="s">
        <v>23</v>
      </c>
      <c r="C233" s="21">
        <f t="shared" ref="C233:G233" si="6">SUM(C201:C232)</f>
        <v>2862216.8600000003</v>
      </c>
      <c r="D233" s="22">
        <f t="shared" si="6"/>
        <v>711114.79999999993</v>
      </c>
      <c r="E233" s="23">
        <f t="shared" si="6"/>
        <v>-536419.65</v>
      </c>
      <c r="F233" s="24">
        <f t="shared" si="6"/>
        <v>-54873.999999999993</v>
      </c>
      <c r="G233" s="11">
        <f t="shared" si="6"/>
        <v>2948741.84</v>
      </c>
      <c r="H233" s="25">
        <f>(G233/(C233+D233+E233+F233))-1</f>
        <v>-1.1165575317398591E-2</v>
      </c>
      <c r="I233" s="13"/>
      <c r="J233" s="14"/>
      <c r="K233" s="15">
        <v>45863</v>
      </c>
    </row>
    <row r="234" spans="1:11" ht="16.5" thickTop="1" x14ac:dyDescent="0.25">
      <c r="A234" s="38">
        <v>45896</v>
      </c>
      <c r="B234" s="18" t="s">
        <v>11</v>
      </c>
      <c r="C234" s="7">
        <v>31722.95</v>
      </c>
      <c r="D234" s="8">
        <v>0</v>
      </c>
      <c r="E234" s="9">
        <v>0</v>
      </c>
      <c r="F234" s="10">
        <v>0</v>
      </c>
      <c r="G234" s="11">
        <v>32076.170000000002</v>
      </c>
      <c r="H234" s="12">
        <v>1.1134525635226211E-2</v>
      </c>
      <c r="I234" s="13">
        <v>1.1134525635226211E-2</v>
      </c>
      <c r="J234" s="14">
        <v>1.0003146751996463E-2</v>
      </c>
      <c r="K234" s="15">
        <v>45894</v>
      </c>
    </row>
    <row r="235" spans="1:11" x14ac:dyDescent="0.25">
      <c r="A235" s="39"/>
      <c r="B235" s="18" t="s">
        <v>12</v>
      </c>
      <c r="C235" s="7">
        <v>142344.16</v>
      </c>
      <c r="D235" s="8">
        <v>0</v>
      </c>
      <c r="E235" s="9">
        <v>0</v>
      </c>
      <c r="F235" s="10">
        <v>0</v>
      </c>
      <c r="G235" s="11">
        <v>143982.40000000002</v>
      </c>
      <c r="H235" s="12">
        <v>1.1509007464725052E-2</v>
      </c>
      <c r="I235" s="13">
        <v>1.1509007464725052E-2</v>
      </c>
      <c r="J235" s="14">
        <v>4.4901778388899159E-2</v>
      </c>
      <c r="K235" s="15">
        <v>45894</v>
      </c>
    </row>
    <row r="236" spans="1:11" x14ac:dyDescent="0.25">
      <c r="A236" s="39"/>
      <c r="B236" s="18" t="s">
        <v>13</v>
      </c>
      <c r="C236" s="7">
        <v>-130190</v>
      </c>
      <c r="D236" s="8">
        <v>0</v>
      </c>
      <c r="E236" s="9">
        <v>137934</v>
      </c>
      <c r="F236" s="10">
        <v>0</v>
      </c>
      <c r="G236" s="11">
        <v>7744</v>
      </c>
      <c r="H236" s="12">
        <v>0</v>
      </c>
      <c r="I236" s="13">
        <v>0</v>
      </c>
      <c r="J236" s="14">
        <v>2.4150130282842557E-3</v>
      </c>
      <c r="K236" s="15">
        <v>45894</v>
      </c>
    </row>
    <row r="237" spans="1:11" x14ac:dyDescent="0.25">
      <c r="A237" s="39"/>
      <c r="B237" s="18" t="s">
        <v>24</v>
      </c>
      <c r="C237" s="7">
        <v>54908.000000000007</v>
      </c>
      <c r="D237" s="8">
        <v>0</v>
      </c>
      <c r="E237" s="9">
        <v>-55240.9</v>
      </c>
      <c r="F237" s="10">
        <v>0</v>
      </c>
      <c r="G237" s="11">
        <v>0</v>
      </c>
      <c r="H237" s="12">
        <v>6.0628687987176466E-3</v>
      </c>
      <c r="I237" s="13">
        <v>-1</v>
      </c>
      <c r="J237" s="14">
        <v>0</v>
      </c>
      <c r="K237" s="15">
        <v>45894</v>
      </c>
    </row>
    <row r="238" spans="1:11" x14ac:dyDescent="0.25">
      <c r="A238" s="39"/>
      <c r="B238" s="18" t="s">
        <v>15</v>
      </c>
      <c r="C238" s="7">
        <v>108987.13</v>
      </c>
      <c r="D238" s="8">
        <v>0</v>
      </c>
      <c r="E238" s="9">
        <v>0</v>
      </c>
      <c r="F238" s="10">
        <v>0</v>
      </c>
      <c r="G238" s="11">
        <v>110198.51</v>
      </c>
      <c r="H238" s="12">
        <v>1.1114890354484874E-2</v>
      </c>
      <c r="I238" s="13">
        <v>1.1114890354484874E-2</v>
      </c>
      <c r="J238" s="14">
        <v>3.4366068872354445E-2</v>
      </c>
      <c r="K238" s="15">
        <v>45894</v>
      </c>
    </row>
    <row r="239" spans="1:11" x14ac:dyDescent="0.25">
      <c r="A239" s="39"/>
      <c r="B239" s="18" t="s">
        <v>25</v>
      </c>
      <c r="C239" s="7">
        <v>0</v>
      </c>
      <c r="D239" s="8">
        <v>0</v>
      </c>
      <c r="E239" s="9">
        <v>0</v>
      </c>
      <c r="F239" s="10">
        <v>0</v>
      </c>
      <c r="G239" s="11">
        <v>0</v>
      </c>
      <c r="H239" s="12" t="s">
        <v>14</v>
      </c>
      <c r="I239" s="13" t="s">
        <v>14</v>
      </c>
      <c r="J239" s="14">
        <v>0</v>
      </c>
      <c r="K239" s="15">
        <v>45894</v>
      </c>
    </row>
    <row r="240" spans="1:11" x14ac:dyDescent="0.25">
      <c r="A240" s="39"/>
      <c r="B240" s="18" t="s">
        <v>16</v>
      </c>
      <c r="C240" s="7">
        <v>179585.01</v>
      </c>
      <c r="D240" s="8">
        <v>0</v>
      </c>
      <c r="E240" s="9">
        <v>0</v>
      </c>
      <c r="F240" s="10">
        <v>0</v>
      </c>
      <c r="G240" s="11">
        <v>181601.94</v>
      </c>
      <c r="H240" s="12">
        <v>1.1231059875209004E-2</v>
      </c>
      <c r="I240" s="13">
        <v>1.1231059875209004E-2</v>
      </c>
      <c r="J240" s="14">
        <v>5.6633658453214844E-2</v>
      </c>
      <c r="K240" s="15">
        <v>45894</v>
      </c>
    </row>
    <row r="241" spans="1:11" x14ac:dyDescent="0.25">
      <c r="A241" s="39"/>
      <c r="B241" s="18" t="s">
        <v>26</v>
      </c>
      <c r="C241" s="7">
        <v>220947.13</v>
      </c>
      <c r="D241" s="8">
        <v>0</v>
      </c>
      <c r="E241" s="9">
        <v>0</v>
      </c>
      <c r="F241" s="10">
        <v>0</v>
      </c>
      <c r="G241" s="11">
        <v>223389.69</v>
      </c>
      <c r="H241" s="12">
        <v>1.1054952377068661E-2</v>
      </c>
      <c r="I241" s="13">
        <v>1.1054952377068661E-2</v>
      </c>
      <c r="J241" s="14">
        <v>6.966541990371658E-2</v>
      </c>
      <c r="K241" s="15">
        <v>45894</v>
      </c>
    </row>
    <row r="242" spans="1:11" x14ac:dyDescent="0.25">
      <c r="A242" s="39"/>
      <c r="B242" s="18" t="s">
        <v>27</v>
      </c>
      <c r="C242" s="7">
        <v>214608.07</v>
      </c>
      <c r="D242" s="8">
        <v>0</v>
      </c>
      <c r="E242" s="9">
        <v>0</v>
      </c>
      <c r="F242" s="30">
        <v>0</v>
      </c>
      <c r="G242" s="11">
        <v>217106.44</v>
      </c>
      <c r="H242" s="12">
        <v>1.164154730994027E-2</v>
      </c>
      <c r="I242" s="13">
        <v>1.164154730994027E-2</v>
      </c>
      <c r="J242" s="14">
        <v>6.7705950558421241E-2</v>
      </c>
      <c r="K242" s="15">
        <v>45894</v>
      </c>
    </row>
    <row r="243" spans="1:11" x14ac:dyDescent="0.25">
      <c r="A243" s="39"/>
      <c r="B243" s="18" t="s">
        <v>17</v>
      </c>
      <c r="C243" s="7">
        <v>87154</v>
      </c>
      <c r="D243" s="8">
        <v>12000</v>
      </c>
      <c r="E243" s="9">
        <v>-2170.19</v>
      </c>
      <c r="F243" s="10">
        <v>0</v>
      </c>
      <c r="G243" s="11">
        <v>95224</v>
      </c>
      <c r="H243" s="12">
        <v>-1.8145399732182099E-2</v>
      </c>
      <c r="I243" s="13">
        <v>-1.8145399732182099E-2</v>
      </c>
      <c r="J243" s="14">
        <v>2.9696177764119317E-2</v>
      </c>
      <c r="K243" s="15">
        <v>45894</v>
      </c>
    </row>
    <row r="244" spans="1:11" x14ac:dyDescent="0.25">
      <c r="A244" s="39"/>
      <c r="B244" s="18" t="s">
        <v>18</v>
      </c>
      <c r="C244" s="7">
        <v>149013.89000000001</v>
      </c>
      <c r="D244" s="8">
        <v>8630</v>
      </c>
      <c r="E244" s="9">
        <v>0</v>
      </c>
      <c r="F244" s="10">
        <v>0</v>
      </c>
      <c r="G244" s="11">
        <v>157643.89000000001</v>
      </c>
      <c r="H244" s="12">
        <v>0</v>
      </c>
      <c r="I244" s="13">
        <v>0</v>
      </c>
      <c r="J244" s="14">
        <v>4.916219630415937E-2</v>
      </c>
      <c r="K244" s="15">
        <v>45894</v>
      </c>
    </row>
    <row r="245" spans="1:11" x14ac:dyDescent="0.25">
      <c r="A245" s="39"/>
      <c r="B245" s="18" t="s">
        <v>28</v>
      </c>
      <c r="C245" s="7">
        <v>197668.80000000002</v>
      </c>
      <c r="D245" s="8">
        <v>13314.58</v>
      </c>
      <c r="E245" s="9">
        <v>-91965</v>
      </c>
      <c r="F245" s="10">
        <v>0</v>
      </c>
      <c r="G245" s="11">
        <v>163762</v>
      </c>
      <c r="H245" s="12">
        <v>0.37593874156243756</v>
      </c>
      <c r="I245" s="13">
        <v>0.37593874156243756</v>
      </c>
      <c r="J245" s="14">
        <v>5.1070165746111354E-2</v>
      </c>
      <c r="K245" s="15">
        <v>45894</v>
      </c>
    </row>
    <row r="246" spans="1:11" x14ac:dyDescent="0.25">
      <c r="A246" s="39"/>
      <c r="B246" s="18" t="s">
        <v>29</v>
      </c>
      <c r="C246" s="7">
        <v>0</v>
      </c>
      <c r="D246" s="8">
        <v>0</v>
      </c>
      <c r="E246" s="9">
        <v>0</v>
      </c>
      <c r="F246" s="10">
        <v>0</v>
      </c>
      <c r="G246" s="11">
        <v>0</v>
      </c>
      <c r="H246" s="12" t="s">
        <v>14</v>
      </c>
      <c r="I246" s="13" t="s">
        <v>14</v>
      </c>
      <c r="J246" s="14">
        <v>0</v>
      </c>
      <c r="K246" s="15">
        <v>45894</v>
      </c>
    </row>
    <row r="247" spans="1:11" x14ac:dyDescent="0.25">
      <c r="A247" s="39"/>
      <c r="B247" s="18" t="s">
        <v>19</v>
      </c>
      <c r="C247" s="7">
        <v>220872.66</v>
      </c>
      <c r="D247" s="8">
        <v>0</v>
      </c>
      <c r="E247" s="9">
        <v>0</v>
      </c>
      <c r="F247" s="10">
        <v>0</v>
      </c>
      <c r="G247" s="11">
        <v>222205.9</v>
      </c>
      <c r="H247" s="12">
        <v>6.0362382560159578E-3</v>
      </c>
      <c r="I247" s="13">
        <v>6.0362382560159578E-3</v>
      </c>
      <c r="J247" s="14">
        <v>6.9296247864363184E-2</v>
      </c>
      <c r="K247" s="15">
        <v>45894</v>
      </c>
    </row>
    <row r="248" spans="1:11" x14ac:dyDescent="0.25">
      <c r="A248" s="39"/>
      <c r="B248" s="18" t="s">
        <v>30</v>
      </c>
      <c r="C248" s="7">
        <v>59956.26</v>
      </c>
      <c r="D248" s="8">
        <v>0</v>
      </c>
      <c r="E248" s="9">
        <v>0</v>
      </c>
      <c r="F248" s="10">
        <v>0</v>
      </c>
      <c r="G248" s="11">
        <v>60534.559999999998</v>
      </c>
      <c r="H248" s="12">
        <v>9.6453648042755802E-3</v>
      </c>
      <c r="I248" s="13">
        <v>9.6453648042755802E-3</v>
      </c>
      <c r="J248" s="14">
        <v>1.8878067027563918E-2</v>
      </c>
      <c r="K248" s="15">
        <v>45894</v>
      </c>
    </row>
    <row r="249" spans="1:11" x14ac:dyDescent="0.25">
      <c r="A249" s="39"/>
      <c r="B249" s="18" t="s">
        <v>31</v>
      </c>
      <c r="C249" s="7">
        <v>0</v>
      </c>
      <c r="D249" s="8">
        <v>0</v>
      </c>
      <c r="E249" s="9">
        <v>0</v>
      </c>
      <c r="F249" s="10">
        <v>0</v>
      </c>
      <c r="G249" s="11">
        <v>0</v>
      </c>
      <c r="H249" s="12" t="s">
        <v>14</v>
      </c>
      <c r="I249" s="13" t="s">
        <v>14</v>
      </c>
      <c r="J249" s="14">
        <v>0</v>
      </c>
      <c r="K249" s="15">
        <v>45894</v>
      </c>
    </row>
    <row r="250" spans="1:11" x14ac:dyDescent="0.25">
      <c r="A250" s="39"/>
      <c r="B250" s="18" t="s">
        <v>32</v>
      </c>
      <c r="C250" s="31">
        <v>0</v>
      </c>
      <c r="D250" s="8">
        <v>0</v>
      </c>
      <c r="E250" s="9">
        <v>0</v>
      </c>
      <c r="F250" s="10">
        <v>0</v>
      </c>
      <c r="G250" s="11">
        <v>0</v>
      </c>
      <c r="H250" s="12" t="s">
        <v>14</v>
      </c>
      <c r="I250" s="28" t="s">
        <v>14</v>
      </c>
      <c r="J250" s="14">
        <v>0</v>
      </c>
      <c r="K250" s="15">
        <v>45894</v>
      </c>
    </row>
    <row r="251" spans="1:11" x14ac:dyDescent="0.25">
      <c r="A251" s="39"/>
      <c r="B251" s="18" t="s">
        <v>33</v>
      </c>
      <c r="C251" s="7">
        <v>50616.6</v>
      </c>
      <c r="D251" s="8">
        <v>7616</v>
      </c>
      <c r="E251" s="9">
        <v>0</v>
      </c>
      <c r="F251" s="10">
        <v>-47.41</v>
      </c>
      <c r="G251" s="11">
        <v>62400</v>
      </c>
      <c r="H251" s="12">
        <v>7.2437848875289479E-2</v>
      </c>
      <c r="I251" s="13">
        <v>7.2437848875289479E-2</v>
      </c>
      <c r="J251" s="14">
        <v>1.9459815723778095E-2</v>
      </c>
      <c r="K251" s="15">
        <v>45894</v>
      </c>
    </row>
    <row r="252" spans="1:11" x14ac:dyDescent="0.25">
      <c r="A252" s="39"/>
      <c r="B252" s="18" t="s">
        <v>34</v>
      </c>
      <c r="C252" s="7">
        <v>656121.36</v>
      </c>
      <c r="D252" s="8">
        <v>8736.4</v>
      </c>
      <c r="E252" s="9">
        <v>-37273.75</v>
      </c>
      <c r="F252" s="10">
        <v>0</v>
      </c>
      <c r="G252" s="11">
        <v>663869.5</v>
      </c>
      <c r="H252" s="12">
        <v>5.7817741404851963E-2</v>
      </c>
      <c r="I252" s="13">
        <v>5.7817741404851963E-2</v>
      </c>
      <c r="J252" s="14">
        <v>0.20703170087558817</v>
      </c>
      <c r="K252" s="15">
        <v>45894</v>
      </c>
    </row>
    <row r="253" spans="1:11" x14ac:dyDescent="0.25">
      <c r="A253" s="39"/>
      <c r="B253" s="18" t="s">
        <v>35</v>
      </c>
      <c r="C253" s="7">
        <v>0</v>
      </c>
      <c r="D253" s="8">
        <v>0</v>
      </c>
      <c r="E253" s="9">
        <v>0</v>
      </c>
      <c r="F253" s="10">
        <v>0</v>
      </c>
      <c r="G253" s="11">
        <v>0</v>
      </c>
      <c r="H253" s="12" t="s">
        <v>14</v>
      </c>
      <c r="I253" s="13" t="s">
        <v>14</v>
      </c>
      <c r="J253" s="14">
        <v>0</v>
      </c>
      <c r="K253" s="15">
        <v>45894</v>
      </c>
    </row>
    <row r="254" spans="1:11" x14ac:dyDescent="0.25">
      <c r="A254" s="39"/>
      <c r="B254" s="18" t="s">
        <v>20</v>
      </c>
      <c r="C254" s="7">
        <v>20160</v>
      </c>
      <c r="D254" s="8">
        <v>85426</v>
      </c>
      <c r="E254" s="9">
        <v>0</v>
      </c>
      <c r="F254" s="10">
        <v>0</v>
      </c>
      <c r="G254" s="11">
        <v>109200</v>
      </c>
      <c r="H254" s="12">
        <v>3.4228022654518631E-2</v>
      </c>
      <c r="I254" s="13">
        <v>3.4228022654518631E-2</v>
      </c>
      <c r="J254" s="14">
        <v>3.4054677516611669E-2</v>
      </c>
      <c r="K254" s="15">
        <v>45894</v>
      </c>
    </row>
    <row r="255" spans="1:11" x14ac:dyDescent="0.25">
      <c r="A255" s="39"/>
      <c r="B255" s="18" t="s">
        <v>36</v>
      </c>
      <c r="C255" s="7">
        <v>30379.78</v>
      </c>
      <c r="D255" s="8">
        <v>556.55999999999995</v>
      </c>
      <c r="E255" s="9">
        <v>0</v>
      </c>
      <c r="F255" s="10">
        <v>0</v>
      </c>
      <c r="G255" s="11">
        <v>31854.399999999998</v>
      </c>
      <c r="H255" s="12">
        <v>2.9675779358514953E-2</v>
      </c>
      <c r="I255" s="28">
        <v>2.9675779358514953E-2</v>
      </c>
      <c r="J255" s="14">
        <v>9.933986442171746E-3</v>
      </c>
      <c r="K255" s="15">
        <v>45894</v>
      </c>
    </row>
    <row r="256" spans="1:11" x14ac:dyDescent="0.25">
      <c r="A256" s="39"/>
      <c r="B256" s="18" t="s">
        <v>21</v>
      </c>
      <c r="C256" s="7">
        <v>161977.5</v>
      </c>
      <c r="D256" s="8">
        <v>17320.5</v>
      </c>
      <c r="E256" s="9">
        <v>-21857.799999999996</v>
      </c>
      <c r="F256" s="10">
        <v>0</v>
      </c>
      <c r="G256" s="11">
        <v>163494.56</v>
      </c>
      <c r="H256" s="12">
        <v>3.8454981637472407E-2</v>
      </c>
      <c r="I256" s="13">
        <v>3.8454981637472407E-2</v>
      </c>
      <c r="J256" s="14">
        <v>5.0986762971797772E-2</v>
      </c>
      <c r="K256" s="15">
        <v>45894</v>
      </c>
    </row>
    <row r="257" spans="1:11" x14ac:dyDescent="0.25">
      <c r="A257" s="39"/>
      <c r="B257" s="18" t="s">
        <v>22</v>
      </c>
      <c r="C257" s="7">
        <v>368874</v>
      </c>
      <c r="D257" s="8">
        <v>0</v>
      </c>
      <c r="E257" s="9">
        <v>-32468</v>
      </c>
      <c r="F257" s="10">
        <v>0</v>
      </c>
      <c r="G257" s="11">
        <v>350028</v>
      </c>
      <c r="H257" s="12">
        <v>4.0492737941653756E-2</v>
      </c>
      <c r="I257" s="13">
        <v>4.0492737941653756E-2</v>
      </c>
      <c r="J257" s="14">
        <v>0.1091583393936314</v>
      </c>
      <c r="K257" s="15">
        <v>45894</v>
      </c>
    </row>
    <row r="258" spans="1:11" x14ac:dyDescent="0.25">
      <c r="A258" s="39"/>
      <c r="B258" s="18" t="s">
        <v>37</v>
      </c>
      <c r="C258" s="7">
        <v>0</v>
      </c>
      <c r="D258" s="8">
        <v>19884</v>
      </c>
      <c r="E258" s="9">
        <v>0</v>
      </c>
      <c r="F258" s="10">
        <v>0</v>
      </c>
      <c r="G258" s="11">
        <v>21636</v>
      </c>
      <c r="H258" s="12">
        <v>8.8111044055521948E-2</v>
      </c>
      <c r="I258" s="13">
        <v>8.8111044055521948E-2</v>
      </c>
      <c r="J258" s="14">
        <v>6.7473168749945973E-3</v>
      </c>
      <c r="K258" s="15">
        <v>45894</v>
      </c>
    </row>
    <row r="259" spans="1:11" x14ac:dyDescent="0.25">
      <c r="A259" s="39"/>
      <c r="B259" s="18" t="s">
        <v>38</v>
      </c>
      <c r="C259" s="7">
        <v>0</v>
      </c>
      <c r="D259" s="8">
        <v>35809</v>
      </c>
      <c r="E259" s="9">
        <v>0</v>
      </c>
      <c r="F259" s="10">
        <v>0</v>
      </c>
      <c r="G259" s="11">
        <v>37660</v>
      </c>
      <c r="H259" s="12">
        <v>5.1690915691585904E-2</v>
      </c>
      <c r="I259" s="28">
        <v>5.1690915691585904E-2</v>
      </c>
      <c r="J259" s="14">
        <v>1.1744497758934023E-2</v>
      </c>
      <c r="K259" s="15">
        <v>45894</v>
      </c>
    </row>
    <row r="260" spans="1:11" x14ac:dyDescent="0.25">
      <c r="A260" s="39"/>
      <c r="B260" s="18" t="s">
        <v>39</v>
      </c>
      <c r="C260" s="7"/>
      <c r="D260" s="8"/>
      <c r="E260" s="9"/>
      <c r="F260" s="10"/>
      <c r="G260" s="11"/>
      <c r="H260" s="12"/>
      <c r="I260" s="13"/>
      <c r="J260" s="14">
        <v>0</v>
      </c>
      <c r="K260" s="15">
        <v>45894</v>
      </c>
    </row>
    <row r="261" spans="1:11" x14ac:dyDescent="0.25">
      <c r="A261" s="39"/>
      <c r="B261" s="18" t="s">
        <v>40</v>
      </c>
      <c r="C261" s="7">
        <v>0</v>
      </c>
      <c r="D261" s="8">
        <v>0</v>
      </c>
      <c r="E261" s="9">
        <v>0</v>
      </c>
      <c r="F261" s="10">
        <v>0</v>
      </c>
      <c r="G261" s="11">
        <v>0</v>
      </c>
      <c r="H261" s="12" t="s">
        <v>14</v>
      </c>
      <c r="I261" s="28" t="s">
        <v>14</v>
      </c>
      <c r="J261" s="14">
        <v>0</v>
      </c>
      <c r="K261" s="15">
        <v>45894</v>
      </c>
    </row>
    <row r="262" spans="1:11" x14ac:dyDescent="0.25">
      <c r="A262" s="39"/>
      <c r="B262" s="18" t="s">
        <v>41</v>
      </c>
      <c r="C262" s="7">
        <v>0</v>
      </c>
      <c r="D262" s="8">
        <v>0</v>
      </c>
      <c r="E262" s="9">
        <v>0</v>
      </c>
      <c r="F262" s="10">
        <v>0</v>
      </c>
      <c r="G262" s="11">
        <v>0</v>
      </c>
      <c r="H262" s="12" t="s">
        <v>14</v>
      </c>
      <c r="I262" s="28" t="s">
        <v>14</v>
      </c>
      <c r="J262" s="14">
        <v>0</v>
      </c>
      <c r="K262" s="15">
        <v>45894</v>
      </c>
    </row>
    <row r="263" spans="1:11" x14ac:dyDescent="0.25">
      <c r="A263" s="39"/>
      <c r="B263" s="18" t="s">
        <v>42</v>
      </c>
      <c r="C263" s="7">
        <v>69500.740000000005</v>
      </c>
      <c r="D263" s="8">
        <v>317.10000000000002</v>
      </c>
      <c r="E263" s="9">
        <v>0</v>
      </c>
      <c r="F263" s="10">
        <v>0</v>
      </c>
      <c r="G263" s="11">
        <v>73606</v>
      </c>
      <c r="H263" s="12">
        <v>5.4257765636977373E-2</v>
      </c>
      <c r="I263" s="13">
        <v>5.4257765636977373E-2</v>
      </c>
      <c r="J263" s="14">
        <v>2.2954474297506577E-2</v>
      </c>
      <c r="K263" s="15">
        <v>45894</v>
      </c>
    </row>
    <row r="264" spans="1:11" x14ac:dyDescent="0.25">
      <c r="A264" s="39"/>
      <c r="B264" s="18" t="s">
        <v>43</v>
      </c>
      <c r="C264" s="7">
        <v>23853.8</v>
      </c>
      <c r="D264" s="8">
        <v>2978.5</v>
      </c>
      <c r="E264" s="9">
        <v>0</v>
      </c>
      <c r="F264" s="10">
        <v>-21.81</v>
      </c>
      <c r="G264" s="11">
        <v>28704</v>
      </c>
      <c r="H264" s="12">
        <v>7.0625714039542098E-2</v>
      </c>
      <c r="I264" s="13">
        <v>7.0625714039542098E-2</v>
      </c>
      <c r="J264" s="14">
        <v>8.9515152329379243E-3</v>
      </c>
      <c r="K264" s="15">
        <v>45894</v>
      </c>
    </row>
    <row r="265" spans="1:11" x14ac:dyDescent="0.25">
      <c r="A265" s="39"/>
      <c r="B265" s="18" t="s">
        <v>44</v>
      </c>
      <c r="C265" s="7">
        <v>29680</v>
      </c>
      <c r="D265" s="8">
        <v>10706</v>
      </c>
      <c r="E265" s="9">
        <v>0</v>
      </c>
      <c r="F265" s="10">
        <v>0</v>
      </c>
      <c r="G265" s="11">
        <v>48686</v>
      </c>
      <c r="H265" s="12">
        <v>0.20551676323478429</v>
      </c>
      <c r="I265" s="13">
        <v>0.20551676323478429</v>
      </c>
      <c r="J265" s="14">
        <v>1.5183022248843915E-2</v>
      </c>
      <c r="K265" s="15">
        <v>45894</v>
      </c>
    </row>
    <row r="266" spans="1:11" ht="16.5" thickBot="1" x14ac:dyDescent="0.3">
      <c r="A266" s="39"/>
      <c r="B266" s="20" t="s">
        <v>23</v>
      </c>
      <c r="C266" s="21">
        <f t="shared" ref="C266:G266" si="7">SUM(C234:C265)</f>
        <v>2948741.84</v>
      </c>
      <c r="D266" s="22">
        <f t="shared" si="7"/>
        <v>223294.64</v>
      </c>
      <c r="E266" s="23">
        <f t="shared" si="7"/>
        <v>-103041.63999999998</v>
      </c>
      <c r="F266" s="24">
        <f t="shared" si="7"/>
        <v>-69.22</v>
      </c>
      <c r="G266" s="11">
        <f t="shared" si="7"/>
        <v>3206607.96</v>
      </c>
      <c r="H266" s="25">
        <f>(G266/(C266+D266+E266+F266))-1</f>
        <v>4.4863368177688212E-2</v>
      </c>
      <c r="I266" s="13"/>
      <c r="J266" s="14"/>
      <c r="K266" s="15">
        <v>45894</v>
      </c>
    </row>
    <row r="267" spans="1:11" ht="16.5" thickTop="1" x14ac:dyDescent="0.25">
      <c r="A267" s="38">
        <v>45927</v>
      </c>
      <c r="B267" s="18" t="s">
        <v>11</v>
      </c>
      <c r="C267" s="7">
        <v>32076.170000000002</v>
      </c>
      <c r="D267" s="8">
        <v>0</v>
      </c>
      <c r="E267" s="9">
        <v>0</v>
      </c>
      <c r="F267" s="10">
        <v>0</v>
      </c>
      <c r="G267" s="11">
        <v>32466.800000000003</v>
      </c>
      <c r="H267" s="12">
        <v>1.2178199579313986E-2</v>
      </c>
      <c r="I267" s="13">
        <v>1.2178199579313986E-2</v>
      </c>
      <c r="J267" s="14">
        <v>9.2074280906553289E-3</v>
      </c>
      <c r="K267" s="15">
        <v>45925</v>
      </c>
    </row>
    <row r="268" spans="1:11" x14ac:dyDescent="0.25">
      <c r="A268" s="39"/>
      <c r="B268" s="18" t="s">
        <v>12</v>
      </c>
      <c r="C268" s="7">
        <v>143982.40000000002</v>
      </c>
      <c r="D268" s="8">
        <v>0</v>
      </c>
      <c r="E268" s="9">
        <v>0</v>
      </c>
      <c r="F268" s="10">
        <v>0</v>
      </c>
      <c r="G268" s="11">
        <v>145759.47</v>
      </c>
      <c r="H268" s="12">
        <v>1.2342272388847331E-2</v>
      </c>
      <c r="I268" s="13">
        <v>1.2342272388847331E-2</v>
      </c>
      <c r="J268" s="14">
        <v>4.1336683583138238E-2</v>
      </c>
      <c r="K268" s="15">
        <v>45925</v>
      </c>
    </row>
    <row r="269" spans="1:11" x14ac:dyDescent="0.25">
      <c r="A269" s="39"/>
      <c r="B269" s="18" t="s">
        <v>13</v>
      </c>
      <c r="C269" s="7">
        <v>7744</v>
      </c>
      <c r="D269" s="8">
        <v>0</v>
      </c>
      <c r="E269" s="9">
        <v>-6141.7199999999993</v>
      </c>
      <c r="F269" s="10">
        <v>0</v>
      </c>
      <c r="G269" s="11">
        <v>1602.2800000000007</v>
      </c>
      <c r="H269" s="12">
        <v>0</v>
      </c>
      <c r="I269" s="13">
        <v>0</v>
      </c>
      <c r="J269" s="14">
        <v>4.5439888997669082E-4</v>
      </c>
      <c r="K269" s="15">
        <v>45925</v>
      </c>
    </row>
    <row r="270" spans="1:11" x14ac:dyDescent="0.25">
      <c r="A270" s="39"/>
      <c r="B270" s="18" t="s">
        <v>24</v>
      </c>
      <c r="C270" s="7">
        <v>0</v>
      </c>
      <c r="D270" s="8">
        <v>0</v>
      </c>
      <c r="E270" s="9">
        <v>0</v>
      </c>
      <c r="F270" s="10">
        <v>0</v>
      </c>
      <c r="G270" s="11">
        <v>0</v>
      </c>
      <c r="H270" s="12" t="s">
        <v>14</v>
      </c>
      <c r="I270" s="13" t="s">
        <v>14</v>
      </c>
      <c r="J270" s="14">
        <v>0</v>
      </c>
      <c r="K270" s="15">
        <v>45925</v>
      </c>
    </row>
    <row r="271" spans="1:11" x14ac:dyDescent="0.25">
      <c r="A271" s="39"/>
      <c r="B271" s="18" t="s">
        <v>15</v>
      </c>
      <c r="C271" s="7">
        <v>110198.51</v>
      </c>
      <c r="D271" s="8">
        <v>0</v>
      </c>
      <c r="E271" s="9">
        <v>0</v>
      </c>
      <c r="F271" s="10">
        <v>0</v>
      </c>
      <c r="G271" s="11">
        <v>111545</v>
      </c>
      <c r="H271" s="12">
        <v>1.221876774921915E-2</v>
      </c>
      <c r="I271" s="13">
        <v>1.221876774921915E-2</v>
      </c>
      <c r="J271" s="14">
        <v>3.1633624698835384E-2</v>
      </c>
      <c r="K271" s="15">
        <v>45925</v>
      </c>
    </row>
    <row r="272" spans="1:11" x14ac:dyDescent="0.25">
      <c r="A272" s="39"/>
      <c r="B272" s="18" t="s">
        <v>25</v>
      </c>
      <c r="C272" s="7">
        <v>0</v>
      </c>
      <c r="D272" s="8">
        <v>0</v>
      </c>
      <c r="E272" s="9">
        <v>0</v>
      </c>
      <c r="F272" s="10">
        <v>0</v>
      </c>
      <c r="G272" s="11">
        <v>0</v>
      </c>
      <c r="H272" s="12" t="s">
        <v>14</v>
      </c>
      <c r="I272" s="13" t="s">
        <v>14</v>
      </c>
      <c r="J272" s="14">
        <v>0</v>
      </c>
      <c r="K272" s="15">
        <v>45925</v>
      </c>
    </row>
    <row r="273" spans="1:11" x14ac:dyDescent="0.25">
      <c r="A273" s="39"/>
      <c r="B273" s="18" t="s">
        <v>16</v>
      </c>
      <c r="C273" s="7">
        <v>181601.94</v>
      </c>
      <c r="D273" s="8">
        <v>0</v>
      </c>
      <c r="E273" s="9">
        <v>0</v>
      </c>
      <c r="F273" s="10">
        <v>0</v>
      </c>
      <c r="G273" s="11">
        <v>183770.81</v>
      </c>
      <c r="H273" s="12">
        <v>1.1942989155292016E-2</v>
      </c>
      <c r="I273" s="13">
        <v>1.1942989155292016E-2</v>
      </c>
      <c r="J273" s="14">
        <v>5.2116516510296154E-2</v>
      </c>
      <c r="K273" s="15">
        <v>45925</v>
      </c>
    </row>
    <row r="274" spans="1:11" x14ac:dyDescent="0.25">
      <c r="A274" s="39"/>
      <c r="B274" s="18" t="s">
        <v>26</v>
      </c>
      <c r="C274" s="7">
        <v>223389.69</v>
      </c>
      <c r="D274" s="8">
        <v>0</v>
      </c>
      <c r="E274" s="9">
        <v>0</v>
      </c>
      <c r="F274" s="10">
        <v>0</v>
      </c>
      <c r="G274" s="11">
        <v>226100.88</v>
      </c>
      <c r="H274" s="12">
        <v>1.2136594128403955E-2</v>
      </c>
      <c r="I274" s="13">
        <v>1.2136594128403955E-2</v>
      </c>
      <c r="J274" s="14">
        <v>6.4121120462561437E-2</v>
      </c>
      <c r="K274" s="15">
        <v>45925</v>
      </c>
    </row>
    <row r="275" spans="1:11" x14ac:dyDescent="0.25">
      <c r="A275" s="39"/>
      <c r="B275" s="18" t="s">
        <v>27</v>
      </c>
      <c r="C275" s="7">
        <v>217106.44</v>
      </c>
      <c r="D275" s="8">
        <v>0</v>
      </c>
      <c r="E275" s="9">
        <v>0</v>
      </c>
      <c r="F275" s="30">
        <v>0</v>
      </c>
      <c r="G275" s="11">
        <v>219754.99</v>
      </c>
      <c r="H275" s="12">
        <v>1.2199315690497148E-2</v>
      </c>
      <c r="I275" s="13">
        <v>1.2199315690497148E-2</v>
      </c>
      <c r="J275" s="14">
        <v>6.2321456626082052E-2</v>
      </c>
      <c r="K275" s="15">
        <v>45925</v>
      </c>
    </row>
    <row r="276" spans="1:11" x14ac:dyDescent="0.25">
      <c r="A276" s="39"/>
      <c r="B276" s="18" t="s">
        <v>17</v>
      </c>
      <c r="C276" s="7">
        <v>95224</v>
      </c>
      <c r="D276" s="8">
        <v>42000</v>
      </c>
      <c r="E276" s="9">
        <v>-22934.7</v>
      </c>
      <c r="F276" s="10">
        <v>0</v>
      </c>
      <c r="G276" s="11">
        <v>112901.82</v>
      </c>
      <c r="H276" s="12">
        <v>-1.214006910533183E-2</v>
      </c>
      <c r="I276" s="13">
        <v>-1.214006910533183E-2</v>
      </c>
      <c r="J276" s="14">
        <v>3.2018412315168471E-2</v>
      </c>
      <c r="K276" s="15">
        <v>45925</v>
      </c>
    </row>
    <row r="277" spans="1:11" x14ac:dyDescent="0.25">
      <c r="A277" s="39"/>
      <c r="B277" s="18" t="s">
        <v>18</v>
      </c>
      <c r="C277" s="7">
        <v>157643.89000000001</v>
      </c>
      <c r="D277" s="8">
        <v>19276.7</v>
      </c>
      <c r="E277" s="9">
        <v>-28398.14</v>
      </c>
      <c r="F277" s="10">
        <v>0</v>
      </c>
      <c r="G277" s="11">
        <v>148177</v>
      </c>
      <c r="H277" s="12">
        <v>-2.3259109986403237E-3</v>
      </c>
      <c r="I277" s="13">
        <v>-2.3259109986403237E-3</v>
      </c>
      <c r="J277" s="14">
        <v>4.2022283446136809E-2</v>
      </c>
      <c r="K277" s="15">
        <v>45925</v>
      </c>
    </row>
    <row r="278" spans="1:11" x14ac:dyDescent="0.25">
      <c r="A278" s="39"/>
      <c r="B278" s="18" t="s">
        <v>28</v>
      </c>
      <c r="C278" s="7">
        <v>163762</v>
      </c>
      <c r="D278" s="8">
        <v>0</v>
      </c>
      <c r="E278" s="9">
        <v>-37515</v>
      </c>
      <c r="F278" s="10">
        <v>0</v>
      </c>
      <c r="G278" s="11">
        <v>182101.5</v>
      </c>
      <c r="H278" s="12">
        <v>0.44242239419550566</v>
      </c>
      <c r="I278" s="13">
        <v>0.44242239419550566</v>
      </c>
      <c r="J278" s="14">
        <v>5.16431082351963E-2</v>
      </c>
      <c r="K278" s="15">
        <v>45925</v>
      </c>
    </row>
    <row r="279" spans="1:11" x14ac:dyDescent="0.25">
      <c r="A279" s="39"/>
      <c r="B279" s="18" t="s">
        <v>29</v>
      </c>
      <c r="C279" s="7">
        <v>0</v>
      </c>
      <c r="D279" s="8">
        <v>0</v>
      </c>
      <c r="E279" s="9">
        <v>0</v>
      </c>
      <c r="F279" s="10">
        <v>0</v>
      </c>
      <c r="G279" s="11">
        <v>0</v>
      </c>
      <c r="H279" s="12" t="s">
        <v>14</v>
      </c>
      <c r="I279" s="13" t="s">
        <v>14</v>
      </c>
      <c r="J279" s="14">
        <v>0</v>
      </c>
      <c r="K279" s="15">
        <v>45925</v>
      </c>
    </row>
    <row r="280" spans="1:11" x14ac:dyDescent="0.25">
      <c r="A280" s="39"/>
      <c r="B280" s="18" t="s">
        <v>19</v>
      </c>
      <c r="C280" s="7">
        <v>222205.9</v>
      </c>
      <c r="D280" s="8">
        <v>0</v>
      </c>
      <c r="E280" s="9">
        <v>0</v>
      </c>
      <c r="F280" s="10">
        <v>0</v>
      </c>
      <c r="G280" s="11">
        <v>223964.33</v>
      </c>
      <c r="H280" s="12">
        <v>7.9135162477683707E-3</v>
      </c>
      <c r="I280" s="13">
        <v>7.9135162477683707E-3</v>
      </c>
      <c r="J280" s="14">
        <v>6.3515205174110162E-2</v>
      </c>
      <c r="K280" s="15">
        <v>45925</v>
      </c>
    </row>
    <row r="281" spans="1:11" x14ac:dyDescent="0.25">
      <c r="A281" s="39"/>
      <c r="B281" s="18" t="s">
        <v>30</v>
      </c>
      <c r="C281" s="7">
        <v>60534.559999999998</v>
      </c>
      <c r="D281" s="8">
        <v>0</v>
      </c>
      <c r="E281" s="9">
        <v>0</v>
      </c>
      <c r="F281" s="10">
        <v>0</v>
      </c>
      <c r="G281" s="11">
        <v>60846.25</v>
      </c>
      <c r="H281" s="12">
        <v>5.1489595365028507E-3</v>
      </c>
      <c r="I281" s="13">
        <v>5.1489595365028507E-3</v>
      </c>
      <c r="J281" s="14">
        <v>1.7255703409668855E-2</v>
      </c>
      <c r="K281" s="15">
        <v>45925</v>
      </c>
    </row>
    <row r="282" spans="1:11" x14ac:dyDescent="0.25">
      <c r="A282" s="39"/>
      <c r="B282" s="18" t="s">
        <v>31</v>
      </c>
      <c r="C282" s="7">
        <v>0</v>
      </c>
      <c r="D282" s="8">
        <v>0</v>
      </c>
      <c r="E282" s="9">
        <v>0</v>
      </c>
      <c r="F282" s="10">
        <v>0</v>
      </c>
      <c r="G282" s="11">
        <v>0</v>
      </c>
      <c r="H282" s="12" t="s">
        <v>14</v>
      </c>
      <c r="I282" s="13" t="s">
        <v>14</v>
      </c>
      <c r="J282" s="14">
        <v>0</v>
      </c>
      <c r="K282" s="15">
        <v>45925</v>
      </c>
    </row>
    <row r="283" spans="1:11" x14ac:dyDescent="0.25">
      <c r="A283" s="39"/>
      <c r="B283" s="18" t="s">
        <v>32</v>
      </c>
      <c r="C283" s="31">
        <v>0</v>
      </c>
      <c r="D283" s="8">
        <v>0</v>
      </c>
      <c r="E283" s="9">
        <v>0</v>
      </c>
      <c r="F283" s="10">
        <v>0</v>
      </c>
      <c r="G283" s="11">
        <v>0</v>
      </c>
      <c r="H283" s="12" t="s">
        <v>14</v>
      </c>
      <c r="I283" s="28" t="s">
        <v>14</v>
      </c>
      <c r="J283" s="14">
        <v>0</v>
      </c>
      <c r="K283" s="15">
        <v>45925</v>
      </c>
    </row>
    <row r="284" spans="1:11" x14ac:dyDescent="0.25">
      <c r="A284" s="39"/>
      <c r="B284" s="18" t="s">
        <v>33</v>
      </c>
      <c r="C284" s="7">
        <v>62400</v>
      </c>
      <c r="D284" s="8">
        <v>0</v>
      </c>
      <c r="E284" s="9">
        <v>0</v>
      </c>
      <c r="F284" s="10">
        <v>0</v>
      </c>
      <c r="G284" s="11">
        <v>67760</v>
      </c>
      <c r="H284" s="12">
        <v>8.5897435897435814E-2</v>
      </c>
      <c r="I284" s="13">
        <v>8.5897435897435814E-2</v>
      </c>
      <c r="J284" s="14">
        <v>1.9216409606823127E-2</v>
      </c>
      <c r="K284" s="15">
        <v>45925</v>
      </c>
    </row>
    <row r="285" spans="1:11" x14ac:dyDescent="0.25">
      <c r="A285" s="39"/>
      <c r="B285" s="18" t="s">
        <v>34</v>
      </c>
      <c r="C285" s="7">
        <v>663869.5</v>
      </c>
      <c r="D285" s="8">
        <v>0</v>
      </c>
      <c r="E285" s="9">
        <v>-65880</v>
      </c>
      <c r="F285" s="10">
        <v>0</v>
      </c>
      <c r="G285" s="11">
        <v>792899.25000000012</v>
      </c>
      <c r="H285" s="12">
        <v>0.32594175984695406</v>
      </c>
      <c r="I285" s="13">
        <v>0.32594175984695406</v>
      </c>
      <c r="J285" s="14">
        <v>0.22486240798321802</v>
      </c>
      <c r="K285" s="15">
        <v>45925</v>
      </c>
    </row>
    <row r="286" spans="1:11" x14ac:dyDescent="0.25">
      <c r="A286" s="39"/>
      <c r="B286" s="18" t="s">
        <v>35</v>
      </c>
      <c r="C286" s="7">
        <v>0</v>
      </c>
      <c r="D286" s="8">
        <v>0</v>
      </c>
      <c r="E286" s="9">
        <v>0</v>
      </c>
      <c r="F286" s="10">
        <v>0</v>
      </c>
      <c r="G286" s="11">
        <v>0</v>
      </c>
      <c r="H286" s="12" t="s">
        <v>14</v>
      </c>
      <c r="I286" s="13" t="s">
        <v>14</v>
      </c>
      <c r="J286" s="14">
        <v>0</v>
      </c>
      <c r="K286" s="15">
        <v>45925</v>
      </c>
    </row>
    <row r="287" spans="1:11" x14ac:dyDescent="0.25">
      <c r="A287" s="39"/>
      <c r="B287" s="18" t="s">
        <v>20</v>
      </c>
      <c r="C287" s="7">
        <v>109200</v>
      </c>
      <c r="D287" s="8">
        <v>0</v>
      </c>
      <c r="E287" s="9">
        <v>0</v>
      </c>
      <c r="F287" s="10">
        <v>0</v>
      </c>
      <c r="G287" s="11">
        <v>116130</v>
      </c>
      <c r="H287" s="12">
        <v>6.3461538461538458E-2</v>
      </c>
      <c r="I287" s="13">
        <v>6.3461538461538458E-2</v>
      </c>
      <c r="J287" s="14">
        <v>3.2933908613346656E-2</v>
      </c>
      <c r="K287" s="15">
        <v>45925</v>
      </c>
    </row>
    <row r="288" spans="1:11" x14ac:dyDescent="0.25">
      <c r="A288" s="39"/>
      <c r="B288" s="18" t="s">
        <v>36</v>
      </c>
      <c r="C288" s="7">
        <v>31854.399999999998</v>
      </c>
      <c r="D288" s="8">
        <v>0</v>
      </c>
      <c r="E288" s="9">
        <v>0</v>
      </c>
      <c r="F288" s="10">
        <v>0</v>
      </c>
      <c r="G288" s="11">
        <v>40364.1</v>
      </c>
      <c r="H288" s="12">
        <v>0.26714362850971929</v>
      </c>
      <c r="I288" s="28">
        <v>0.26714362850971929</v>
      </c>
      <c r="J288" s="14">
        <v>1.1447064330147127E-2</v>
      </c>
      <c r="K288" s="15">
        <v>45925</v>
      </c>
    </row>
    <row r="289" spans="1:11" x14ac:dyDescent="0.25">
      <c r="A289" s="39"/>
      <c r="B289" s="18" t="s">
        <v>21</v>
      </c>
      <c r="C289" s="7">
        <v>163494.56</v>
      </c>
      <c r="D289" s="8">
        <v>0</v>
      </c>
      <c r="E289" s="9">
        <v>-78597.489999999991</v>
      </c>
      <c r="F289" s="10">
        <v>0</v>
      </c>
      <c r="G289" s="11">
        <v>119965.86</v>
      </c>
      <c r="H289" s="12">
        <v>0.41307420856809296</v>
      </c>
      <c r="I289" s="13">
        <v>0.41307420856809296</v>
      </c>
      <c r="J289" s="14">
        <v>3.4021740032390765E-2</v>
      </c>
      <c r="K289" s="15">
        <v>45925</v>
      </c>
    </row>
    <row r="290" spans="1:11" x14ac:dyDescent="0.25">
      <c r="A290" s="39"/>
      <c r="B290" s="18" t="s">
        <v>22</v>
      </c>
      <c r="C290" s="7">
        <v>350028</v>
      </c>
      <c r="D290" s="8">
        <v>0</v>
      </c>
      <c r="E290" s="9">
        <v>0</v>
      </c>
      <c r="F290" s="10">
        <v>0</v>
      </c>
      <c r="G290" s="11">
        <v>363195</v>
      </c>
      <c r="H290" s="12">
        <v>3.7616990640748638E-2</v>
      </c>
      <c r="I290" s="13">
        <v>3.7616990640748638E-2</v>
      </c>
      <c r="J290" s="14">
        <v>0.10300035252582829</v>
      </c>
      <c r="K290" s="15">
        <v>45925</v>
      </c>
    </row>
    <row r="291" spans="1:11" x14ac:dyDescent="0.25">
      <c r="A291" s="39"/>
      <c r="B291" s="18" t="s">
        <v>37</v>
      </c>
      <c r="C291" s="7">
        <v>21636</v>
      </c>
      <c r="D291" s="8">
        <v>34615</v>
      </c>
      <c r="E291" s="9">
        <v>0</v>
      </c>
      <c r="F291" s="10">
        <v>0</v>
      </c>
      <c r="G291" s="11">
        <v>60420</v>
      </c>
      <c r="H291" s="12">
        <v>7.4114237969102881E-2</v>
      </c>
      <c r="I291" s="13">
        <v>7.4114237969102881E-2</v>
      </c>
      <c r="J291" s="14">
        <v>1.7134820962872686E-2</v>
      </c>
      <c r="K291" s="15">
        <v>45925</v>
      </c>
    </row>
    <row r="292" spans="1:11" x14ac:dyDescent="0.25">
      <c r="A292" s="39"/>
      <c r="B292" s="18" t="s">
        <v>38</v>
      </c>
      <c r="C292" s="7">
        <v>37660</v>
      </c>
      <c r="D292" s="8">
        <v>25419</v>
      </c>
      <c r="E292" s="9">
        <v>0</v>
      </c>
      <c r="F292" s="10">
        <v>0</v>
      </c>
      <c r="G292" s="11">
        <v>62253.999999999993</v>
      </c>
      <c r="H292" s="12">
        <v>-1.3078837648028752E-2</v>
      </c>
      <c r="I292" s="28">
        <v>-1.3078837648028752E-2</v>
      </c>
      <c r="J292" s="14">
        <v>1.7654934528677193E-2</v>
      </c>
      <c r="K292" s="15">
        <v>45925</v>
      </c>
    </row>
    <row r="293" spans="1:11" x14ac:dyDescent="0.25">
      <c r="A293" s="39"/>
      <c r="B293" s="18" t="s">
        <v>39</v>
      </c>
      <c r="C293" s="7"/>
      <c r="D293" s="8"/>
      <c r="E293" s="9"/>
      <c r="F293" s="10"/>
      <c r="G293" s="11"/>
      <c r="H293" s="12"/>
      <c r="I293" s="13"/>
      <c r="J293" s="14">
        <v>0</v>
      </c>
      <c r="K293" s="15">
        <v>45925</v>
      </c>
    </row>
    <row r="294" spans="1:11" x14ac:dyDescent="0.25">
      <c r="A294" s="39"/>
      <c r="B294" s="18" t="s">
        <v>40</v>
      </c>
      <c r="C294" s="7">
        <v>0</v>
      </c>
      <c r="D294" s="8">
        <v>0</v>
      </c>
      <c r="E294" s="9">
        <v>0</v>
      </c>
      <c r="F294" s="10">
        <v>0</v>
      </c>
      <c r="G294" s="11">
        <v>0</v>
      </c>
      <c r="H294" s="12" t="s">
        <v>14</v>
      </c>
      <c r="I294" s="28" t="s">
        <v>14</v>
      </c>
      <c r="J294" s="14">
        <v>0</v>
      </c>
      <c r="K294" s="15">
        <v>45925</v>
      </c>
    </row>
    <row r="295" spans="1:11" x14ac:dyDescent="0.25">
      <c r="A295" s="39"/>
      <c r="B295" s="18" t="s">
        <v>41</v>
      </c>
      <c r="C295" s="7">
        <v>0</v>
      </c>
      <c r="D295" s="8">
        <v>35107.030000000006</v>
      </c>
      <c r="E295" s="9">
        <v>0</v>
      </c>
      <c r="F295" s="10">
        <v>0</v>
      </c>
      <c r="G295" s="11">
        <v>41154</v>
      </c>
      <c r="H295" s="12">
        <v>0.17224384973607831</v>
      </c>
      <c r="I295" s="28">
        <v>0.17224384973607831</v>
      </c>
      <c r="J295" s="14">
        <v>1.1671076165277433E-2</v>
      </c>
      <c r="K295" s="15">
        <v>45925</v>
      </c>
    </row>
    <row r="296" spans="1:11" x14ac:dyDescent="0.25">
      <c r="A296" s="39"/>
      <c r="B296" s="18" t="s">
        <v>42</v>
      </c>
      <c r="C296" s="7">
        <v>73606</v>
      </c>
      <c r="D296" s="8">
        <v>0</v>
      </c>
      <c r="E296" s="9">
        <v>0</v>
      </c>
      <c r="F296" s="10">
        <v>0</v>
      </c>
      <c r="G296" s="11">
        <v>96109.000000000015</v>
      </c>
      <c r="H296" s="12">
        <v>0.30572235959025096</v>
      </c>
      <c r="I296" s="13">
        <v>0.30572235959025096</v>
      </c>
      <c r="J296" s="14">
        <v>2.7256049452511276E-2</v>
      </c>
      <c r="K296" s="15">
        <v>45925</v>
      </c>
    </row>
    <row r="297" spans="1:11" x14ac:dyDescent="0.25">
      <c r="A297" s="39"/>
      <c r="B297" s="18" t="s">
        <v>43</v>
      </c>
      <c r="C297" s="7">
        <v>28704</v>
      </c>
      <c r="D297" s="8">
        <v>19613.939999999999</v>
      </c>
      <c r="E297" s="9">
        <v>0</v>
      </c>
      <c r="F297" s="10">
        <v>0</v>
      </c>
      <c r="G297" s="11">
        <v>51768.640000000007</v>
      </c>
      <c r="H297" s="12">
        <v>7.1416538039494215E-2</v>
      </c>
      <c r="I297" s="13">
        <v>7.1416538039494215E-2</v>
      </c>
      <c r="J297" s="14">
        <v>1.468133693961287E-2</v>
      </c>
      <c r="K297" s="15">
        <v>45925</v>
      </c>
    </row>
    <row r="298" spans="1:11" x14ac:dyDescent="0.25">
      <c r="A298" s="39"/>
      <c r="B298" s="18" t="s">
        <v>44</v>
      </c>
      <c r="C298" s="7">
        <v>48686</v>
      </c>
      <c r="D298" s="8">
        <v>0</v>
      </c>
      <c r="E298" s="9">
        <v>0</v>
      </c>
      <c r="F298" s="10">
        <v>0</v>
      </c>
      <c r="G298" s="11">
        <v>65142</v>
      </c>
      <c r="H298" s="12">
        <v>0.33800271125169457</v>
      </c>
      <c r="I298" s="13">
        <v>0.33800271125169457</v>
      </c>
      <c r="J298" s="14">
        <v>1.8473957417468597E-2</v>
      </c>
      <c r="K298" s="15">
        <v>45925</v>
      </c>
    </row>
    <row r="299" spans="1:11" ht="16.5" thickBot="1" x14ac:dyDescent="0.3">
      <c r="A299" s="39"/>
      <c r="B299" s="20" t="s">
        <v>23</v>
      </c>
      <c r="C299" s="21">
        <f t="shared" ref="C299:G299" si="8">SUM(C267:C298)</f>
        <v>3206607.96</v>
      </c>
      <c r="D299" s="22">
        <f t="shared" si="8"/>
        <v>176031.67</v>
      </c>
      <c r="E299" s="23">
        <f t="shared" si="8"/>
        <v>-239467.05</v>
      </c>
      <c r="F299" s="24">
        <f t="shared" si="8"/>
        <v>0</v>
      </c>
      <c r="G299" s="11">
        <f t="shared" si="8"/>
        <v>3526152.9800000004</v>
      </c>
      <c r="H299" s="25">
        <f>(G299/(C299+D299+E299+F299))-1</f>
        <v>0.12184517084327595</v>
      </c>
      <c r="I299" s="13"/>
      <c r="J299" s="14"/>
      <c r="K299" s="15">
        <v>45925</v>
      </c>
    </row>
    <row r="300" spans="1:11" ht="16.5" thickTop="1" x14ac:dyDescent="0.25">
      <c r="A300" s="38">
        <v>45957</v>
      </c>
      <c r="B300" s="18" t="s">
        <v>11</v>
      </c>
      <c r="C300" s="7">
        <v>32466.800000000003</v>
      </c>
      <c r="D300" s="8">
        <v>0</v>
      </c>
      <c r="E300" s="9">
        <v>0</v>
      </c>
      <c r="F300" s="10">
        <v>0</v>
      </c>
      <c r="G300" s="11">
        <v>32881.729999999996</v>
      </c>
      <c r="H300" s="12">
        <v>1.278013231978492E-2</v>
      </c>
      <c r="I300" s="13">
        <v>1.278013231978492E-2</v>
      </c>
      <c r="J300" s="14">
        <v>9.5715028132071795E-3</v>
      </c>
      <c r="K300" s="15">
        <v>45955</v>
      </c>
    </row>
    <row r="301" spans="1:11" x14ac:dyDescent="0.25">
      <c r="A301" s="39"/>
      <c r="B301" s="18" t="s">
        <v>12</v>
      </c>
      <c r="C301" s="7">
        <v>145759.47</v>
      </c>
      <c r="D301" s="8">
        <v>0</v>
      </c>
      <c r="E301" s="9">
        <v>0</v>
      </c>
      <c r="F301" s="10">
        <v>0</v>
      </c>
      <c r="G301" s="11">
        <v>147643.85</v>
      </c>
      <c r="H301" s="12">
        <v>1.2928010783793464E-2</v>
      </c>
      <c r="I301" s="13">
        <v>1.2928010783793464E-2</v>
      </c>
      <c r="J301" s="14">
        <v>4.2977468814072099E-2</v>
      </c>
      <c r="K301" s="15">
        <v>45955</v>
      </c>
    </row>
    <row r="302" spans="1:11" x14ac:dyDescent="0.25">
      <c r="A302" s="39"/>
      <c r="B302" s="18" t="s">
        <v>13</v>
      </c>
      <c r="C302" s="7">
        <v>1602.2800000000007</v>
      </c>
      <c r="D302" s="8">
        <v>0</v>
      </c>
      <c r="E302" s="9">
        <v>37559.24</v>
      </c>
      <c r="F302" s="10">
        <v>0</v>
      </c>
      <c r="G302" s="11">
        <v>39161.519999999997</v>
      </c>
      <c r="H302" s="12">
        <v>0</v>
      </c>
      <c r="I302" s="13">
        <v>0</v>
      </c>
      <c r="J302" s="14">
        <v>1.1399479250315273E-2</v>
      </c>
      <c r="K302" s="15">
        <v>45955</v>
      </c>
    </row>
    <row r="303" spans="1:11" x14ac:dyDescent="0.25">
      <c r="A303" s="39"/>
      <c r="B303" s="18" t="s">
        <v>24</v>
      </c>
      <c r="C303" s="7">
        <v>0</v>
      </c>
      <c r="D303" s="8">
        <v>0</v>
      </c>
      <c r="E303" s="9">
        <v>0</v>
      </c>
      <c r="F303" s="10">
        <v>0</v>
      </c>
      <c r="G303" s="11">
        <v>0</v>
      </c>
      <c r="H303" s="12" t="s">
        <v>14</v>
      </c>
      <c r="I303" s="13" t="s">
        <v>14</v>
      </c>
      <c r="J303" s="14">
        <v>0</v>
      </c>
      <c r="K303" s="15">
        <v>45955</v>
      </c>
    </row>
    <row r="304" spans="1:11" x14ac:dyDescent="0.25">
      <c r="A304" s="39"/>
      <c r="B304" s="18" t="s">
        <v>15</v>
      </c>
      <c r="C304" s="7">
        <v>111545</v>
      </c>
      <c r="D304" s="8">
        <v>0</v>
      </c>
      <c r="E304" s="9">
        <v>0</v>
      </c>
      <c r="F304" s="10">
        <v>0</v>
      </c>
      <c r="G304" s="11">
        <v>112970.81</v>
      </c>
      <c r="H304" s="12">
        <v>1.2782374826303178E-2</v>
      </c>
      <c r="I304" s="13">
        <v>1.2782374826303178E-2</v>
      </c>
      <c r="J304" s="14">
        <v>3.2884535750560988E-2</v>
      </c>
      <c r="K304" s="15">
        <v>45955</v>
      </c>
    </row>
    <row r="305" spans="1:11" x14ac:dyDescent="0.25">
      <c r="A305" s="39"/>
      <c r="B305" s="18" t="s">
        <v>25</v>
      </c>
      <c r="C305" s="7">
        <v>0</v>
      </c>
      <c r="D305" s="8">
        <v>0</v>
      </c>
      <c r="E305" s="9">
        <v>0</v>
      </c>
      <c r="F305" s="10">
        <v>0</v>
      </c>
      <c r="G305" s="11">
        <v>0</v>
      </c>
      <c r="H305" s="12" t="s">
        <v>14</v>
      </c>
      <c r="I305" s="13" t="s">
        <v>14</v>
      </c>
      <c r="J305" s="14">
        <v>0</v>
      </c>
      <c r="K305" s="15">
        <v>45955</v>
      </c>
    </row>
    <row r="306" spans="1:11" x14ac:dyDescent="0.25">
      <c r="A306" s="39"/>
      <c r="B306" s="18" t="s">
        <v>16</v>
      </c>
      <c r="C306" s="7">
        <v>183770.81</v>
      </c>
      <c r="D306" s="8">
        <v>0</v>
      </c>
      <c r="E306" s="9">
        <v>0</v>
      </c>
      <c r="F306" s="10">
        <v>0</v>
      </c>
      <c r="G306" s="11">
        <v>185883.39</v>
      </c>
      <c r="H306" s="12">
        <v>1.1495732102394296E-2</v>
      </c>
      <c r="I306" s="13">
        <v>1.1495732102394296E-2</v>
      </c>
      <c r="J306" s="14">
        <v>5.4108570026987254E-2</v>
      </c>
      <c r="K306" s="15">
        <v>45955</v>
      </c>
    </row>
    <row r="307" spans="1:11" x14ac:dyDescent="0.25">
      <c r="A307" s="39"/>
      <c r="B307" s="18" t="s">
        <v>26</v>
      </c>
      <c r="C307" s="7">
        <v>226100.88</v>
      </c>
      <c r="D307" s="8">
        <v>0</v>
      </c>
      <c r="E307" s="9">
        <v>0</v>
      </c>
      <c r="F307" s="10">
        <v>0</v>
      </c>
      <c r="G307" s="11">
        <v>228985.43</v>
      </c>
      <c r="H307" s="12">
        <v>1.2757800854202639E-2</v>
      </c>
      <c r="I307" s="13">
        <v>1.2757800854202639E-2</v>
      </c>
      <c r="J307" s="14">
        <v>6.6655090453831223E-2</v>
      </c>
      <c r="K307" s="15">
        <v>45955</v>
      </c>
    </row>
    <row r="308" spans="1:11" x14ac:dyDescent="0.25">
      <c r="A308" s="39"/>
      <c r="B308" s="18" t="s">
        <v>27</v>
      </c>
      <c r="C308" s="7">
        <v>219754.99</v>
      </c>
      <c r="D308" s="8">
        <v>0</v>
      </c>
      <c r="E308" s="9">
        <v>0</v>
      </c>
      <c r="F308" s="30">
        <v>0</v>
      </c>
      <c r="G308" s="11">
        <v>222558.47</v>
      </c>
      <c r="H308" s="12">
        <v>1.2757298480457813E-2</v>
      </c>
      <c r="I308" s="13">
        <v>1.2757298480457813E-2</v>
      </c>
      <c r="J308" s="14">
        <v>6.4784274480329529E-2</v>
      </c>
      <c r="K308" s="15">
        <v>45955</v>
      </c>
    </row>
    <row r="309" spans="1:11" x14ac:dyDescent="0.25">
      <c r="A309" s="39"/>
      <c r="B309" s="18" t="s">
        <v>17</v>
      </c>
      <c r="C309" s="7">
        <v>112901.82</v>
      </c>
      <c r="D309" s="8">
        <v>0</v>
      </c>
      <c r="E309" s="9">
        <v>-14911.45</v>
      </c>
      <c r="F309" s="10">
        <v>0</v>
      </c>
      <c r="G309" s="11">
        <v>97915.3</v>
      </c>
      <c r="H309" s="12">
        <v>-7.6609568879071333E-4</v>
      </c>
      <c r="I309" s="13">
        <v>-7.6609568879071333E-4</v>
      </c>
      <c r="J309" s="14">
        <v>2.8502045646808274E-2</v>
      </c>
      <c r="K309" s="15">
        <v>45955</v>
      </c>
    </row>
    <row r="310" spans="1:11" x14ac:dyDescent="0.25">
      <c r="A310" s="39"/>
      <c r="B310" s="18" t="s">
        <v>18</v>
      </c>
      <c r="C310" s="7">
        <v>148177</v>
      </c>
      <c r="D310" s="8">
        <v>14911.45</v>
      </c>
      <c r="E310" s="9">
        <v>0</v>
      </c>
      <c r="F310" s="10">
        <v>0</v>
      </c>
      <c r="G310" s="11">
        <v>163088.45000000001</v>
      </c>
      <c r="H310" s="12">
        <v>0</v>
      </c>
      <c r="I310" s="13">
        <v>0</v>
      </c>
      <c r="J310" s="14">
        <v>4.7473218652929715E-2</v>
      </c>
      <c r="K310" s="15">
        <v>45955</v>
      </c>
    </row>
    <row r="311" spans="1:11" x14ac:dyDescent="0.25">
      <c r="A311" s="39"/>
      <c r="B311" s="18" t="s">
        <v>28</v>
      </c>
      <c r="C311" s="7">
        <v>182101.5</v>
      </c>
      <c r="D311" s="8">
        <v>0</v>
      </c>
      <c r="E311" s="9">
        <v>-160184.5</v>
      </c>
      <c r="F311" s="10">
        <v>0</v>
      </c>
      <c r="G311" s="11">
        <v>53355</v>
      </c>
      <c r="H311" s="12">
        <v>1.4344116439293697</v>
      </c>
      <c r="I311" s="13">
        <v>1.4344116439293697</v>
      </c>
      <c r="J311" s="14">
        <v>1.5531042089289984E-2</v>
      </c>
      <c r="K311" s="15">
        <v>45955</v>
      </c>
    </row>
    <row r="312" spans="1:11" x14ac:dyDescent="0.25">
      <c r="A312" s="39"/>
      <c r="B312" s="18" t="s">
        <v>29</v>
      </c>
      <c r="C312" s="7">
        <v>0</v>
      </c>
      <c r="D312" s="8">
        <v>0</v>
      </c>
      <c r="E312" s="9">
        <v>0</v>
      </c>
      <c r="F312" s="10">
        <v>0</v>
      </c>
      <c r="G312" s="11">
        <v>0</v>
      </c>
      <c r="H312" s="12" t="s">
        <v>14</v>
      </c>
      <c r="I312" s="13" t="s">
        <v>14</v>
      </c>
      <c r="J312" s="14">
        <v>0</v>
      </c>
      <c r="K312" s="15">
        <v>45955</v>
      </c>
    </row>
    <row r="313" spans="1:11" x14ac:dyDescent="0.25">
      <c r="A313" s="39"/>
      <c r="B313" s="18" t="s">
        <v>19</v>
      </c>
      <c r="C313" s="7">
        <v>223964.33</v>
      </c>
      <c r="D313" s="8">
        <v>0</v>
      </c>
      <c r="E313" s="9">
        <v>0</v>
      </c>
      <c r="F313" s="10">
        <v>0</v>
      </c>
      <c r="G313" s="11">
        <v>226468.21</v>
      </c>
      <c r="H313" s="12">
        <v>1.1179816000163934E-2</v>
      </c>
      <c r="I313" s="13">
        <v>1.1179816000163934E-2</v>
      </c>
      <c r="J313" s="14">
        <v>6.5922355944075764E-2</v>
      </c>
      <c r="K313" s="15">
        <v>45955</v>
      </c>
    </row>
    <row r="314" spans="1:11" x14ac:dyDescent="0.25">
      <c r="A314" s="39"/>
      <c r="B314" s="18" t="s">
        <v>30</v>
      </c>
      <c r="C314" s="7">
        <v>60846.25</v>
      </c>
      <c r="D314" s="8">
        <v>0</v>
      </c>
      <c r="E314" s="9">
        <v>0</v>
      </c>
      <c r="F314" s="10">
        <v>0</v>
      </c>
      <c r="G314" s="11">
        <v>61291.33</v>
      </c>
      <c r="H314" s="12">
        <v>7.3148304127206298E-3</v>
      </c>
      <c r="I314" s="13">
        <v>7.3148304127206298E-3</v>
      </c>
      <c r="J314" s="14">
        <v>1.7841218741234406E-2</v>
      </c>
      <c r="K314" s="15">
        <v>45955</v>
      </c>
    </row>
    <row r="315" spans="1:11" x14ac:dyDescent="0.25">
      <c r="A315" s="39"/>
      <c r="B315" s="18" t="s">
        <v>31</v>
      </c>
      <c r="C315" s="7">
        <v>0</v>
      </c>
      <c r="D315" s="8">
        <v>106919</v>
      </c>
      <c r="E315" s="9">
        <v>0</v>
      </c>
      <c r="F315" s="10">
        <v>0</v>
      </c>
      <c r="G315" s="11">
        <v>104364</v>
      </c>
      <c r="H315" s="12">
        <v>-2.3896594618355915E-2</v>
      </c>
      <c r="I315" s="13">
        <v>-2.3896594618355915E-2</v>
      </c>
      <c r="J315" s="14">
        <v>3.0379189890481863E-2</v>
      </c>
      <c r="K315" s="15">
        <v>45955</v>
      </c>
    </row>
    <row r="316" spans="1:11" x14ac:dyDescent="0.25">
      <c r="A316" s="39"/>
      <c r="B316" s="18" t="s">
        <v>32</v>
      </c>
      <c r="C316" s="31">
        <v>0</v>
      </c>
      <c r="D316" s="8">
        <v>0</v>
      </c>
      <c r="E316" s="9">
        <v>0</v>
      </c>
      <c r="F316" s="10">
        <v>0</v>
      </c>
      <c r="G316" s="11">
        <v>0</v>
      </c>
      <c r="H316" s="12" t="s">
        <v>14</v>
      </c>
      <c r="I316" s="28" t="s">
        <v>14</v>
      </c>
      <c r="J316" s="14">
        <v>0</v>
      </c>
      <c r="K316" s="15">
        <v>45955</v>
      </c>
    </row>
    <row r="317" spans="1:11" x14ac:dyDescent="0.25">
      <c r="A317" s="39"/>
      <c r="B317" s="18" t="s">
        <v>33</v>
      </c>
      <c r="C317" s="7">
        <v>67760</v>
      </c>
      <c r="D317" s="8">
        <v>0</v>
      </c>
      <c r="E317" s="9">
        <v>-46239</v>
      </c>
      <c r="F317" s="10">
        <v>0</v>
      </c>
      <c r="G317" s="11">
        <v>25501</v>
      </c>
      <c r="H317" s="12">
        <v>0.18493564425444919</v>
      </c>
      <c r="I317" s="13">
        <v>0.18493564425444919</v>
      </c>
      <c r="J317" s="14">
        <v>7.423055089850695E-3</v>
      </c>
      <c r="K317" s="15">
        <v>45955</v>
      </c>
    </row>
    <row r="318" spans="1:11" x14ac:dyDescent="0.25">
      <c r="A318" s="39"/>
      <c r="B318" s="18" t="s">
        <v>34</v>
      </c>
      <c r="C318" s="7">
        <v>792899.25000000012</v>
      </c>
      <c r="D318" s="8">
        <v>37124.399999999994</v>
      </c>
      <c r="E318" s="9">
        <v>-48532</v>
      </c>
      <c r="F318" s="10">
        <v>0</v>
      </c>
      <c r="G318" s="11">
        <v>810175.9</v>
      </c>
      <c r="H318" s="12">
        <v>3.6704486861759644E-2</v>
      </c>
      <c r="I318" s="13">
        <v>3.6704486861759644E-2</v>
      </c>
      <c r="J318" s="14">
        <v>0.23583311784515776</v>
      </c>
      <c r="K318" s="15">
        <v>45955</v>
      </c>
    </row>
    <row r="319" spans="1:11" x14ac:dyDescent="0.25">
      <c r="A319" s="39"/>
      <c r="B319" s="18" t="s">
        <v>35</v>
      </c>
      <c r="C319" s="7">
        <v>0</v>
      </c>
      <c r="D319" s="8">
        <v>110244</v>
      </c>
      <c r="E319" s="9">
        <v>0</v>
      </c>
      <c r="F319" s="10">
        <v>0</v>
      </c>
      <c r="G319" s="11">
        <v>120152</v>
      </c>
      <c r="H319" s="12">
        <v>8.987337179347632E-2</v>
      </c>
      <c r="I319" s="13">
        <v>8.987337179347632E-2</v>
      </c>
      <c r="J319" s="14">
        <v>3.4974899617887169E-2</v>
      </c>
      <c r="K319" s="15">
        <v>45955</v>
      </c>
    </row>
    <row r="320" spans="1:11" x14ac:dyDescent="0.25">
      <c r="A320" s="39"/>
      <c r="B320" s="18" t="s">
        <v>20</v>
      </c>
      <c r="C320" s="7">
        <v>116130</v>
      </c>
      <c r="D320" s="8">
        <v>0</v>
      </c>
      <c r="E320" s="9">
        <v>-80150</v>
      </c>
      <c r="F320" s="10">
        <v>0</v>
      </c>
      <c r="G320" s="11">
        <v>42700</v>
      </c>
      <c r="H320" s="12">
        <v>0.1867704280155642</v>
      </c>
      <c r="I320" s="13">
        <v>0.1867704280155642</v>
      </c>
      <c r="J320" s="14">
        <v>1.2429491091981675E-2</v>
      </c>
      <c r="K320" s="15">
        <v>45955</v>
      </c>
    </row>
    <row r="321" spans="1:11" x14ac:dyDescent="0.25">
      <c r="A321" s="39"/>
      <c r="B321" s="18" t="s">
        <v>36</v>
      </c>
      <c r="C321" s="7">
        <v>40364.1</v>
      </c>
      <c r="D321" s="8">
        <v>0</v>
      </c>
      <c r="E321" s="9">
        <v>-13518.4</v>
      </c>
      <c r="F321" s="10">
        <v>0</v>
      </c>
      <c r="G321" s="11">
        <v>30090.400000000001</v>
      </c>
      <c r="H321" s="12">
        <v>0.12086479398935412</v>
      </c>
      <c r="I321" s="28">
        <v>0.12086479398935412</v>
      </c>
      <c r="J321" s="14">
        <v>8.7589779567720238E-3</v>
      </c>
      <c r="K321" s="15">
        <v>45955</v>
      </c>
    </row>
    <row r="322" spans="1:11" x14ac:dyDescent="0.25">
      <c r="A322" s="39"/>
      <c r="B322" s="18" t="s">
        <v>21</v>
      </c>
      <c r="C322" s="7">
        <v>119965.86</v>
      </c>
      <c r="D322" s="8">
        <v>0</v>
      </c>
      <c r="E322" s="9">
        <v>-119842.12000000001</v>
      </c>
      <c r="F322" s="10">
        <v>0</v>
      </c>
      <c r="G322" s="11">
        <v>8300.8000000000011</v>
      </c>
      <c r="H322" s="32">
        <v>0</v>
      </c>
      <c r="I322" s="13">
        <v>66.082592532734978</v>
      </c>
      <c r="J322" s="14">
        <v>2.4162697811784895E-3</v>
      </c>
      <c r="K322" s="15">
        <v>45955</v>
      </c>
    </row>
    <row r="323" spans="1:11" x14ac:dyDescent="0.25">
      <c r="A323" s="39"/>
      <c r="B323" s="18" t="s">
        <v>22</v>
      </c>
      <c r="C323" s="7">
        <v>363195</v>
      </c>
      <c r="D323" s="8">
        <v>0</v>
      </c>
      <c r="E323" s="9">
        <v>-167693</v>
      </c>
      <c r="F323" s="10">
        <v>0</v>
      </c>
      <c r="G323" s="11">
        <v>235080</v>
      </c>
      <c r="H323" s="12">
        <v>0.20244294176018651</v>
      </c>
      <c r="I323" s="13">
        <v>0.20244294176018651</v>
      </c>
      <c r="J323" s="14">
        <v>6.8429151426300988E-2</v>
      </c>
      <c r="K323" s="15">
        <v>45955</v>
      </c>
    </row>
    <row r="324" spans="1:11" x14ac:dyDescent="0.25">
      <c r="A324" s="39"/>
      <c r="B324" s="18" t="s">
        <v>37</v>
      </c>
      <c r="C324" s="7">
        <v>60420</v>
      </c>
      <c r="D324" s="8">
        <v>5035</v>
      </c>
      <c r="E324" s="9">
        <v>0</v>
      </c>
      <c r="F324" s="10">
        <v>0</v>
      </c>
      <c r="G324" s="11">
        <v>67860</v>
      </c>
      <c r="H324" s="12">
        <v>3.6742800397219444E-2</v>
      </c>
      <c r="I324" s="13">
        <v>3.6742800397219444E-2</v>
      </c>
      <c r="J324" s="14">
        <v>1.975328490636713E-2</v>
      </c>
      <c r="K324" s="15">
        <v>45955</v>
      </c>
    </row>
    <row r="325" spans="1:11" x14ac:dyDescent="0.25">
      <c r="A325" s="39"/>
      <c r="B325" s="18" t="s">
        <v>38</v>
      </c>
      <c r="C325" s="7">
        <v>62253.999999999993</v>
      </c>
      <c r="D325" s="8">
        <v>50127</v>
      </c>
      <c r="E325" s="9">
        <v>0</v>
      </c>
      <c r="F325" s="10">
        <v>0</v>
      </c>
      <c r="G325" s="11">
        <v>130665</v>
      </c>
      <c r="H325" s="12">
        <v>0.16269654123027921</v>
      </c>
      <c r="I325" s="28">
        <v>0.16269654123027921</v>
      </c>
      <c r="J325" s="14">
        <v>3.8035116007816991E-2</v>
      </c>
      <c r="K325" s="15">
        <v>45955</v>
      </c>
    </row>
    <row r="326" spans="1:11" x14ac:dyDescent="0.25">
      <c r="A326" s="39"/>
      <c r="B326" s="18" t="s">
        <v>39</v>
      </c>
      <c r="C326" s="7">
        <v>0</v>
      </c>
      <c r="D326" s="8">
        <v>4218</v>
      </c>
      <c r="E326" s="9">
        <v>-4108</v>
      </c>
      <c r="F326" s="10">
        <v>0</v>
      </c>
      <c r="G326" s="11">
        <v>0</v>
      </c>
      <c r="H326" s="12" t="s">
        <v>14</v>
      </c>
      <c r="I326" s="13">
        <v>-1</v>
      </c>
      <c r="J326" s="14">
        <v>0</v>
      </c>
      <c r="K326" s="15">
        <v>45955</v>
      </c>
    </row>
    <row r="327" spans="1:11" x14ac:dyDescent="0.25">
      <c r="A327" s="39"/>
      <c r="B327" s="18" t="s">
        <v>40</v>
      </c>
      <c r="C327" s="7">
        <v>0</v>
      </c>
      <c r="D327" s="8">
        <v>14204</v>
      </c>
      <c r="E327" s="9">
        <v>-13639</v>
      </c>
      <c r="F327" s="10">
        <v>0</v>
      </c>
      <c r="G327" s="11">
        <v>0</v>
      </c>
      <c r="H327" s="12" t="s">
        <v>14</v>
      </c>
      <c r="I327" s="28">
        <v>-1</v>
      </c>
      <c r="J327" s="14">
        <v>0</v>
      </c>
      <c r="K327" s="15">
        <v>45955</v>
      </c>
    </row>
    <row r="328" spans="1:11" x14ac:dyDescent="0.25">
      <c r="A328" s="39"/>
      <c r="B328" s="18" t="s">
        <v>41</v>
      </c>
      <c r="C328" s="7">
        <v>41154</v>
      </c>
      <c r="D328" s="8">
        <v>0</v>
      </c>
      <c r="E328" s="9">
        <v>0</v>
      </c>
      <c r="F328" s="10">
        <v>0</v>
      </c>
      <c r="G328" s="11">
        <v>42237</v>
      </c>
      <c r="H328" s="12">
        <v>2.6315789473684292E-2</v>
      </c>
      <c r="I328" s="28">
        <v>2.6315789473684292E-2</v>
      </c>
      <c r="J328" s="14">
        <v>1.2294716984825059E-2</v>
      </c>
      <c r="K328" s="15">
        <v>45955</v>
      </c>
    </row>
    <row r="329" spans="1:11" x14ac:dyDescent="0.25">
      <c r="A329" s="39"/>
      <c r="B329" s="18" t="s">
        <v>42</v>
      </c>
      <c r="C329" s="7">
        <v>96109.000000000015</v>
      </c>
      <c r="D329" s="8">
        <v>0</v>
      </c>
      <c r="E329" s="9">
        <v>0</v>
      </c>
      <c r="F329" s="10">
        <v>0</v>
      </c>
      <c r="G329" s="11">
        <v>99502.000000000015</v>
      </c>
      <c r="H329" s="12">
        <v>3.5303665629649705E-2</v>
      </c>
      <c r="I329" s="13">
        <v>3.5303665629649705E-2</v>
      </c>
      <c r="J329" s="14">
        <v>2.8963916220945216E-2</v>
      </c>
      <c r="K329" s="15">
        <v>45955</v>
      </c>
    </row>
    <row r="330" spans="1:11" x14ac:dyDescent="0.25">
      <c r="A330" s="39"/>
      <c r="B330" s="18" t="s">
        <v>43</v>
      </c>
      <c r="C330" s="7">
        <v>51768.640000000007</v>
      </c>
      <c r="D330" s="8">
        <v>0</v>
      </c>
      <c r="E330" s="9">
        <v>0</v>
      </c>
      <c r="F330" s="10">
        <v>0</v>
      </c>
      <c r="G330" s="11">
        <v>55665.04</v>
      </c>
      <c r="H330" s="12">
        <v>7.526564344746145E-2</v>
      </c>
      <c r="I330" s="13">
        <v>7.526564344746145E-2</v>
      </c>
      <c r="J330" s="14">
        <v>1.6203468824702662E-2</v>
      </c>
      <c r="K330" s="15">
        <v>45955</v>
      </c>
    </row>
    <row r="331" spans="1:11" x14ac:dyDescent="0.25">
      <c r="A331" s="39"/>
      <c r="B331" s="18" t="s">
        <v>44</v>
      </c>
      <c r="C331" s="7">
        <v>65142</v>
      </c>
      <c r="D331" s="8">
        <v>11483.85</v>
      </c>
      <c r="E331" s="9">
        <v>0</v>
      </c>
      <c r="F331" s="10">
        <v>0</v>
      </c>
      <c r="G331" s="11">
        <v>90881.35</v>
      </c>
      <c r="H331" s="12">
        <v>0.18604035061275015</v>
      </c>
      <c r="I331" s="13">
        <v>0.18604035061275015</v>
      </c>
      <c r="J331" s="14">
        <v>2.6454541692090605E-2</v>
      </c>
      <c r="K331" s="15">
        <v>45955</v>
      </c>
    </row>
    <row r="332" spans="1:11" ht="16.5" thickBot="1" x14ac:dyDescent="0.3">
      <c r="A332" s="39"/>
      <c r="B332" s="20" t="s">
        <v>23</v>
      </c>
      <c r="C332" s="21">
        <f t="shared" ref="C332:G332" si="9">SUM(C300:C331)</f>
        <v>3526152.9800000004</v>
      </c>
      <c r="D332" s="22">
        <f t="shared" si="9"/>
        <v>354266.69999999995</v>
      </c>
      <c r="E332" s="23">
        <f t="shared" si="9"/>
        <v>-631258.23</v>
      </c>
      <c r="F332" s="24">
        <f t="shared" si="9"/>
        <v>0</v>
      </c>
      <c r="G332" s="11">
        <f t="shared" si="9"/>
        <v>3435377.98</v>
      </c>
      <c r="H332" s="25">
        <f>(G332/(C332+D332+E332+F332))-1</f>
        <v>5.7312181270647411E-2</v>
      </c>
      <c r="I332" s="13"/>
      <c r="J332" s="14"/>
      <c r="K332" s="15">
        <v>45955</v>
      </c>
    </row>
    <row r="333" spans="1:11" ht="16.5" thickTop="1" x14ac:dyDescent="0.25">
      <c r="A333" s="38">
        <v>45988</v>
      </c>
      <c r="B333" s="18" t="s">
        <v>11</v>
      </c>
      <c r="C333" s="7">
        <v>32881.729999999996</v>
      </c>
      <c r="D333" s="8">
        <v>0</v>
      </c>
      <c r="E333" s="9">
        <v>0</v>
      </c>
      <c r="F333" s="10">
        <v>0</v>
      </c>
      <c r="G333" s="11">
        <v>33227</v>
      </c>
      <c r="H333" s="12">
        <v>1.0500359926317815E-2</v>
      </c>
      <c r="I333" s="13">
        <v>1.0500359926317815E-2</v>
      </c>
      <c r="J333" s="14">
        <v>9.4445100301353124E-3</v>
      </c>
      <c r="K333" s="15">
        <v>45986</v>
      </c>
    </row>
    <row r="334" spans="1:11" x14ac:dyDescent="0.25">
      <c r="A334" s="39"/>
      <c r="B334" s="18" t="s">
        <v>12</v>
      </c>
      <c r="C334" s="7">
        <v>147643.85</v>
      </c>
      <c r="D334" s="8">
        <v>0</v>
      </c>
      <c r="E334" s="9">
        <v>0</v>
      </c>
      <c r="F334" s="10">
        <v>0</v>
      </c>
      <c r="G334" s="11">
        <v>149213.60999999999</v>
      </c>
      <c r="H334" s="12">
        <v>1.0632071704984591E-2</v>
      </c>
      <c r="I334" s="13">
        <v>1.0632071704984591E-2</v>
      </c>
      <c r="J334" s="14">
        <v>4.2412779856071829E-2</v>
      </c>
      <c r="K334" s="15">
        <v>45986</v>
      </c>
    </row>
    <row r="335" spans="1:11" x14ac:dyDescent="0.25">
      <c r="A335" s="39"/>
      <c r="B335" s="18" t="s">
        <v>13</v>
      </c>
      <c r="C335" s="7">
        <v>39161.519999999997</v>
      </c>
      <c r="D335" s="8">
        <v>0</v>
      </c>
      <c r="E335" s="9">
        <v>241221.71</v>
      </c>
      <c r="F335" s="10">
        <v>0</v>
      </c>
      <c r="G335" s="11">
        <v>280383.23</v>
      </c>
      <c r="H335" s="12">
        <v>0</v>
      </c>
      <c r="I335" s="13">
        <v>0</v>
      </c>
      <c r="J335" s="14">
        <v>7.9696699311305144E-2</v>
      </c>
      <c r="K335" s="15">
        <v>45986</v>
      </c>
    </row>
    <row r="336" spans="1:11" x14ac:dyDescent="0.25">
      <c r="A336" s="39"/>
      <c r="B336" s="18" t="s">
        <v>24</v>
      </c>
      <c r="C336" s="7">
        <v>0</v>
      </c>
      <c r="D336" s="8">
        <v>50000</v>
      </c>
      <c r="E336" s="9">
        <v>0</v>
      </c>
      <c r="F336" s="10">
        <v>0</v>
      </c>
      <c r="G336" s="11">
        <v>50326.5</v>
      </c>
      <c r="H336" s="12">
        <v>6.5299999999999248E-3</v>
      </c>
      <c r="I336" s="13">
        <v>6.5299999999999248E-3</v>
      </c>
      <c r="J336" s="14">
        <v>1.4304906673235767E-2</v>
      </c>
      <c r="K336" s="15">
        <v>45986</v>
      </c>
    </row>
    <row r="337" spans="1:11" x14ac:dyDescent="0.25">
      <c r="A337" s="39"/>
      <c r="B337" s="18" t="s">
        <v>15</v>
      </c>
      <c r="C337" s="7">
        <v>112970.81</v>
      </c>
      <c r="D337" s="8">
        <v>0</v>
      </c>
      <c r="E337" s="9">
        <v>0</v>
      </c>
      <c r="F337" s="10">
        <v>0</v>
      </c>
      <c r="G337" s="11">
        <v>113059.8</v>
      </c>
      <c r="H337" s="12">
        <v>7.8772560805751013E-4</v>
      </c>
      <c r="I337" s="13">
        <v>7.8772560805751013E-4</v>
      </c>
      <c r="J337" s="14">
        <v>3.2136347401363119E-2</v>
      </c>
      <c r="K337" s="15">
        <v>45986</v>
      </c>
    </row>
    <row r="338" spans="1:11" x14ac:dyDescent="0.25">
      <c r="A338" s="39"/>
      <c r="B338" s="18" t="s">
        <v>25</v>
      </c>
      <c r="C338" s="7">
        <v>0</v>
      </c>
      <c r="D338" s="8">
        <v>0</v>
      </c>
      <c r="E338" s="9">
        <v>0</v>
      </c>
      <c r="F338" s="10">
        <v>0</v>
      </c>
      <c r="G338" s="11">
        <v>0</v>
      </c>
      <c r="H338" s="12" t="s">
        <v>14</v>
      </c>
      <c r="I338" s="13" t="s">
        <v>14</v>
      </c>
      <c r="J338" s="14">
        <v>0</v>
      </c>
      <c r="K338" s="15">
        <v>45986</v>
      </c>
    </row>
    <row r="339" spans="1:11" x14ac:dyDescent="0.25">
      <c r="A339" s="39"/>
      <c r="B339" s="18" t="s">
        <v>16</v>
      </c>
      <c r="C339" s="7">
        <v>185883.39</v>
      </c>
      <c r="D339" s="8">
        <v>0</v>
      </c>
      <c r="E339" s="9">
        <v>0</v>
      </c>
      <c r="F339" s="10">
        <v>0</v>
      </c>
      <c r="G339" s="11">
        <v>185901.72</v>
      </c>
      <c r="H339" s="12">
        <v>9.8610209336102983E-5</v>
      </c>
      <c r="I339" s="13">
        <v>9.8610209336102983E-5</v>
      </c>
      <c r="J339" s="14">
        <v>5.2841082829006722E-2</v>
      </c>
      <c r="K339" s="15">
        <v>45986</v>
      </c>
    </row>
    <row r="340" spans="1:11" x14ac:dyDescent="0.25">
      <c r="A340" s="39"/>
      <c r="B340" s="18" t="s">
        <v>26</v>
      </c>
      <c r="C340" s="7">
        <v>228985.43</v>
      </c>
      <c r="D340" s="8">
        <v>0</v>
      </c>
      <c r="E340" s="9">
        <v>0</v>
      </c>
      <c r="F340" s="10">
        <v>0</v>
      </c>
      <c r="G340" s="11">
        <v>229637.76000000001</v>
      </c>
      <c r="H340" s="12">
        <v>2.8487838724062797E-3</v>
      </c>
      <c r="I340" s="13">
        <v>2.8487838724062797E-3</v>
      </c>
      <c r="J340" s="14">
        <v>6.5272703753507869E-2</v>
      </c>
      <c r="K340" s="15">
        <v>45986</v>
      </c>
    </row>
    <row r="341" spans="1:11" x14ac:dyDescent="0.25">
      <c r="A341" s="39"/>
      <c r="B341" s="18" t="s">
        <v>27</v>
      </c>
      <c r="C341" s="7">
        <v>222558.47</v>
      </c>
      <c r="D341" s="8">
        <v>0</v>
      </c>
      <c r="E341" s="9">
        <v>0</v>
      </c>
      <c r="F341" s="30">
        <v>0</v>
      </c>
      <c r="G341" s="11">
        <v>224901.35</v>
      </c>
      <c r="H341" s="12">
        <v>1.0527031390896946E-2</v>
      </c>
      <c r="I341" s="13">
        <v>1.0527031390896946E-2</v>
      </c>
      <c r="J341" s="14">
        <v>6.392641694603704E-2</v>
      </c>
      <c r="K341" s="15">
        <v>45986</v>
      </c>
    </row>
    <row r="342" spans="1:11" x14ac:dyDescent="0.25">
      <c r="A342" s="39"/>
      <c r="B342" s="18" t="s">
        <v>17</v>
      </c>
      <c r="C342" s="7">
        <v>97915.3</v>
      </c>
      <c r="D342" s="8">
        <v>34500</v>
      </c>
      <c r="E342" s="9">
        <v>0</v>
      </c>
      <c r="F342" s="10">
        <v>0</v>
      </c>
      <c r="G342" s="11">
        <v>130485.89</v>
      </c>
      <c r="H342" s="12">
        <v>-1.4570899284297112E-2</v>
      </c>
      <c r="I342" s="13">
        <v>-1.4570899284297112E-2</v>
      </c>
      <c r="J342" s="14">
        <v>3.7089574650017547E-2</v>
      </c>
      <c r="K342" s="15">
        <v>45986</v>
      </c>
    </row>
    <row r="343" spans="1:11" x14ac:dyDescent="0.25">
      <c r="A343" s="39"/>
      <c r="B343" s="18" t="s">
        <v>18</v>
      </c>
      <c r="C343" s="7">
        <v>163088.45000000001</v>
      </c>
      <c r="D343" s="8">
        <v>0</v>
      </c>
      <c r="E343" s="9">
        <v>0</v>
      </c>
      <c r="F343" s="10">
        <v>0</v>
      </c>
      <c r="G343" s="11">
        <v>163088.45000000001</v>
      </c>
      <c r="H343" s="12">
        <v>0</v>
      </c>
      <c r="I343" s="13">
        <v>0</v>
      </c>
      <c r="J343" s="14">
        <v>4.6356592585073027E-2</v>
      </c>
      <c r="K343" s="15">
        <v>45986</v>
      </c>
    </row>
    <row r="344" spans="1:11" x14ac:dyDescent="0.25">
      <c r="A344" s="39"/>
      <c r="B344" s="18" t="s">
        <v>28</v>
      </c>
      <c r="C344" s="7">
        <v>53355</v>
      </c>
      <c r="D344" s="8">
        <v>0</v>
      </c>
      <c r="E344" s="9">
        <v>-51822</v>
      </c>
      <c r="F344" s="10">
        <v>0</v>
      </c>
      <c r="G344" s="11">
        <v>0</v>
      </c>
      <c r="H344" s="12">
        <v>-2.8732077593477623E-2</v>
      </c>
      <c r="I344" s="13">
        <v>-1</v>
      </c>
      <c r="J344" s="14">
        <v>0</v>
      </c>
      <c r="K344" s="15">
        <v>45986</v>
      </c>
    </row>
    <row r="345" spans="1:11" x14ac:dyDescent="0.25">
      <c r="A345" s="39"/>
      <c r="B345" s="18" t="s">
        <v>29</v>
      </c>
      <c r="C345" s="7">
        <v>0</v>
      </c>
      <c r="D345" s="8">
        <v>0</v>
      </c>
      <c r="E345" s="9">
        <v>0</v>
      </c>
      <c r="F345" s="10">
        <v>0</v>
      </c>
      <c r="G345" s="11">
        <v>0</v>
      </c>
      <c r="H345" s="12" t="s">
        <v>14</v>
      </c>
      <c r="I345" s="13" t="s">
        <v>14</v>
      </c>
      <c r="J345" s="14">
        <v>0</v>
      </c>
      <c r="K345" s="15">
        <v>45986</v>
      </c>
    </row>
    <row r="346" spans="1:11" x14ac:dyDescent="0.25">
      <c r="A346" s="39"/>
      <c r="B346" s="18" t="s">
        <v>19</v>
      </c>
      <c r="C346" s="7">
        <v>226468.21</v>
      </c>
      <c r="D346" s="8">
        <v>0</v>
      </c>
      <c r="E346" s="9">
        <v>0</v>
      </c>
      <c r="F346" s="10">
        <v>0</v>
      </c>
      <c r="G346" s="11">
        <v>227620.82</v>
      </c>
      <c r="H346" s="12">
        <v>5.089500199608743E-3</v>
      </c>
      <c r="I346" s="13">
        <v>5.089500199608743E-3</v>
      </c>
      <c r="J346" s="14">
        <v>6.4699404627490437E-2</v>
      </c>
      <c r="K346" s="15">
        <v>45986</v>
      </c>
    </row>
    <row r="347" spans="1:11" x14ac:dyDescent="0.25">
      <c r="A347" s="39"/>
      <c r="B347" s="18" t="s">
        <v>30</v>
      </c>
      <c r="C347" s="7">
        <v>61291.33</v>
      </c>
      <c r="D347" s="8">
        <v>0</v>
      </c>
      <c r="E347" s="9">
        <v>0</v>
      </c>
      <c r="F347" s="10">
        <v>0</v>
      </c>
      <c r="G347" s="11">
        <v>62045.120000000003</v>
      </c>
      <c r="H347" s="12">
        <v>1.2298476799247116E-2</v>
      </c>
      <c r="I347" s="13">
        <v>1.2298476799247116E-2</v>
      </c>
      <c r="J347" s="14">
        <v>1.7635831045864782E-2</v>
      </c>
      <c r="K347" s="15">
        <v>45986</v>
      </c>
    </row>
    <row r="348" spans="1:11" x14ac:dyDescent="0.25">
      <c r="A348" s="39"/>
      <c r="B348" s="18" t="s">
        <v>31</v>
      </c>
      <c r="C348" s="7">
        <v>104364</v>
      </c>
      <c r="D348" s="8">
        <v>26273</v>
      </c>
      <c r="E348" s="9">
        <v>0</v>
      </c>
      <c r="F348" s="10">
        <v>0</v>
      </c>
      <c r="G348" s="11">
        <v>157297.5</v>
      </c>
      <c r="H348" s="12">
        <v>0.20408077344090869</v>
      </c>
      <c r="I348" s="13">
        <v>0.20408077344090869</v>
      </c>
      <c r="J348" s="14">
        <v>4.4710561184133663E-2</v>
      </c>
      <c r="K348" s="15">
        <v>45986</v>
      </c>
    </row>
    <row r="349" spans="1:11" x14ac:dyDescent="0.25">
      <c r="A349" s="39"/>
      <c r="B349" s="18" t="s">
        <v>32</v>
      </c>
      <c r="C349" s="31">
        <v>0</v>
      </c>
      <c r="D349" s="8">
        <v>107539.47</v>
      </c>
      <c r="E349" s="9">
        <v>-50102.5</v>
      </c>
      <c r="F349" s="10">
        <v>0</v>
      </c>
      <c r="G349" s="11">
        <v>58091.159999999996</v>
      </c>
      <c r="H349" s="12">
        <v>1.138970248604676E-2</v>
      </c>
      <c r="I349" s="28">
        <v>1.138970248604676E-2</v>
      </c>
      <c r="J349" s="14">
        <v>1.6511949417106427E-2</v>
      </c>
      <c r="K349" s="15">
        <v>45986</v>
      </c>
    </row>
    <row r="350" spans="1:11" x14ac:dyDescent="0.25">
      <c r="A350" s="39"/>
      <c r="B350" s="18" t="s">
        <v>33</v>
      </c>
      <c r="C350" s="7">
        <v>25501</v>
      </c>
      <c r="D350" s="8">
        <v>0</v>
      </c>
      <c r="E350" s="9">
        <v>-25140</v>
      </c>
      <c r="F350" s="10">
        <v>0</v>
      </c>
      <c r="G350" s="11">
        <v>0</v>
      </c>
      <c r="H350" s="12">
        <v>-1.4156307595780571E-2</v>
      </c>
      <c r="I350" s="13">
        <v>-1</v>
      </c>
      <c r="J350" s="14">
        <v>0</v>
      </c>
      <c r="K350" s="15">
        <v>45986</v>
      </c>
    </row>
    <row r="351" spans="1:11" x14ac:dyDescent="0.25">
      <c r="A351" s="39"/>
      <c r="B351" s="18" t="s">
        <v>34</v>
      </c>
      <c r="C351" s="7">
        <v>810175.9</v>
      </c>
      <c r="D351" s="8">
        <v>17130.599999999999</v>
      </c>
      <c r="E351" s="9">
        <v>-39345</v>
      </c>
      <c r="F351" s="10">
        <v>0</v>
      </c>
      <c r="G351" s="11">
        <v>740495.1</v>
      </c>
      <c r="H351" s="12">
        <v>-6.0239491396470557E-2</v>
      </c>
      <c r="I351" s="13">
        <v>-6.0239491396470557E-2</v>
      </c>
      <c r="J351" s="14">
        <v>0.21047983264261147</v>
      </c>
      <c r="K351" s="15">
        <v>45986</v>
      </c>
    </row>
    <row r="352" spans="1:11" x14ac:dyDescent="0.25">
      <c r="A352" s="39"/>
      <c r="B352" s="18" t="s">
        <v>35</v>
      </c>
      <c r="C352" s="7">
        <v>120152</v>
      </c>
      <c r="D352" s="8">
        <v>49018.5</v>
      </c>
      <c r="E352" s="9">
        <v>0</v>
      </c>
      <c r="F352" s="10">
        <v>0</v>
      </c>
      <c r="G352" s="11">
        <v>156791</v>
      </c>
      <c r="H352" s="12">
        <v>-7.3177652132020654E-2</v>
      </c>
      <c r="I352" s="13">
        <v>-7.3177652132020654E-2</v>
      </c>
      <c r="J352" s="14">
        <v>4.4566592594424588E-2</v>
      </c>
      <c r="K352" s="15">
        <v>45986</v>
      </c>
    </row>
    <row r="353" spans="1:11" x14ac:dyDescent="0.25">
      <c r="A353" s="39"/>
      <c r="B353" s="18" t="s">
        <v>20</v>
      </c>
      <c r="C353" s="7">
        <v>42700</v>
      </c>
      <c r="D353" s="8">
        <v>0</v>
      </c>
      <c r="E353" s="9">
        <v>-41215</v>
      </c>
      <c r="F353" s="10">
        <v>-841.76</v>
      </c>
      <c r="G353" s="11">
        <v>0</v>
      </c>
      <c r="H353" s="12">
        <v>-3.4777517564402838E-2</v>
      </c>
      <c r="I353" s="13">
        <v>-1</v>
      </c>
      <c r="J353" s="14">
        <v>0</v>
      </c>
      <c r="K353" s="15">
        <v>45986</v>
      </c>
    </row>
    <row r="354" spans="1:11" x14ac:dyDescent="0.25">
      <c r="A354" s="39"/>
      <c r="B354" s="18" t="s">
        <v>36</v>
      </c>
      <c r="C354" s="7">
        <v>30090.400000000001</v>
      </c>
      <c r="D354" s="8">
        <v>0</v>
      </c>
      <c r="E354" s="9">
        <v>-28335.899999999998</v>
      </c>
      <c r="F354" s="10">
        <v>0</v>
      </c>
      <c r="G354" s="11">
        <v>0</v>
      </c>
      <c r="H354" s="12">
        <v>-5.8307632999229142E-2</v>
      </c>
      <c r="I354" s="28">
        <v>-1</v>
      </c>
      <c r="J354" s="14">
        <v>0</v>
      </c>
      <c r="K354" s="15">
        <v>45986</v>
      </c>
    </row>
    <row r="355" spans="1:11" x14ac:dyDescent="0.25">
      <c r="A355" s="39"/>
      <c r="B355" s="18" t="s">
        <v>21</v>
      </c>
      <c r="C355" s="7">
        <v>8300.8000000000011</v>
      </c>
      <c r="D355" s="8">
        <v>0</v>
      </c>
      <c r="E355" s="9">
        <v>-8318.7999999999993</v>
      </c>
      <c r="F355" s="10">
        <v>0</v>
      </c>
      <c r="G355" s="11">
        <v>0</v>
      </c>
      <c r="H355" s="12">
        <v>2.1684656900538002E-3</v>
      </c>
      <c r="I355" s="13">
        <v>-1</v>
      </c>
      <c r="J355" s="14">
        <v>0</v>
      </c>
      <c r="K355" s="15">
        <v>45986</v>
      </c>
    </row>
    <row r="356" spans="1:11" x14ac:dyDescent="0.25">
      <c r="A356" s="39"/>
      <c r="B356" s="18" t="s">
        <v>22</v>
      </c>
      <c r="C356" s="7">
        <v>235080</v>
      </c>
      <c r="D356" s="8"/>
      <c r="E356" s="9">
        <v>-60930</v>
      </c>
      <c r="F356" s="10">
        <v>0</v>
      </c>
      <c r="G356" s="11">
        <v>181980.00000000003</v>
      </c>
      <c r="H356" s="12">
        <v>4.4961240310077644E-2</v>
      </c>
      <c r="I356" s="13">
        <v>4.4961240310077644E-2</v>
      </c>
      <c r="J356" s="14">
        <v>5.1726365163391956E-2</v>
      </c>
      <c r="K356" s="15">
        <v>45986</v>
      </c>
    </row>
    <row r="357" spans="1:11" x14ac:dyDescent="0.25">
      <c r="A357" s="39"/>
      <c r="B357" s="18" t="s">
        <v>37</v>
      </c>
      <c r="C357" s="7">
        <v>67860</v>
      </c>
      <c r="D357" s="8">
        <v>55684</v>
      </c>
      <c r="E357" s="9">
        <v>-194516.6</v>
      </c>
      <c r="F357" s="10">
        <v>0</v>
      </c>
      <c r="G357" s="11">
        <v>0</v>
      </c>
      <c r="H357" s="12">
        <v>1.8664397288535222</v>
      </c>
      <c r="I357" s="13">
        <v>-1</v>
      </c>
      <c r="J357" s="14">
        <v>0</v>
      </c>
      <c r="K357" s="15">
        <v>45986</v>
      </c>
    </row>
    <row r="358" spans="1:11" x14ac:dyDescent="0.25">
      <c r="A358" s="39"/>
      <c r="B358" s="18" t="s">
        <v>38</v>
      </c>
      <c r="C358" s="7">
        <v>130665</v>
      </c>
      <c r="D358" s="8"/>
      <c r="E358" s="9">
        <v>0</v>
      </c>
      <c r="F358" s="10">
        <v>0</v>
      </c>
      <c r="G358" s="11">
        <v>137175</v>
      </c>
      <c r="H358" s="12">
        <v>4.9822064056939563E-2</v>
      </c>
      <c r="I358" s="28">
        <v>4.9822064056939563E-2</v>
      </c>
      <c r="J358" s="14">
        <v>3.8990900875306572E-2</v>
      </c>
      <c r="K358" s="15">
        <v>45986</v>
      </c>
    </row>
    <row r="359" spans="1:11" x14ac:dyDescent="0.25">
      <c r="A359" s="39"/>
      <c r="B359" s="18" t="s">
        <v>39</v>
      </c>
      <c r="C359" s="7">
        <v>0</v>
      </c>
      <c r="D359" s="8">
        <v>94849.340000000026</v>
      </c>
      <c r="E359" s="9">
        <v>0</v>
      </c>
      <c r="F359" s="10">
        <v>0</v>
      </c>
      <c r="G359" s="11">
        <v>101850</v>
      </c>
      <c r="H359" s="12">
        <v>7.380820994642634E-2</v>
      </c>
      <c r="I359" s="13">
        <v>7.380820994642634E-2</v>
      </c>
      <c r="J359" s="14">
        <v>2.8950051059959719E-2</v>
      </c>
      <c r="K359" s="15">
        <v>45986</v>
      </c>
    </row>
    <row r="360" spans="1:11" x14ac:dyDescent="0.25">
      <c r="A360" s="39"/>
      <c r="B360" s="18" t="s">
        <v>40</v>
      </c>
      <c r="C360" s="7">
        <v>0</v>
      </c>
      <c r="D360" s="8">
        <v>39002</v>
      </c>
      <c r="E360" s="9">
        <v>0</v>
      </c>
      <c r="F360" s="10">
        <v>0</v>
      </c>
      <c r="G360" s="11">
        <v>41503.5</v>
      </c>
      <c r="H360" s="12">
        <v>6.4137736526332034E-2</v>
      </c>
      <c r="I360" s="28">
        <v>6.4137736526332034E-2</v>
      </c>
      <c r="J360" s="14">
        <v>1.1797039216171215E-2</v>
      </c>
      <c r="K360" s="15">
        <v>45986</v>
      </c>
    </row>
    <row r="361" spans="1:11" x14ac:dyDescent="0.25">
      <c r="A361" s="39"/>
      <c r="B361" s="18" t="s">
        <v>41</v>
      </c>
      <c r="C361" s="7">
        <v>42237</v>
      </c>
      <c r="D361" s="8">
        <v>25198</v>
      </c>
      <c r="E361" s="9">
        <v>-109848.90000000001</v>
      </c>
      <c r="F361" s="10">
        <v>0</v>
      </c>
      <c r="G361" s="11">
        <v>0</v>
      </c>
      <c r="H361" s="12">
        <v>1.6007742027132612</v>
      </c>
      <c r="I361" s="28">
        <v>-1</v>
      </c>
      <c r="J361" s="14">
        <v>0</v>
      </c>
      <c r="K361" s="15">
        <v>45986</v>
      </c>
    </row>
    <row r="362" spans="1:11" x14ac:dyDescent="0.25">
      <c r="A362" s="39"/>
      <c r="B362" s="18" t="s">
        <v>42</v>
      </c>
      <c r="C362" s="7">
        <v>99502.000000000015</v>
      </c>
      <c r="D362" s="8">
        <v>0</v>
      </c>
      <c r="E362" s="9">
        <v>0</v>
      </c>
      <c r="F362" s="10">
        <v>0</v>
      </c>
      <c r="G362" s="11">
        <v>93054</v>
      </c>
      <c r="H362" s="12">
        <v>-6.4802717533316012E-2</v>
      </c>
      <c r="I362" s="13">
        <v>-6.4802717533316012E-2</v>
      </c>
      <c r="J362" s="14">
        <v>2.644985813778588E-2</v>
      </c>
      <c r="K362" s="15">
        <v>45986</v>
      </c>
    </row>
    <row r="363" spans="1:11" x14ac:dyDescent="0.25">
      <c r="A363" s="39"/>
      <c r="B363" s="18" t="s">
        <v>43</v>
      </c>
      <c r="C363" s="7">
        <v>55665.04</v>
      </c>
      <c r="D363" s="8">
        <v>0</v>
      </c>
      <c r="E363" s="9">
        <v>-56173.18</v>
      </c>
      <c r="F363" s="10">
        <v>-35.57</v>
      </c>
      <c r="G363" s="11">
        <v>0</v>
      </c>
      <c r="H363" s="12">
        <v>9.1285302229191512E-3</v>
      </c>
      <c r="I363" s="13">
        <v>-1</v>
      </c>
      <c r="J363" s="14">
        <v>0</v>
      </c>
      <c r="K363" s="15">
        <v>45986</v>
      </c>
    </row>
    <row r="364" spans="1:11" x14ac:dyDescent="0.25">
      <c r="A364" s="39"/>
      <c r="B364" s="18" t="s">
        <v>44</v>
      </c>
      <c r="C364" s="7">
        <v>90881.35</v>
      </c>
      <c r="D364" s="8">
        <v>0</v>
      </c>
      <c r="E364" s="9">
        <v>-85991.6</v>
      </c>
      <c r="F364" s="10">
        <v>0</v>
      </c>
      <c r="G364" s="11">
        <v>0</v>
      </c>
      <c r="H364" s="12">
        <v>-5.3803668189348008E-2</v>
      </c>
      <c r="I364" s="13">
        <v>-1</v>
      </c>
      <c r="J364" s="14">
        <v>0</v>
      </c>
      <c r="K364" s="15">
        <v>45986</v>
      </c>
    </row>
    <row r="365" spans="1:11" ht="16.5" thickBot="1" x14ac:dyDescent="0.3">
      <c r="A365" s="39"/>
      <c r="B365" s="20" t="s">
        <v>23</v>
      </c>
      <c r="C365" s="21">
        <f t="shared" ref="C365:G365" si="10">SUM(C333:C364)</f>
        <v>3435377.98</v>
      </c>
      <c r="D365" s="22">
        <f t="shared" si="10"/>
        <v>499194.91000000003</v>
      </c>
      <c r="E365" s="23">
        <f t="shared" si="10"/>
        <v>-510517.77</v>
      </c>
      <c r="F365" s="24">
        <f t="shared" si="10"/>
        <v>-877.33</v>
      </c>
      <c r="G365" s="11">
        <f t="shared" si="10"/>
        <v>3518128.51</v>
      </c>
      <c r="H365" s="25">
        <f>(G365/(C365+D365+E365+F365))-1</f>
        <v>2.7737595247718572E-2</v>
      </c>
      <c r="I365" s="13"/>
      <c r="J365" s="14"/>
      <c r="K365" s="15">
        <v>45986</v>
      </c>
    </row>
    <row r="366" spans="1:11" ht="16.5" thickTop="1" x14ac:dyDescent="0.25">
      <c r="A366" s="38">
        <v>46018</v>
      </c>
      <c r="B366" s="18" t="s">
        <v>11</v>
      </c>
      <c r="C366" s="7">
        <v>33227</v>
      </c>
      <c r="D366" s="8">
        <v>0</v>
      </c>
      <c r="E366" s="9">
        <v>0</v>
      </c>
      <c r="F366" s="10">
        <v>0</v>
      </c>
      <c r="G366" s="11">
        <v>33615.42</v>
      </c>
      <c r="H366" s="12">
        <v>1.1689890751497289E-2</v>
      </c>
      <c r="I366" s="13">
        <v>1.1689890751497289E-2</v>
      </c>
      <c r="J366" s="14">
        <v>9.2773821036857239E-3</v>
      </c>
      <c r="K366" s="15">
        <v>46016</v>
      </c>
    </row>
    <row r="367" spans="1:11" x14ac:dyDescent="0.25">
      <c r="A367" s="39"/>
      <c r="B367" s="18" t="s">
        <v>12</v>
      </c>
      <c r="C367" s="7">
        <v>149213.60999999999</v>
      </c>
      <c r="D367" s="8">
        <v>0</v>
      </c>
      <c r="E367" s="9">
        <v>0</v>
      </c>
      <c r="F367" s="10">
        <v>0</v>
      </c>
      <c r="G367" s="11">
        <v>150973.60999999999</v>
      </c>
      <c r="H367" s="12">
        <v>1.1795170695220181E-2</v>
      </c>
      <c r="I367" s="13">
        <v>1.1795170695220181E-2</v>
      </c>
      <c r="J367" s="14">
        <v>4.1666588355666175E-2</v>
      </c>
      <c r="K367" s="15">
        <v>46016</v>
      </c>
    </row>
    <row r="368" spans="1:11" x14ac:dyDescent="0.25">
      <c r="A368" s="39"/>
      <c r="B368" s="18" t="s">
        <v>13</v>
      </c>
      <c r="C368" s="7">
        <v>280383.23</v>
      </c>
      <c r="D368" s="8">
        <v>0</v>
      </c>
      <c r="E368" s="9">
        <v>-380917.23</v>
      </c>
      <c r="F368" s="10">
        <v>0</v>
      </c>
      <c r="G368" s="11">
        <v>-100534</v>
      </c>
      <c r="H368" s="12">
        <v>0</v>
      </c>
      <c r="I368" s="13">
        <v>0</v>
      </c>
      <c r="J368" s="14">
        <v>-2.774596695242661E-2</v>
      </c>
      <c r="K368" s="15">
        <v>46016</v>
      </c>
    </row>
    <row r="369" spans="1:11" x14ac:dyDescent="0.25">
      <c r="A369" s="39"/>
      <c r="B369" s="18" t="s">
        <v>24</v>
      </c>
      <c r="C369" s="7">
        <v>50326.5</v>
      </c>
      <c r="D369" s="8">
        <v>7197</v>
      </c>
      <c r="E369" s="9">
        <v>0</v>
      </c>
      <c r="F369" s="10">
        <v>0</v>
      </c>
      <c r="G369" s="11">
        <v>58160</v>
      </c>
      <c r="H369" s="12">
        <v>1.1065042982433271E-2</v>
      </c>
      <c r="I369" s="13">
        <v>1.1065042982433271E-2</v>
      </c>
      <c r="J369" s="14">
        <v>1.6051340222741874E-2</v>
      </c>
      <c r="K369" s="15">
        <v>46016</v>
      </c>
    </row>
    <row r="370" spans="1:11" x14ac:dyDescent="0.25">
      <c r="A370" s="39"/>
      <c r="B370" s="18" t="s">
        <v>15</v>
      </c>
      <c r="C370" s="7">
        <v>113059.8</v>
      </c>
      <c r="D370" s="8">
        <v>0</v>
      </c>
      <c r="E370" s="9">
        <v>0</v>
      </c>
      <c r="F370" s="10">
        <v>0</v>
      </c>
      <c r="G370" s="11">
        <v>114378.69</v>
      </c>
      <c r="H370" s="12">
        <v>1.1665419539040434E-2</v>
      </c>
      <c r="I370" s="13">
        <v>1.1665419539040434E-2</v>
      </c>
      <c r="J370" s="14">
        <v>3.1566906248650689E-2</v>
      </c>
      <c r="K370" s="15">
        <v>46016</v>
      </c>
    </row>
    <row r="371" spans="1:11" x14ac:dyDescent="0.25">
      <c r="A371" s="39"/>
      <c r="B371" s="18" t="s">
        <v>25</v>
      </c>
      <c r="C371" s="7">
        <v>0</v>
      </c>
      <c r="D371" s="8">
        <v>17191</v>
      </c>
      <c r="E371" s="9">
        <v>0</v>
      </c>
      <c r="F371" s="10">
        <v>0</v>
      </c>
      <c r="G371" s="11">
        <v>17211.080000000002</v>
      </c>
      <c r="H371" s="12">
        <v>1.1680530510151943E-3</v>
      </c>
      <c r="I371" s="13">
        <v>1.1680530510151943E-3</v>
      </c>
      <c r="J371" s="14">
        <v>4.7500154862590831E-3</v>
      </c>
      <c r="K371" s="15">
        <v>46016</v>
      </c>
    </row>
    <row r="372" spans="1:11" x14ac:dyDescent="0.25">
      <c r="A372" s="39"/>
      <c r="B372" s="18" t="s">
        <v>16</v>
      </c>
      <c r="C372" s="7">
        <v>185901.72</v>
      </c>
      <c r="D372" s="8">
        <v>0</v>
      </c>
      <c r="E372" s="9">
        <v>0</v>
      </c>
      <c r="F372" s="10">
        <v>0</v>
      </c>
      <c r="G372" s="11">
        <v>188042.95</v>
      </c>
      <c r="H372" s="12">
        <v>1.1518075249653537E-2</v>
      </c>
      <c r="I372" s="13">
        <v>1.1518075249653537E-2</v>
      </c>
      <c r="J372" s="14">
        <v>5.1897203695633415E-2</v>
      </c>
      <c r="K372" s="15">
        <v>46016</v>
      </c>
    </row>
    <row r="373" spans="1:11" x14ac:dyDescent="0.25">
      <c r="A373" s="39"/>
      <c r="B373" s="18" t="s">
        <v>26</v>
      </c>
      <c r="C373" s="7">
        <v>229637.76000000001</v>
      </c>
      <c r="D373" s="8">
        <v>0</v>
      </c>
      <c r="E373" s="9">
        <v>0</v>
      </c>
      <c r="F373" s="10">
        <v>0</v>
      </c>
      <c r="G373" s="11">
        <v>232331.89</v>
      </c>
      <c r="H373" s="12">
        <v>1.1732086221360127E-2</v>
      </c>
      <c r="I373" s="13">
        <v>1.1732086221360127E-2</v>
      </c>
      <c r="J373" s="14">
        <v>6.4120326873841837E-2</v>
      </c>
      <c r="K373" s="15">
        <v>46016</v>
      </c>
    </row>
    <row r="374" spans="1:11" x14ac:dyDescent="0.25">
      <c r="A374" s="39"/>
      <c r="B374" s="18" t="s">
        <v>27</v>
      </c>
      <c r="C374" s="7">
        <v>224901.35</v>
      </c>
      <c r="D374" s="8">
        <v>0</v>
      </c>
      <c r="E374" s="9">
        <v>0</v>
      </c>
      <c r="F374" s="30">
        <v>0</v>
      </c>
      <c r="G374" s="11">
        <v>227519.55</v>
      </c>
      <c r="H374" s="12">
        <v>1.1641548616760033E-2</v>
      </c>
      <c r="I374" s="13">
        <v>1.1641548616760033E-2</v>
      </c>
      <c r="J374" s="14">
        <v>6.279218886477185E-2</v>
      </c>
      <c r="K374" s="15">
        <v>46016</v>
      </c>
    </row>
    <row r="375" spans="1:11" x14ac:dyDescent="0.25">
      <c r="A375" s="39"/>
      <c r="B375" s="18" t="s">
        <v>17</v>
      </c>
      <c r="C375" s="7">
        <v>130485.89</v>
      </c>
      <c r="D375" s="8">
        <v>57000</v>
      </c>
      <c r="E375" s="9">
        <v>-126973.76999999999</v>
      </c>
      <c r="F375" s="10">
        <v>0</v>
      </c>
      <c r="G375" s="11">
        <v>59982.559999999998</v>
      </c>
      <c r="H375" s="12">
        <v>-8.7513046973073383E-3</v>
      </c>
      <c r="I375" s="13">
        <v>-8.7513046973073383E-3</v>
      </c>
      <c r="J375" s="14">
        <v>1.655434109338081E-2</v>
      </c>
      <c r="K375" s="15">
        <v>46016</v>
      </c>
    </row>
    <row r="376" spans="1:11" x14ac:dyDescent="0.25">
      <c r="A376" s="39"/>
      <c r="B376" s="18" t="s">
        <v>18</v>
      </c>
      <c r="C376" s="7">
        <v>163088.45000000001</v>
      </c>
      <c r="D376" s="33">
        <v>100688.12</v>
      </c>
      <c r="E376" s="9">
        <v>0</v>
      </c>
      <c r="F376" s="10">
        <v>0</v>
      </c>
      <c r="G376" s="11">
        <v>284245.71999999997</v>
      </c>
      <c r="H376" s="12">
        <v>7.7600334252583503E-2</v>
      </c>
      <c r="I376" s="13">
        <v>7.7600334252583503E-2</v>
      </c>
      <c r="J376" s="14">
        <v>7.8447812217644852E-2</v>
      </c>
      <c r="K376" s="15">
        <v>46016</v>
      </c>
    </row>
    <row r="377" spans="1:11" x14ac:dyDescent="0.25">
      <c r="A377" s="39"/>
      <c r="B377" s="18" t="s">
        <v>28</v>
      </c>
      <c r="C377" s="7">
        <v>0</v>
      </c>
      <c r="D377" s="8">
        <v>0</v>
      </c>
      <c r="E377" s="9">
        <v>0</v>
      </c>
      <c r="F377" s="10">
        <v>0</v>
      </c>
      <c r="G377" s="11">
        <v>0</v>
      </c>
      <c r="H377" s="12" t="s">
        <v>14</v>
      </c>
      <c r="I377" s="13" t="s">
        <v>14</v>
      </c>
      <c r="J377" s="14">
        <v>0</v>
      </c>
      <c r="K377" s="15">
        <v>46016</v>
      </c>
    </row>
    <row r="378" spans="1:11" x14ac:dyDescent="0.25">
      <c r="A378" s="39"/>
      <c r="B378" s="18" t="s">
        <v>29</v>
      </c>
      <c r="C378" s="7">
        <v>0</v>
      </c>
      <c r="D378" s="8">
        <v>120000</v>
      </c>
      <c r="E378" s="9">
        <v>0</v>
      </c>
      <c r="F378" s="10">
        <v>0</v>
      </c>
      <c r="G378" s="11">
        <v>120875.65</v>
      </c>
      <c r="H378" s="12">
        <v>7.2970833333332319E-3</v>
      </c>
      <c r="I378" s="13">
        <v>7.2970833333332319E-3</v>
      </c>
      <c r="J378" s="14">
        <v>3.3359975632652493E-2</v>
      </c>
      <c r="K378" s="15">
        <v>46016</v>
      </c>
    </row>
    <row r="379" spans="1:11" x14ac:dyDescent="0.25">
      <c r="A379" s="39"/>
      <c r="B379" s="18" t="s">
        <v>19</v>
      </c>
      <c r="C379" s="7">
        <v>227620.82</v>
      </c>
      <c r="D379" s="8">
        <v>0</v>
      </c>
      <c r="E379" s="9">
        <v>0</v>
      </c>
      <c r="F379" s="10">
        <v>0</v>
      </c>
      <c r="G379" s="11">
        <v>229663.28</v>
      </c>
      <c r="H379" s="12">
        <v>8.9730807577268479E-3</v>
      </c>
      <c r="I379" s="13">
        <v>8.9730807577268479E-3</v>
      </c>
      <c r="J379" s="14">
        <v>6.3383828128453057E-2</v>
      </c>
      <c r="K379" s="15">
        <v>46016</v>
      </c>
    </row>
    <row r="380" spans="1:11" x14ac:dyDescent="0.25">
      <c r="A380" s="39"/>
      <c r="B380" s="18" t="s">
        <v>30</v>
      </c>
      <c r="C380" s="7">
        <v>62045.120000000003</v>
      </c>
      <c r="D380" s="8">
        <v>0</v>
      </c>
      <c r="E380" s="9">
        <v>0</v>
      </c>
      <c r="F380" s="10">
        <v>0</v>
      </c>
      <c r="G380" s="11">
        <v>62619.35</v>
      </c>
      <c r="H380" s="12">
        <v>9.2550389136163425E-3</v>
      </c>
      <c r="I380" s="13">
        <v>9.2550389136163425E-3</v>
      </c>
      <c r="J380" s="14">
        <v>1.7282057967279083E-2</v>
      </c>
      <c r="K380" s="15">
        <v>46016</v>
      </c>
    </row>
    <row r="381" spans="1:11" x14ac:dyDescent="0.25">
      <c r="A381" s="39"/>
      <c r="B381" s="18" t="s">
        <v>31</v>
      </c>
      <c r="C381" s="7">
        <v>157297.5</v>
      </c>
      <c r="D381" s="8">
        <v>56681.390000000007</v>
      </c>
      <c r="E381" s="9">
        <v>0</v>
      </c>
      <c r="F381" s="10">
        <v>-1915.52</v>
      </c>
      <c r="G381" s="11">
        <v>259435.5</v>
      </c>
      <c r="H381" s="12">
        <v>0.22338666974876409</v>
      </c>
      <c r="I381" s="13">
        <v>0.22338666974876409</v>
      </c>
      <c r="J381" s="14">
        <v>7.1600541202839582E-2</v>
      </c>
      <c r="K381" s="15">
        <v>46016</v>
      </c>
    </row>
    <row r="382" spans="1:11" x14ac:dyDescent="0.25">
      <c r="A382" s="39"/>
      <c r="B382" s="18" t="s">
        <v>32</v>
      </c>
      <c r="C382" s="31">
        <v>58091.159999999996</v>
      </c>
      <c r="D382" s="8">
        <v>7261.0000000000009</v>
      </c>
      <c r="E382" s="9">
        <v>-29072.000000000004</v>
      </c>
      <c r="F382" s="10">
        <v>0</v>
      </c>
      <c r="G382" s="11">
        <v>36931.599999999999</v>
      </c>
      <c r="H382" s="12">
        <v>1.795581937896662E-2</v>
      </c>
      <c r="I382" s="28">
        <v>1.795581937896662E-2</v>
      </c>
      <c r="J382" s="14">
        <v>1.0192601041441091E-2</v>
      </c>
      <c r="K382" s="15">
        <v>46016</v>
      </c>
    </row>
    <row r="383" spans="1:11" x14ac:dyDescent="0.25">
      <c r="A383" s="39"/>
      <c r="B383" s="18" t="s">
        <v>33</v>
      </c>
      <c r="C383" s="7">
        <v>0</v>
      </c>
      <c r="D383" s="8">
        <v>0</v>
      </c>
      <c r="E383" s="9">
        <v>0</v>
      </c>
      <c r="F383" s="10">
        <v>0</v>
      </c>
      <c r="G383" s="11">
        <v>0</v>
      </c>
      <c r="H383" s="12" t="s">
        <v>14</v>
      </c>
      <c r="I383" s="13" t="s">
        <v>14</v>
      </c>
      <c r="J383" s="14">
        <v>0</v>
      </c>
      <c r="K383" s="15">
        <v>46016</v>
      </c>
    </row>
    <row r="384" spans="1:11" x14ac:dyDescent="0.25">
      <c r="A384" s="39"/>
      <c r="B384" s="18" t="s">
        <v>34</v>
      </c>
      <c r="C384" s="7">
        <v>740495.1</v>
      </c>
      <c r="D384" s="8">
        <v>0</v>
      </c>
      <c r="E384" s="9">
        <v>-41730</v>
      </c>
      <c r="F384" s="10">
        <v>0</v>
      </c>
      <c r="G384" s="11">
        <v>763184.39999999991</v>
      </c>
      <c r="H384" s="12">
        <v>9.2190208125734863E-2</v>
      </c>
      <c r="I384" s="13">
        <v>9.2190208125734863E-2</v>
      </c>
      <c r="J384" s="14">
        <v>0.21062813715765341</v>
      </c>
      <c r="K384" s="15">
        <v>46016</v>
      </c>
    </row>
    <row r="385" spans="1:46" x14ac:dyDescent="0.25">
      <c r="A385" s="39"/>
      <c r="B385" s="18" t="s">
        <v>35</v>
      </c>
      <c r="C385" s="7">
        <v>156791</v>
      </c>
      <c r="D385" s="8">
        <v>0</v>
      </c>
      <c r="E385" s="9">
        <v>0</v>
      </c>
      <c r="F385" s="10">
        <v>0</v>
      </c>
      <c r="G385" s="11">
        <v>156774</v>
      </c>
      <c r="H385" s="12">
        <v>-1.0842459069715371E-4</v>
      </c>
      <c r="I385" s="13">
        <v>-1.0842459069715371E-4</v>
      </c>
      <c r="J385" s="14">
        <v>4.3267414237966553E-2</v>
      </c>
      <c r="K385" s="15">
        <v>46016</v>
      </c>
    </row>
    <row r="386" spans="1:46" x14ac:dyDescent="0.25">
      <c r="A386" s="39"/>
      <c r="B386" s="18" t="s">
        <v>20</v>
      </c>
      <c r="C386" s="7">
        <v>0</v>
      </c>
      <c r="D386" s="8">
        <v>0</v>
      </c>
      <c r="E386" s="9">
        <v>0</v>
      </c>
      <c r="F386" s="10">
        <v>0</v>
      </c>
      <c r="G386" s="11">
        <v>0</v>
      </c>
      <c r="H386" s="12" t="s">
        <v>14</v>
      </c>
      <c r="I386" s="13" t="s">
        <v>14</v>
      </c>
      <c r="J386" s="14">
        <v>0</v>
      </c>
      <c r="K386" s="15">
        <v>46016</v>
      </c>
    </row>
    <row r="387" spans="1:46" x14ac:dyDescent="0.25">
      <c r="A387" s="39"/>
      <c r="B387" s="18" t="s">
        <v>36</v>
      </c>
      <c r="C387" s="7">
        <v>0</v>
      </c>
      <c r="D387" s="8">
        <v>58317.700000000012</v>
      </c>
      <c r="E387" s="9">
        <v>0</v>
      </c>
      <c r="F387" s="10">
        <v>0</v>
      </c>
      <c r="G387" s="11">
        <v>60270</v>
      </c>
      <c r="H387" s="12">
        <v>3.3476971828449775E-2</v>
      </c>
      <c r="I387" s="28">
        <v>3.3476971828449775E-2</v>
      </c>
      <c r="J387" s="14">
        <v>1.6633670481854417E-2</v>
      </c>
      <c r="K387" s="15">
        <v>46016</v>
      </c>
    </row>
    <row r="388" spans="1:46" x14ac:dyDescent="0.25">
      <c r="A388" s="39"/>
      <c r="B388" s="18" t="s">
        <v>21</v>
      </c>
      <c r="C388" s="7">
        <v>0</v>
      </c>
      <c r="D388" s="8">
        <v>0</v>
      </c>
      <c r="E388" s="9">
        <v>0</v>
      </c>
      <c r="F388" s="10">
        <v>0</v>
      </c>
      <c r="G388" s="11">
        <v>0</v>
      </c>
      <c r="H388" s="12" t="s">
        <v>14</v>
      </c>
      <c r="I388" s="13" t="s">
        <v>14</v>
      </c>
      <c r="J388" s="14">
        <v>0</v>
      </c>
      <c r="K388" s="15">
        <v>46016</v>
      </c>
    </row>
    <row r="389" spans="1:46" x14ac:dyDescent="0.25">
      <c r="A389" s="39"/>
      <c r="B389" s="18" t="s">
        <v>22</v>
      </c>
      <c r="C389" s="7">
        <v>181980.00000000003</v>
      </c>
      <c r="D389" s="8">
        <v>149374</v>
      </c>
      <c r="E389" s="9">
        <v>-270972</v>
      </c>
      <c r="F389" s="10">
        <v>0</v>
      </c>
      <c r="G389" s="11">
        <v>71960</v>
      </c>
      <c r="H389" s="12">
        <v>0.19174588453512631</v>
      </c>
      <c r="I389" s="13">
        <v>0.19174588453512631</v>
      </c>
      <c r="J389" s="14">
        <v>1.9859945708880767E-2</v>
      </c>
      <c r="K389" s="15">
        <v>46016</v>
      </c>
    </row>
    <row r="390" spans="1:46" x14ac:dyDescent="0.25">
      <c r="A390" s="39"/>
      <c r="B390" s="18" t="s">
        <v>37</v>
      </c>
      <c r="C390" s="7">
        <v>0</v>
      </c>
      <c r="D390" s="8">
        <v>49255</v>
      </c>
      <c r="E390" s="9">
        <v>0</v>
      </c>
      <c r="F390" s="10">
        <v>0</v>
      </c>
      <c r="G390" s="11">
        <v>50082</v>
      </c>
      <c r="H390" s="12">
        <v>1.6790173586437973E-2</v>
      </c>
      <c r="I390" s="13">
        <v>1.6790173586437973E-2</v>
      </c>
      <c r="J390" s="14">
        <v>1.3821926083826661E-2</v>
      </c>
      <c r="K390" s="15">
        <v>46016</v>
      </c>
    </row>
    <row r="391" spans="1:46" x14ac:dyDescent="0.25">
      <c r="A391" s="39"/>
      <c r="B391" s="18" t="s">
        <v>38</v>
      </c>
      <c r="C391" s="7">
        <v>137175</v>
      </c>
      <c r="D391" s="8">
        <v>53110</v>
      </c>
      <c r="E391" s="9">
        <v>0</v>
      </c>
      <c r="F391" s="10">
        <v>-1511.82</v>
      </c>
      <c r="G391" s="11">
        <v>203742</v>
      </c>
      <c r="H391" s="12">
        <v>7.9295268533379648E-2</v>
      </c>
      <c r="I391" s="28">
        <v>7.9295268533379648E-2</v>
      </c>
      <c r="J391" s="14">
        <v>5.6229920214268828E-2</v>
      </c>
      <c r="K391" s="15">
        <v>46016</v>
      </c>
    </row>
    <row r="392" spans="1:46" x14ac:dyDescent="0.25">
      <c r="A392" s="39"/>
      <c r="B392" s="18" t="s">
        <v>39</v>
      </c>
      <c r="C392" s="7">
        <v>101850</v>
      </c>
      <c r="D392" s="8">
        <v>45923.1</v>
      </c>
      <c r="E392" s="9">
        <v>0</v>
      </c>
      <c r="F392" s="10">
        <v>0</v>
      </c>
      <c r="G392" s="11">
        <v>148470</v>
      </c>
      <c r="H392" s="12">
        <v>4.7160139429978098E-3</v>
      </c>
      <c r="I392" s="13">
        <v>4.7160139429978098E-3</v>
      </c>
      <c r="J392" s="14">
        <v>4.0975627284568196E-2</v>
      </c>
      <c r="K392" s="15">
        <v>46016</v>
      </c>
    </row>
    <row r="393" spans="1:46" x14ac:dyDescent="0.25">
      <c r="A393" s="39"/>
      <c r="B393" s="18" t="s">
        <v>40</v>
      </c>
      <c r="C393" s="7">
        <v>41503.5</v>
      </c>
      <c r="D393" s="8">
        <v>0</v>
      </c>
      <c r="E393" s="9">
        <v>0</v>
      </c>
      <c r="F393" s="10">
        <v>0</v>
      </c>
      <c r="G393" s="11">
        <v>41499</v>
      </c>
      <c r="H393" s="12">
        <v>-1.0842459069715371E-4</v>
      </c>
      <c r="I393" s="28">
        <v>-1.0842459069715371E-4</v>
      </c>
      <c r="J393" s="14">
        <v>1.1453139062991146E-2</v>
      </c>
      <c r="K393" s="15">
        <v>46016</v>
      </c>
    </row>
    <row r="394" spans="1:46" x14ac:dyDescent="0.25">
      <c r="A394" s="39"/>
      <c r="B394" s="18" t="s">
        <v>41</v>
      </c>
      <c r="C394" s="7">
        <v>0</v>
      </c>
      <c r="D394" s="8">
        <v>0</v>
      </c>
      <c r="E394" s="9">
        <v>0</v>
      </c>
      <c r="F394" s="10">
        <v>0</v>
      </c>
      <c r="G394" s="11">
        <v>0</v>
      </c>
      <c r="H394" s="12" t="s">
        <v>14</v>
      </c>
      <c r="I394" s="28" t="s">
        <v>14</v>
      </c>
      <c r="J394" s="14">
        <v>0</v>
      </c>
      <c r="K394" s="15">
        <v>46016</v>
      </c>
    </row>
    <row r="395" spans="1:46" x14ac:dyDescent="0.25">
      <c r="A395" s="39"/>
      <c r="B395" s="18" t="s">
        <v>42</v>
      </c>
      <c r="C395" s="7">
        <v>93054</v>
      </c>
      <c r="D395" s="8">
        <v>51701.26</v>
      </c>
      <c r="E395" s="9">
        <v>0</v>
      </c>
      <c r="F395" s="10">
        <v>0</v>
      </c>
      <c r="G395" s="11">
        <v>151939.19999999998</v>
      </c>
      <c r="H395" s="12">
        <v>4.9628179314520127E-2</v>
      </c>
      <c r="I395" s="13">
        <v>4.9628179314520127E-2</v>
      </c>
      <c r="J395" s="14">
        <v>4.1933077585474932E-2</v>
      </c>
      <c r="K395" s="15">
        <v>46016</v>
      </c>
    </row>
    <row r="396" spans="1:46" x14ac:dyDescent="0.25">
      <c r="A396" s="39"/>
      <c r="B396" s="18" t="s">
        <v>43</v>
      </c>
      <c r="C396" s="7">
        <v>0</v>
      </c>
      <c r="D396" s="8">
        <v>0</v>
      </c>
      <c r="E396" s="9">
        <v>0</v>
      </c>
      <c r="F396" s="10">
        <v>0</v>
      </c>
      <c r="G396" s="11">
        <v>0</v>
      </c>
      <c r="H396" s="12" t="s">
        <v>14</v>
      </c>
      <c r="I396" s="13" t="s">
        <v>14</v>
      </c>
      <c r="J396" s="14">
        <v>0</v>
      </c>
      <c r="K396" s="15">
        <v>46016</v>
      </c>
    </row>
    <row r="397" spans="1:46" x14ac:dyDescent="0.25">
      <c r="A397" s="39"/>
      <c r="B397" s="18" t="s">
        <v>44</v>
      </c>
      <c r="C397" s="7">
        <v>0</v>
      </c>
      <c r="D397" s="8">
        <v>0</v>
      </c>
      <c r="E397" s="9">
        <v>0</v>
      </c>
      <c r="F397" s="10">
        <v>0</v>
      </c>
      <c r="G397" s="11">
        <v>0</v>
      </c>
      <c r="H397" s="12" t="s">
        <v>14</v>
      </c>
      <c r="I397" s="13" t="s">
        <v>14</v>
      </c>
      <c r="J397" s="14">
        <v>0</v>
      </c>
      <c r="K397" s="15">
        <v>46016</v>
      </c>
    </row>
    <row r="398" spans="1:46" ht="16.5" thickBot="1" x14ac:dyDescent="0.3">
      <c r="A398" s="39"/>
      <c r="B398" s="20" t="s">
        <v>23</v>
      </c>
      <c r="C398" s="21">
        <f t="shared" ref="C398:G398" si="11">SUM(C366:C397)</f>
        <v>3518128.51</v>
      </c>
      <c r="D398" s="22">
        <f t="shared" si="11"/>
        <v>773699.57</v>
      </c>
      <c r="E398" s="23">
        <f t="shared" si="11"/>
        <v>-849665</v>
      </c>
      <c r="F398" s="24">
        <f t="shared" si="11"/>
        <v>-3427.34</v>
      </c>
      <c r="G398" s="11">
        <f t="shared" si="11"/>
        <v>3623373.45</v>
      </c>
      <c r="H398" s="25">
        <f>(G398/(C398+D398+E398+F398))-1</f>
        <v>5.3693486199669405E-2</v>
      </c>
      <c r="I398" s="34"/>
      <c r="J398" s="14"/>
      <c r="K398" s="15">
        <v>46016</v>
      </c>
    </row>
    <row r="399" spans="1:46" ht="16.5" thickTop="1" x14ac:dyDescent="0.25">
      <c r="A399" s="38">
        <v>46047</v>
      </c>
      <c r="B399" s="18" t="s">
        <v>11</v>
      </c>
      <c r="C399" s="7" t="s">
        <v>45</v>
      </c>
      <c r="D399" s="8" t="s">
        <v>46</v>
      </c>
      <c r="E399" s="9" t="s">
        <v>46</v>
      </c>
      <c r="F399" s="10" t="s">
        <v>46</v>
      </c>
      <c r="G399" s="35">
        <v>34007.980000000003</v>
      </c>
      <c r="H399" s="12">
        <v>1.17E-2</v>
      </c>
      <c r="I399" s="13">
        <v>1.17E-2</v>
      </c>
      <c r="J399" s="14">
        <v>1.0800000000000001E-2</v>
      </c>
      <c r="K399" s="15">
        <v>46048</v>
      </c>
      <c r="N399" s="1" t="s">
        <v>47</v>
      </c>
      <c r="O399" s="1" t="s">
        <v>48</v>
      </c>
      <c r="P399" s="1" t="s">
        <v>49</v>
      </c>
      <c r="Q399" s="1" t="s">
        <v>46</v>
      </c>
      <c r="R399" s="1" t="s">
        <v>50</v>
      </c>
      <c r="S399" s="1" t="s">
        <v>51</v>
      </c>
      <c r="T399" s="1" t="s">
        <v>52</v>
      </c>
      <c r="U399" s="1" t="s">
        <v>53</v>
      </c>
      <c r="V399" s="1" t="s">
        <v>54</v>
      </c>
      <c r="W399" s="1" t="s">
        <v>55</v>
      </c>
      <c r="X399" s="1" t="s">
        <v>56</v>
      </c>
      <c r="Z399" s="1" t="s">
        <v>57</v>
      </c>
      <c r="AA399" s="1" t="s">
        <v>58</v>
      </c>
      <c r="AB399" s="1" t="s">
        <v>59</v>
      </c>
      <c r="AC399" s="1" t="s">
        <v>60</v>
      </c>
      <c r="AD399" s="1" t="s">
        <v>46</v>
      </c>
      <c r="AE399" s="1" t="s">
        <v>46</v>
      </c>
      <c r="AF399" s="1" t="s">
        <v>61</v>
      </c>
      <c r="AG399" s="1" t="s">
        <v>62</v>
      </c>
      <c r="AH399" s="1" t="s">
        <v>46</v>
      </c>
      <c r="AI399" s="1" t="s">
        <v>63</v>
      </c>
      <c r="AJ399" s="1" t="s">
        <v>46</v>
      </c>
      <c r="AK399" s="1" t="s">
        <v>46</v>
      </c>
      <c r="AL399" s="1" t="s">
        <v>46</v>
      </c>
      <c r="AM399" s="1" t="s">
        <v>64</v>
      </c>
      <c r="AN399" s="1" t="s">
        <v>65</v>
      </c>
      <c r="AO399" s="1" t="s">
        <v>66</v>
      </c>
      <c r="AP399" s="1" t="s">
        <v>46</v>
      </c>
      <c r="AQ399" s="1" t="s">
        <v>67</v>
      </c>
      <c r="AR399" s="1" t="s">
        <v>46</v>
      </c>
      <c r="AS399" s="1" t="s">
        <v>46</v>
      </c>
      <c r="AT399" s="1" t="s">
        <v>68</v>
      </c>
    </row>
    <row r="400" spans="1:46" x14ac:dyDescent="0.25">
      <c r="A400" s="39"/>
      <c r="B400" s="18" t="s">
        <v>12</v>
      </c>
      <c r="C400" s="7" t="s">
        <v>69</v>
      </c>
      <c r="D400" s="8" t="s">
        <v>46</v>
      </c>
      <c r="E400" s="9" t="s">
        <v>46</v>
      </c>
      <c r="F400" s="10" t="s">
        <v>46</v>
      </c>
      <c r="G400" s="36">
        <v>152757.14000000001</v>
      </c>
      <c r="H400" s="12">
        <v>1.18E-2</v>
      </c>
      <c r="I400" s="13">
        <v>1.18E-2</v>
      </c>
      <c r="J400" s="14">
        <v>4.8399999999999999E-2</v>
      </c>
      <c r="K400" s="15">
        <v>46048</v>
      </c>
      <c r="N400" s="1" t="s">
        <v>46</v>
      </c>
      <c r="O400" s="1" t="s">
        <v>46</v>
      </c>
      <c r="P400" s="1" t="s">
        <v>46</v>
      </c>
      <c r="Q400" s="1" t="s">
        <v>70</v>
      </c>
      <c r="R400" s="1" t="s">
        <v>46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71</v>
      </c>
      <c r="X400" s="1" t="s">
        <v>72</v>
      </c>
      <c r="Y400" s="1" t="s">
        <v>73</v>
      </c>
      <c r="Z400" s="1" t="s">
        <v>46</v>
      </c>
      <c r="AA400" s="1" t="s">
        <v>46</v>
      </c>
      <c r="AB400" s="1" t="s">
        <v>46</v>
      </c>
      <c r="AC400" s="1" t="s">
        <v>74</v>
      </c>
      <c r="AD400" s="1" t="s">
        <v>75</v>
      </c>
      <c r="AE400" s="1" t="s">
        <v>46</v>
      </c>
      <c r="AF400" s="1" t="s">
        <v>76</v>
      </c>
      <c r="AG400" s="1" t="s">
        <v>77</v>
      </c>
      <c r="AH400" s="1" t="s">
        <v>46</v>
      </c>
      <c r="AI400" s="1" t="s">
        <v>78</v>
      </c>
      <c r="AJ400" s="1" t="s">
        <v>46</v>
      </c>
      <c r="AK400" s="1" t="s">
        <v>46</v>
      </c>
      <c r="AL400" s="1" t="s">
        <v>46</v>
      </c>
      <c r="AM400" s="1" t="s">
        <v>46</v>
      </c>
      <c r="AN400" s="1" t="s">
        <v>79</v>
      </c>
      <c r="AO400" s="1" t="s">
        <v>80</v>
      </c>
      <c r="AP400" s="1" t="s">
        <v>46</v>
      </c>
      <c r="AQ400" s="1" t="s">
        <v>46</v>
      </c>
      <c r="AR400" s="1" t="s">
        <v>46</v>
      </c>
      <c r="AS400" s="1" t="s">
        <v>46</v>
      </c>
      <c r="AT400" s="1" t="s">
        <v>81</v>
      </c>
    </row>
    <row r="401" spans="1:47" x14ac:dyDescent="0.25">
      <c r="A401" s="39"/>
      <c r="B401" s="18" t="s">
        <v>13</v>
      </c>
      <c r="C401" s="7" t="s">
        <v>82</v>
      </c>
      <c r="D401" s="8" t="s">
        <v>46</v>
      </c>
      <c r="E401" s="9" t="s">
        <v>83</v>
      </c>
      <c r="F401" s="10" t="s">
        <v>46</v>
      </c>
      <c r="G401" s="36">
        <v>-333138</v>
      </c>
      <c r="H401" s="12">
        <v>0</v>
      </c>
      <c r="I401" s="13">
        <v>0</v>
      </c>
      <c r="J401" s="14">
        <v>-0.1056</v>
      </c>
      <c r="K401" s="15">
        <v>46048</v>
      </c>
      <c r="N401" s="1" t="s">
        <v>46</v>
      </c>
      <c r="O401" s="1" t="s">
        <v>46</v>
      </c>
      <c r="P401" s="1" t="s">
        <v>84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85</v>
      </c>
      <c r="X401" s="1" t="s">
        <v>46</v>
      </c>
      <c r="Y401" s="1" t="s">
        <v>46</v>
      </c>
      <c r="Z401" s="1" t="s">
        <v>46</v>
      </c>
      <c r="AA401" s="1" t="s">
        <v>46</v>
      </c>
      <c r="AB401" s="1" t="s">
        <v>46</v>
      </c>
      <c r="AC401" s="1" t="s">
        <v>86</v>
      </c>
      <c r="AD401" s="1" t="s">
        <v>46</v>
      </c>
      <c r="AE401" s="1" t="s">
        <v>46</v>
      </c>
      <c r="AF401" s="1" t="s">
        <v>46</v>
      </c>
      <c r="AG401" s="1" t="s">
        <v>46</v>
      </c>
      <c r="AH401" s="1" t="s">
        <v>46</v>
      </c>
      <c r="AI401" s="1" t="s">
        <v>46</v>
      </c>
      <c r="AJ401" s="1" t="s">
        <v>46</v>
      </c>
      <c r="AK401" s="1" t="s">
        <v>46</v>
      </c>
      <c r="AL401" s="1" t="s">
        <v>46</v>
      </c>
      <c r="AM401" s="1" t="s">
        <v>87</v>
      </c>
      <c r="AN401" s="1" t="s">
        <v>88</v>
      </c>
      <c r="AO401" s="1" t="s">
        <v>46</v>
      </c>
      <c r="AP401" s="1" t="s">
        <v>46</v>
      </c>
      <c r="AQ401" s="1" t="s">
        <v>46</v>
      </c>
      <c r="AR401" s="1" t="s">
        <v>46</v>
      </c>
      <c r="AS401" s="1" t="s">
        <v>46</v>
      </c>
      <c r="AT401" s="1" t="s">
        <v>89</v>
      </c>
    </row>
    <row r="402" spans="1:47" x14ac:dyDescent="0.25">
      <c r="A402" s="39"/>
      <c r="B402" s="18" t="s">
        <v>24</v>
      </c>
      <c r="C402" s="7" t="s">
        <v>90</v>
      </c>
      <c r="D402" s="8" t="s">
        <v>91</v>
      </c>
      <c r="E402" s="9" t="s">
        <v>92</v>
      </c>
      <c r="F402" s="10" t="s">
        <v>46</v>
      </c>
      <c r="G402" s="11">
        <v>0</v>
      </c>
      <c r="H402" s="12">
        <v>0.253</v>
      </c>
      <c r="I402" s="13">
        <v>-1</v>
      </c>
      <c r="J402" s="14">
        <v>0</v>
      </c>
      <c r="K402" s="15">
        <v>46048</v>
      </c>
      <c r="N402" s="1" t="s">
        <v>46</v>
      </c>
      <c r="O402" s="1" t="s">
        <v>46</v>
      </c>
      <c r="P402" s="1" t="s">
        <v>46</v>
      </c>
      <c r="R402" s="1" t="s">
        <v>46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  <c r="AA402" s="1" t="s">
        <v>46</v>
      </c>
      <c r="AB402" s="1" t="s">
        <v>46</v>
      </c>
      <c r="AC402" s="1" t="s">
        <v>46</v>
      </c>
      <c r="AD402" s="1" t="s">
        <v>46</v>
      </c>
      <c r="AE402" s="1" t="s">
        <v>46</v>
      </c>
      <c r="AF402" s="1" t="s">
        <v>46</v>
      </c>
      <c r="AG402" s="1" t="s">
        <v>46</v>
      </c>
      <c r="AH402" s="1" t="s">
        <v>46</v>
      </c>
      <c r="AI402" s="1" t="s">
        <v>46</v>
      </c>
      <c r="AJ402" s="1" t="s">
        <v>46</v>
      </c>
      <c r="AK402" s="1" t="s">
        <v>46</v>
      </c>
      <c r="AL402" s="1" t="s">
        <v>46</v>
      </c>
      <c r="AM402" s="1" t="s">
        <v>46</v>
      </c>
      <c r="AN402" s="1" t="s">
        <v>46</v>
      </c>
      <c r="AO402" s="1" t="s">
        <v>46</v>
      </c>
      <c r="AP402" s="1" t="s">
        <v>46</v>
      </c>
      <c r="AQ402" s="1" t="s">
        <v>46</v>
      </c>
      <c r="AR402" s="1" t="s">
        <v>46</v>
      </c>
      <c r="AS402" s="1" t="s">
        <v>46</v>
      </c>
      <c r="AT402" s="1" t="s">
        <v>46</v>
      </c>
    </row>
    <row r="403" spans="1:47" x14ac:dyDescent="0.25">
      <c r="A403" s="39"/>
      <c r="B403" s="18" t="s">
        <v>15</v>
      </c>
      <c r="C403" s="7" t="s">
        <v>93</v>
      </c>
      <c r="D403" s="8" t="s">
        <v>46</v>
      </c>
      <c r="E403" s="9" t="s">
        <v>46</v>
      </c>
      <c r="F403" s="10" t="s">
        <v>46</v>
      </c>
      <c r="G403" s="36">
        <v>115725.16</v>
      </c>
      <c r="H403" s="12">
        <v>1.18E-2</v>
      </c>
      <c r="I403" s="13">
        <v>1.18E-2</v>
      </c>
      <c r="J403" s="14">
        <v>3.6700000000000003E-2</v>
      </c>
      <c r="K403" s="15">
        <v>46048</v>
      </c>
      <c r="N403" s="1" t="s">
        <v>94</v>
      </c>
      <c r="O403" s="1" t="s">
        <v>95</v>
      </c>
      <c r="P403" s="1" t="s">
        <v>96</v>
      </c>
      <c r="Q403" s="1" t="s">
        <v>97</v>
      </c>
      <c r="R403" s="1" t="s">
        <v>98</v>
      </c>
      <c r="S403" s="1" t="s">
        <v>99</v>
      </c>
      <c r="T403" s="1" t="s">
        <v>100</v>
      </c>
      <c r="U403" s="1" t="s">
        <v>101</v>
      </c>
      <c r="V403" s="1" t="s">
        <v>102</v>
      </c>
      <c r="W403" s="1" t="s">
        <v>103</v>
      </c>
      <c r="X403" s="1" t="s">
        <v>104</v>
      </c>
      <c r="Y403" s="1" t="s">
        <v>105</v>
      </c>
      <c r="Z403" s="1" t="s">
        <v>106</v>
      </c>
      <c r="AA403" s="1" t="s">
        <v>107</v>
      </c>
      <c r="AB403" s="1" t="s">
        <v>108</v>
      </c>
      <c r="AC403" s="1" t="s">
        <v>109</v>
      </c>
      <c r="AD403" s="1" t="s">
        <v>110</v>
      </c>
      <c r="AE403" s="1" t="s">
        <v>46</v>
      </c>
      <c r="AF403" s="1" t="s">
        <v>111</v>
      </c>
      <c r="AG403" s="1" t="s">
        <v>112</v>
      </c>
      <c r="AH403" s="1" t="s">
        <v>46</v>
      </c>
      <c r="AI403" s="1" t="s">
        <v>113</v>
      </c>
      <c r="AJ403" s="1" t="s">
        <v>46</v>
      </c>
      <c r="AK403" s="1" t="s">
        <v>46</v>
      </c>
      <c r="AL403" s="1" t="s">
        <v>46</v>
      </c>
      <c r="AM403" s="1" t="s">
        <v>46</v>
      </c>
      <c r="AN403" s="1" t="s">
        <v>114</v>
      </c>
      <c r="AO403" s="1" t="s">
        <v>115</v>
      </c>
      <c r="AP403" s="1" t="s">
        <v>46</v>
      </c>
      <c r="AQ403" s="1" t="s">
        <v>116</v>
      </c>
      <c r="AR403" s="1" t="s">
        <v>46</v>
      </c>
      <c r="AS403" s="1" t="s">
        <v>46</v>
      </c>
      <c r="AT403" s="1" t="s">
        <v>117</v>
      </c>
    </row>
    <row r="404" spans="1:47" x14ac:dyDescent="0.25">
      <c r="A404" s="39"/>
      <c r="B404" s="18" t="s">
        <v>25</v>
      </c>
      <c r="C404" s="7" t="s">
        <v>118</v>
      </c>
      <c r="D404" s="8" t="s">
        <v>46</v>
      </c>
      <c r="E404" s="9" t="s">
        <v>119</v>
      </c>
      <c r="F404" s="10" t="s">
        <v>46</v>
      </c>
      <c r="G404" s="36">
        <v>15570.68</v>
      </c>
      <c r="H404" s="12">
        <v>1.3599999999999999E-2</v>
      </c>
      <c r="I404" s="13">
        <v>1.3599999999999999E-2</v>
      </c>
      <c r="J404" s="14">
        <v>4.8999999999999998E-3</v>
      </c>
      <c r="K404" s="15">
        <v>46048</v>
      </c>
      <c r="N404" s="37">
        <v>7.1999999999999998E-3</v>
      </c>
      <c r="O404" s="37">
        <v>7.1999999999999998E-3</v>
      </c>
      <c r="P404" s="37">
        <v>0</v>
      </c>
      <c r="Q404" s="37">
        <v>3.0000000000000001E-3</v>
      </c>
      <c r="R404" s="37">
        <v>6.6E-3</v>
      </c>
      <c r="S404" s="37">
        <v>4.1999999999999997E-3</v>
      </c>
      <c r="T404" s="37">
        <v>5.8999999999999999E-3</v>
      </c>
      <c r="U404" s="37">
        <v>6.7000000000000002E-3</v>
      </c>
      <c r="V404" s="37">
        <v>5.4000000000000003E-3</v>
      </c>
      <c r="W404" s="37">
        <v>-2.3699999999999999E-2</v>
      </c>
      <c r="X404" s="37">
        <v>6.1699999999999998E-2</v>
      </c>
      <c r="Y404" s="37">
        <v>2E-3</v>
      </c>
      <c r="Z404" s="37">
        <v>5.4000000000000003E-3</v>
      </c>
      <c r="AA404" s="37">
        <v>5.1999999999999998E-3</v>
      </c>
      <c r="AB404" s="37">
        <v>8.0999999999999996E-3</v>
      </c>
      <c r="AC404" s="37">
        <v>0.17480000000000001</v>
      </c>
      <c r="AD404" s="37">
        <v>1.5E-3</v>
      </c>
      <c r="AF404" s="37">
        <v>-6.6000000000000003E-2</v>
      </c>
      <c r="AG404" s="37">
        <v>-5.2600000000000001E-2</v>
      </c>
      <c r="AI404" s="37">
        <v>-0.13059999999999999</v>
      </c>
      <c r="AM404" s="37">
        <v>0.17349999999999999</v>
      </c>
      <c r="AN404" s="37">
        <v>-9.4399999999999998E-2</v>
      </c>
      <c r="AO404" s="37">
        <v>-4.58E-2</v>
      </c>
      <c r="AQ404" s="37">
        <v>-6.5600000000000006E-2</v>
      </c>
      <c r="AT404" s="37">
        <v>-9.1000000000000004E-3</v>
      </c>
    </row>
    <row r="405" spans="1:47" x14ac:dyDescent="0.25">
      <c r="A405" s="39"/>
      <c r="B405" s="18" t="s">
        <v>16</v>
      </c>
      <c r="C405" s="7" t="s">
        <v>120</v>
      </c>
      <c r="D405" s="8" t="s">
        <v>46</v>
      </c>
      <c r="E405" s="9" t="s">
        <v>46</v>
      </c>
      <c r="F405" s="10" t="s">
        <v>46</v>
      </c>
      <c r="G405" s="36">
        <v>190427.39</v>
      </c>
      <c r="H405" s="12">
        <v>1.2699999999999999E-2</v>
      </c>
      <c r="I405" s="13">
        <v>1.2699999999999999E-2</v>
      </c>
      <c r="J405" s="14">
        <v>6.0400000000000002E-2</v>
      </c>
      <c r="K405" s="15">
        <v>46048</v>
      </c>
      <c r="N405" s="37">
        <v>7.1999999999999998E-3</v>
      </c>
      <c r="O405" s="37">
        <v>7.1999999999999998E-3</v>
      </c>
      <c r="P405" s="37">
        <v>0</v>
      </c>
      <c r="Q405" s="37">
        <v>3.0000000000000001E-3</v>
      </c>
      <c r="R405" s="37">
        <v>6.6E-3</v>
      </c>
      <c r="S405" s="37">
        <v>4.1999999999999997E-3</v>
      </c>
      <c r="T405" s="37">
        <v>5.8999999999999999E-3</v>
      </c>
      <c r="U405" s="37">
        <v>6.7000000000000002E-3</v>
      </c>
      <c r="V405" s="37">
        <v>5.4000000000000003E-3</v>
      </c>
      <c r="W405" s="37">
        <v>-2.3699999999999999E-2</v>
      </c>
      <c r="X405" s="37">
        <v>6.1699999999999998E-2</v>
      </c>
      <c r="Y405" s="37">
        <v>2E-3</v>
      </c>
      <c r="Z405" s="37">
        <v>5.4000000000000003E-3</v>
      </c>
      <c r="AA405" s="37">
        <v>5.1999999999999998E-3</v>
      </c>
      <c r="AB405" s="37">
        <v>8.0999999999999996E-3</v>
      </c>
      <c r="AC405" s="37">
        <v>0.17480000000000001</v>
      </c>
      <c r="AD405" s="37">
        <v>1.5E-3</v>
      </c>
      <c r="AE405" s="37"/>
      <c r="AF405" s="37">
        <v>-6.6000000000000003E-2</v>
      </c>
      <c r="AG405" s="37">
        <v>-5.2600000000000001E-2</v>
      </c>
      <c r="AH405" s="37"/>
      <c r="AI405" s="37">
        <v>-0.13059999999999999</v>
      </c>
      <c r="AJ405" s="37"/>
      <c r="AL405" s="37"/>
      <c r="AM405" s="37">
        <v>-1</v>
      </c>
      <c r="AN405" s="37">
        <v>-9.4399999999999998E-2</v>
      </c>
      <c r="AO405" s="37">
        <v>-4.58E-2</v>
      </c>
      <c r="AP405" s="37"/>
      <c r="AQ405" s="37">
        <v>-6.5600000000000006E-2</v>
      </c>
      <c r="AR405" s="37"/>
      <c r="AT405" s="37">
        <v>-9.1000000000000004E-3</v>
      </c>
      <c r="AU405" s="37"/>
    </row>
    <row r="406" spans="1:47" x14ac:dyDescent="0.25">
      <c r="A406" s="39"/>
      <c r="B406" s="18" t="s">
        <v>26</v>
      </c>
      <c r="C406" s="7" t="s">
        <v>121</v>
      </c>
      <c r="D406" s="8" t="s">
        <v>46</v>
      </c>
      <c r="E406" s="9" t="s">
        <v>46</v>
      </c>
      <c r="F406" s="10" t="s">
        <v>46</v>
      </c>
      <c r="G406" s="36">
        <v>235057.83</v>
      </c>
      <c r="H406" s="12">
        <v>1.17E-2</v>
      </c>
      <c r="I406" s="13">
        <v>1.17E-2</v>
      </c>
      <c r="J406" s="14">
        <v>7.4499999999999997E-2</v>
      </c>
      <c r="K406" s="15">
        <v>46048</v>
      </c>
      <c r="N406" s="37">
        <v>1.0200000000000001E-2</v>
      </c>
      <c r="O406" s="37">
        <v>4.5600000000000002E-2</v>
      </c>
      <c r="P406" s="37">
        <v>-2.1000000000000001E-2</v>
      </c>
      <c r="Q406" s="37">
        <v>3.0700000000000002E-2</v>
      </c>
      <c r="R406" s="37">
        <v>3.4500000000000003E-2</v>
      </c>
      <c r="S406" s="37">
        <v>4.5999999999999999E-3</v>
      </c>
      <c r="T406" s="37">
        <v>5.6800000000000003E-2</v>
      </c>
      <c r="U406" s="37">
        <v>7.0099999999999996E-2</v>
      </c>
      <c r="V406" s="37">
        <v>6.8599999999999994E-2</v>
      </c>
      <c r="W406" s="37">
        <v>2.93E-2</v>
      </c>
      <c r="X406" s="37">
        <v>0.1158</v>
      </c>
      <c r="Y406" s="37">
        <v>8.6E-3</v>
      </c>
      <c r="Z406" s="37">
        <v>3.6299999999999999E-2</v>
      </c>
      <c r="AA406" s="37">
        <v>6.9000000000000006E-2</v>
      </c>
      <c r="AB406" s="37">
        <v>1.9E-2</v>
      </c>
      <c r="AC406" s="37">
        <v>2.1600000000000001E-2</v>
      </c>
      <c r="AD406" s="37">
        <v>6.1000000000000004E-3</v>
      </c>
      <c r="AE406" s="37">
        <v>0</v>
      </c>
      <c r="AF406" s="37">
        <v>0.23419999999999999</v>
      </c>
      <c r="AG406" s="37">
        <v>4.02E-2</v>
      </c>
      <c r="AH406" s="37">
        <v>0</v>
      </c>
      <c r="AI406" s="37">
        <v>2.23E-2</v>
      </c>
      <c r="AJ406" s="37">
        <v>0</v>
      </c>
      <c r="AK406" s="37">
        <v>0</v>
      </c>
      <c r="AL406" s="37">
        <v>0</v>
      </c>
      <c r="AM406" s="37">
        <v>0</v>
      </c>
      <c r="AN406" s="37">
        <v>3.6999999999999998E-2</v>
      </c>
      <c r="AO406" s="37">
        <v>1.6799999999999999E-2</v>
      </c>
      <c r="AP406" s="37">
        <v>0</v>
      </c>
      <c r="AQ406" s="37">
        <v>4.3400000000000001E-2</v>
      </c>
      <c r="AR406" s="37">
        <v>0</v>
      </c>
      <c r="AS406" s="37">
        <v>0</v>
      </c>
      <c r="AT406" s="37">
        <v>1</v>
      </c>
      <c r="AU406" s="37"/>
    </row>
    <row r="407" spans="1:47" x14ac:dyDescent="0.25">
      <c r="A407" s="39"/>
      <c r="B407" s="18" t="s">
        <v>122</v>
      </c>
      <c r="C407" s="7" t="s">
        <v>123</v>
      </c>
      <c r="D407" s="8" t="s">
        <v>46</v>
      </c>
      <c r="E407" s="9" t="s">
        <v>46</v>
      </c>
      <c r="F407" s="30" t="s">
        <v>46</v>
      </c>
      <c r="G407" s="36">
        <v>230200</v>
      </c>
      <c r="H407" s="12">
        <v>1.18E-2</v>
      </c>
      <c r="I407" s="13">
        <v>1.18E-2</v>
      </c>
      <c r="J407" s="14">
        <v>7.2999999999999995E-2</v>
      </c>
      <c r="K407" s="15">
        <v>46048</v>
      </c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</row>
    <row r="408" spans="1:47" x14ac:dyDescent="0.25">
      <c r="A408" s="39"/>
      <c r="B408" s="18" t="s">
        <v>17</v>
      </c>
      <c r="C408" s="7" t="s">
        <v>124</v>
      </c>
      <c r="D408" s="8" t="s">
        <v>125</v>
      </c>
      <c r="E408" s="9" t="s">
        <v>126</v>
      </c>
      <c r="F408" s="10" t="s">
        <v>46</v>
      </c>
      <c r="G408" s="36">
        <v>89125.92</v>
      </c>
      <c r="H408" s="12">
        <v>-5.4100000000000002E-2</v>
      </c>
      <c r="I408" s="13">
        <v>-5.4100000000000002E-2</v>
      </c>
      <c r="J408" s="14">
        <v>2.8199999999999999E-2</v>
      </c>
      <c r="K408" s="15">
        <v>46048</v>
      </c>
    </row>
    <row r="409" spans="1:47" x14ac:dyDescent="0.25">
      <c r="A409" s="39"/>
      <c r="B409" s="18" t="s">
        <v>18</v>
      </c>
      <c r="C409" s="7" t="s">
        <v>127</v>
      </c>
      <c r="D409" s="33" t="s">
        <v>128</v>
      </c>
      <c r="E409" s="9" t="s">
        <v>46</v>
      </c>
      <c r="F409" s="10" t="s">
        <v>46</v>
      </c>
      <c r="G409" s="36">
        <v>339349</v>
      </c>
      <c r="H409" s="12">
        <v>0</v>
      </c>
      <c r="I409" s="13">
        <v>0</v>
      </c>
      <c r="J409" s="14">
        <v>0.1076</v>
      </c>
      <c r="K409" s="15">
        <v>46048</v>
      </c>
    </row>
    <row r="410" spans="1:47" x14ac:dyDescent="0.25">
      <c r="A410" s="39"/>
      <c r="B410" s="18" t="s">
        <v>129</v>
      </c>
      <c r="C410" s="7" t="s">
        <v>46</v>
      </c>
      <c r="D410" s="8"/>
      <c r="E410" s="9" t="s">
        <v>46</v>
      </c>
      <c r="F410" s="10" t="s">
        <v>46</v>
      </c>
      <c r="G410" s="11">
        <v>0</v>
      </c>
      <c r="H410" s="12"/>
      <c r="I410" s="13"/>
      <c r="J410" s="14">
        <v>0</v>
      </c>
      <c r="K410" s="15">
        <v>46048</v>
      </c>
    </row>
    <row r="411" spans="1:47" x14ac:dyDescent="0.25">
      <c r="A411" s="39"/>
      <c r="B411" s="18" t="s">
        <v>29</v>
      </c>
      <c r="C411" s="7" t="s">
        <v>130</v>
      </c>
      <c r="D411" s="8" t="s">
        <v>46</v>
      </c>
      <c r="E411" s="9" t="s">
        <v>46</v>
      </c>
      <c r="F411" s="10" t="s">
        <v>46</v>
      </c>
      <c r="G411" s="36">
        <v>121859.62</v>
      </c>
      <c r="H411" s="12">
        <v>8.0999999999999996E-3</v>
      </c>
      <c r="I411" s="13">
        <v>8.0999999999999996E-3</v>
      </c>
      <c r="J411" s="14">
        <v>3.8600000000000002E-2</v>
      </c>
      <c r="K411" s="15">
        <v>46048</v>
      </c>
    </row>
    <row r="412" spans="1:47" x14ac:dyDescent="0.25">
      <c r="A412" s="39"/>
      <c r="B412" s="18" t="s">
        <v>19</v>
      </c>
      <c r="C412" s="7" t="s">
        <v>131</v>
      </c>
      <c r="D412" s="8" t="s">
        <v>46</v>
      </c>
      <c r="E412" s="9" t="s">
        <v>46</v>
      </c>
      <c r="F412" s="10" t="s">
        <v>46</v>
      </c>
      <c r="G412" s="36">
        <v>231658.11</v>
      </c>
      <c r="H412" s="12">
        <v>8.6999999999999994E-3</v>
      </c>
      <c r="I412" s="13">
        <v>8.6999999999999994E-3</v>
      </c>
      <c r="J412" s="14">
        <v>7.3400000000000007E-2</v>
      </c>
      <c r="K412" s="15">
        <v>46048</v>
      </c>
    </row>
    <row r="413" spans="1:47" x14ac:dyDescent="0.25">
      <c r="A413" s="39"/>
      <c r="B413" s="18" t="s">
        <v>30</v>
      </c>
      <c r="C413" s="7" t="s">
        <v>132</v>
      </c>
      <c r="D413" s="8" t="s">
        <v>46</v>
      </c>
      <c r="E413" s="9" t="s">
        <v>46</v>
      </c>
      <c r="F413" s="10" t="s">
        <v>46</v>
      </c>
      <c r="G413" s="36">
        <v>63463</v>
      </c>
      <c r="H413" s="12">
        <v>1.35E-2</v>
      </c>
      <c r="I413" s="13">
        <v>1.35E-2</v>
      </c>
      <c r="J413" s="14">
        <v>2.01E-2</v>
      </c>
      <c r="K413" s="15">
        <v>46048</v>
      </c>
    </row>
    <row r="414" spans="1:47" x14ac:dyDescent="0.25">
      <c r="A414" s="39"/>
      <c r="B414" s="18" t="s">
        <v>31</v>
      </c>
      <c r="C414" s="7" t="s">
        <v>133</v>
      </c>
      <c r="D414" s="8" t="s">
        <v>46</v>
      </c>
      <c r="E414" s="9" t="s">
        <v>134</v>
      </c>
      <c r="F414" s="10"/>
      <c r="G414" s="36">
        <v>176421</v>
      </c>
      <c r="H414" s="12">
        <v>0.41199999999999998</v>
      </c>
      <c r="I414" s="13">
        <v>0.41199999999999998</v>
      </c>
      <c r="J414" s="14">
        <v>5.5899999999999998E-2</v>
      </c>
      <c r="K414" s="15">
        <v>46048</v>
      </c>
    </row>
    <row r="415" spans="1:47" x14ac:dyDescent="0.25">
      <c r="A415" s="39"/>
      <c r="B415" s="18" t="s">
        <v>32</v>
      </c>
      <c r="C415" s="31" t="s">
        <v>135</v>
      </c>
      <c r="D415" s="8" t="s">
        <v>46</v>
      </c>
      <c r="E415" s="9" t="s">
        <v>136</v>
      </c>
      <c r="F415" s="10" t="s">
        <v>46</v>
      </c>
      <c r="G415" s="11">
        <v>0</v>
      </c>
      <c r="H415" s="12">
        <v>2.5000000000000001E-3</v>
      </c>
      <c r="I415" s="28">
        <v>-1</v>
      </c>
      <c r="J415" s="14">
        <v>0</v>
      </c>
      <c r="K415" s="15">
        <v>46048</v>
      </c>
    </row>
    <row r="416" spans="1:47" x14ac:dyDescent="0.25">
      <c r="A416" s="39"/>
      <c r="B416" s="18" t="s">
        <v>33</v>
      </c>
      <c r="C416" s="7" t="s">
        <v>46</v>
      </c>
      <c r="D416" s="8" t="s">
        <v>46</v>
      </c>
      <c r="E416" s="9" t="s">
        <v>46</v>
      </c>
      <c r="F416" s="10" t="s">
        <v>46</v>
      </c>
      <c r="G416" s="11">
        <v>0</v>
      </c>
      <c r="H416" s="12"/>
      <c r="I416" s="13"/>
      <c r="J416" s="14">
        <v>0</v>
      </c>
      <c r="K416" s="15">
        <v>46048</v>
      </c>
    </row>
    <row r="417" spans="1:11" x14ac:dyDescent="0.25">
      <c r="A417" s="39"/>
      <c r="B417" s="18" t="s">
        <v>34</v>
      </c>
      <c r="C417" s="7" t="s">
        <v>137</v>
      </c>
      <c r="D417" s="8" t="s">
        <v>138</v>
      </c>
      <c r="E417" s="9" t="s">
        <v>46</v>
      </c>
      <c r="F417" s="10" t="s">
        <v>46</v>
      </c>
      <c r="G417" s="36">
        <v>839346.52</v>
      </c>
      <c r="H417" s="12">
        <v>-6.3899999999999998E-2</v>
      </c>
      <c r="I417" s="13">
        <v>-6.3899999999999998E-2</v>
      </c>
      <c r="J417" s="14">
        <v>0.26600000000000001</v>
      </c>
      <c r="K417" s="15">
        <v>46048</v>
      </c>
    </row>
    <row r="418" spans="1:11" x14ac:dyDescent="0.25">
      <c r="A418" s="39"/>
      <c r="B418" s="18" t="s">
        <v>35</v>
      </c>
      <c r="C418" s="7" t="s">
        <v>139</v>
      </c>
      <c r="D418" s="8" t="s">
        <v>140</v>
      </c>
      <c r="E418" s="9" t="s">
        <v>141</v>
      </c>
      <c r="F418" s="10" t="s">
        <v>46</v>
      </c>
      <c r="G418" s="36">
        <v>108916.5</v>
      </c>
      <c r="H418" s="12">
        <v>3.9399999999999998E-2</v>
      </c>
      <c r="I418" s="13">
        <v>3.9399999999999998E-2</v>
      </c>
      <c r="J418" s="14">
        <v>3.4500000000000003E-2</v>
      </c>
      <c r="K418" s="15">
        <v>46048</v>
      </c>
    </row>
    <row r="419" spans="1:11" x14ac:dyDescent="0.25">
      <c r="A419" s="39"/>
      <c r="B419" s="18" t="s">
        <v>20</v>
      </c>
      <c r="C419" s="7" t="s">
        <v>46</v>
      </c>
      <c r="D419" s="8" t="s">
        <v>46</v>
      </c>
      <c r="E419" s="9" t="s">
        <v>46</v>
      </c>
      <c r="F419" s="10" t="s">
        <v>46</v>
      </c>
      <c r="G419" s="11">
        <v>0</v>
      </c>
      <c r="H419" s="12"/>
      <c r="I419" s="13"/>
      <c r="J419" s="14">
        <v>0</v>
      </c>
      <c r="K419" s="15">
        <v>46048</v>
      </c>
    </row>
    <row r="420" spans="1:11" x14ac:dyDescent="0.25">
      <c r="A420" s="39"/>
      <c r="B420" s="18" t="s">
        <v>36</v>
      </c>
      <c r="C420" s="7" t="s">
        <v>142</v>
      </c>
      <c r="D420" s="8" t="s">
        <v>46</v>
      </c>
      <c r="E420" s="9" t="s">
        <v>46</v>
      </c>
      <c r="F420" s="10" t="s">
        <v>46</v>
      </c>
      <c r="G420" s="36">
        <v>65313</v>
      </c>
      <c r="H420" s="12">
        <v>8.3699999999999997E-2</v>
      </c>
      <c r="I420" s="28">
        <v>8.3699999999999997E-2</v>
      </c>
      <c r="J420" s="14">
        <v>2.07E-2</v>
      </c>
      <c r="K420" s="15">
        <v>46048</v>
      </c>
    </row>
    <row r="421" spans="1:11" x14ac:dyDescent="0.25">
      <c r="A421" s="39"/>
      <c r="B421" s="18" t="s">
        <v>21</v>
      </c>
      <c r="C421" s="7" t="s">
        <v>46</v>
      </c>
      <c r="D421" s="8" t="s">
        <v>46</v>
      </c>
      <c r="E421" s="9" t="s">
        <v>46</v>
      </c>
      <c r="F421" s="10" t="s">
        <v>46</v>
      </c>
      <c r="G421" s="11">
        <v>0</v>
      </c>
      <c r="H421" s="12"/>
      <c r="I421" s="13"/>
      <c r="J421" s="14">
        <v>0</v>
      </c>
      <c r="K421" s="15">
        <v>46048</v>
      </c>
    </row>
    <row r="422" spans="1:11" x14ac:dyDescent="0.25">
      <c r="A422" s="39"/>
      <c r="B422" s="18" t="s">
        <v>22</v>
      </c>
      <c r="C422" s="7" t="s">
        <v>143</v>
      </c>
      <c r="D422" s="8" t="s">
        <v>46</v>
      </c>
      <c r="E422" s="9" t="s">
        <v>144</v>
      </c>
      <c r="F422" s="10" t="s">
        <v>46</v>
      </c>
      <c r="G422" s="11">
        <v>0</v>
      </c>
      <c r="H422" s="12">
        <v>5.3800000000000001E-2</v>
      </c>
      <c r="I422" s="13">
        <v>-1</v>
      </c>
      <c r="J422" s="14">
        <v>0</v>
      </c>
      <c r="K422" s="15">
        <v>46048</v>
      </c>
    </row>
    <row r="423" spans="1:11" x14ac:dyDescent="0.25">
      <c r="A423" s="39"/>
      <c r="B423" s="18" t="s">
        <v>37</v>
      </c>
      <c r="C423" s="7" t="s">
        <v>145</v>
      </c>
      <c r="D423" s="8" t="s">
        <v>146</v>
      </c>
      <c r="E423" s="9" t="s">
        <v>147</v>
      </c>
      <c r="F423" s="10" t="s">
        <v>46</v>
      </c>
      <c r="G423" s="11">
        <v>0</v>
      </c>
      <c r="H423" s="12">
        <v>-9.0499999999999997E-2</v>
      </c>
      <c r="I423" s="13">
        <v>-1</v>
      </c>
      <c r="J423" s="14">
        <v>0</v>
      </c>
      <c r="K423" s="15">
        <v>46048</v>
      </c>
    </row>
    <row r="424" spans="1:11" x14ac:dyDescent="0.25">
      <c r="A424" s="39"/>
      <c r="B424" s="18" t="s">
        <v>38</v>
      </c>
      <c r="C424" s="7" t="s">
        <v>148</v>
      </c>
      <c r="D424" s="8" t="s">
        <v>46</v>
      </c>
      <c r="E424" s="9" t="s">
        <v>149</v>
      </c>
      <c r="F424" s="10" t="s">
        <v>46</v>
      </c>
      <c r="G424" s="36">
        <v>170676</v>
      </c>
      <c r="H424" s="12">
        <v>8.3799999999999999E-2</v>
      </c>
      <c r="I424" s="28">
        <v>8.3799999999999999E-2</v>
      </c>
      <c r="J424" s="14">
        <v>5.4100000000000002E-2</v>
      </c>
      <c r="K424" s="15">
        <v>46048</v>
      </c>
    </row>
    <row r="425" spans="1:11" x14ac:dyDescent="0.25">
      <c r="A425" s="39"/>
      <c r="B425" s="18" t="s">
        <v>39</v>
      </c>
      <c r="C425" s="7" t="s">
        <v>150</v>
      </c>
      <c r="D425" s="8" t="s">
        <v>46</v>
      </c>
      <c r="E425" s="9" t="s">
        <v>151</v>
      </c>
      <c r="F425" s="10" t="s">
        <v>46</v>
      </c>
      <c r="G425" s="36">
        <v>108767.5</v>
      </c>
      <c r="H425" s="12">
        <v>0.1265</v>
      </c>
      <c r="I425" s="13">
        <v>0.1265</v>
      </c>
      <c r="J425" s="14">
        <v>3.4500000000000003E-2</v>
      </c>
      <c r="K425" s="15">
        <v>46048</v>
      </c>
    </row>
    <row r="426" spans="1:11" x14ac:dyDescent="0.25">
      <c r="A426" s="39"/>
      <c r="B426" s="18" t="s">
        <v>40</v>
      </c>
      <c r="C426" s="7" t="s">
        <v>152</v>
      </c>
      <c r="D426" s="8" t="s">
        <v>46</v>
      </c>
      <c r="E426" s="9"/>
      <c r="F426" s="10" t="s">
        <v>46</v>
      </c>
      <c r="G426" s="36">
        <v>42619.5</v>
      </c>
      <c r="H426" s="12">
        <v>2.7E-2</v>
      </c>
      <c r="I426" s="28">
        <v>2.7E-2</v>
      </c>
      <c r="J426" s="14">
        <v>1.35E-2</v>
      </c>
      <c r="K426" s="15">
        <v>46048</v>
      </c>
    </row>
    <row r="427" spans="1:11" x14ac:dyDescent="0.25">
      <c r="A427" s="39"/>
      <c r="B427" s="18" t="s">
        <v>41</v>
      </c>
      <c r="C427" s="7" t="s">
        <v>46</v>
      </c>
      <c r="D427" s="8" t="s">
        <v>46</v>
      </c>
      <c r="E427" s="9" t="s">
        <v>46</v>
      </c>
      <c r="F427" s="10" t="s">
        <v>46</v>
      </c>
      <c r="G427" s="11">
        <v>0</v>
      </c>
      <c r="H427" s="12"/>
      <c r="I427" s="28"/>
      <c r="J427" s="14">
        <v>0</v>
      </c>
      <c r="K427" s="15">
        <v>46048</v>
      </c>
    </row>
    <row r="428" spans="1:11" x14ac:dyDescent="0.25">
      <c r="A428" s="39"/>
      <c r="B428" s="18" t="s">
        <v>42</v>
      </c>
      <c r="C428" s="7" t="s">
        <v>153</v>
      </c>
      <c r="D428" s="8" t="s">
        <v>154</v>
      </c>
      <c r="E428" s="9" t="s">
        <v>46</v>
      </c>
      <c r="F428" s="10" t="s">
        <v>46</v>
      </c>
      <c r="G428" s="36">
        <v>156847.79999999999</v>
      </c>
      <c r="H428" s="12">
        <v>-6.7900000000000002E-2</v>
      </c>
      <c r="I428" s="13">
        <v>-6.7900000000000002E-2</v>
      </c>
      <c r="J428" s="14">
        <v>4.9700000000000001E-2</v>
      </c>
      <c r="K428" s="15">
        <v>46048</v>
      </c>
    </row>
    <row r="429" spans="1:11" x14ac:dyDescent="0.25">
      <c r="A429" s="39"/>
      <c r="B429" s="18" t="s">
        <v>43</v>
      </c>
      <c r="C429" s="7" t="s">
        <v>46</v>
      </c>
      <c r="D429" s="8" t="s">
        <v>46</v>
      </c>
      <c r="E429" s="9" t="s">
        <v>46</v>
      </c>
      <c r="F429" s="10" t="s">
        <v>46</v>
      </c>
      <c r="G429" s="11">
        <v>0</v>
      </c>
      <c r="H429" s="12"/>
      <c r="I429" s="13"/>
      <c r="J429" s="14">
        <v>0</v>
      </c>
      <c r="K429" s="15">
        <v>46048</v>
      </c>
    </row>
    <row r="430" spans="1:11" x14ac:dyDescent="0.25">
      <c r="A430" s="39"/>
      <c r="B430" s="18" t="s">
        <v>44</v>
      </c>
      <c r="C430" s="7" t="s">
        <v>46</v>
      </c>
      <c r="D430" s="8" t="s">
        <v>46</v>
      </c>
      <c r="E430" s="9" t="s">
        <v>46</v>
      </c>
      <c r="F430" s="10" t="s">
        <v>46</v>
      </c>
      <c r="G430" s="11">
        <v>0</v>
      </c>
      <c r="H430" s="12"/>
      <c r="I430" s="13"/>
      <c r="J430" s="14">
        <v>0</v>
      </c>
      <c r="K430" s="15">
        <v>46048</v>
      </c>
    </row>
    <row r="431" spans="1:11" ht="16.5" thickBot="1" x14ac:dyDescent="0.3">
      <c r="A431" s="39"/>
      <c r="B431" s="20" t="s">
        <v>23</v>
      </c>
      <c r="C431" s="21" t="s">
        <v>155</v>
      </c>
      <c r="D431" s="22" t="s">
        <v>156</v>
      </c>
      <c r="E431" s="23" t="s">
        <v>157</v>
      </c>
      <c r="F431" s="24" t="s">
        <v>46</v>
      </c>
      <c r="G431" s="36">
        <v>3154971.65</v>
      </c>
      <c r="H431" s="25">
        <v>8.2000000000000007E-3</v>
      </c>
      <c r="I431" s="34">
        <v>8.2000000000000007E-3</v>
      </c>
      <c r="J431" s="14">
        <v>1</v>
      </c>
      <c r="K431" s="15">
        <v>46048</v>
      </c>
    </row>
    <row r="432" spans="1:11" ht="16.5" thickTop="1" x14ac:dyDescent="0.25">
      <c r="A432" s="38">
        <v>46078</v>
      </c>
      <c r="B432" s="18" t="s">
        <v>11</v>
      </c>
      <c r="C432" s="7" t="s">
        <v>47</v>
      </c>
      <c r="D432" s="8" t="s">
        <v>46</v>
      </c>
      <c r="E432" s="9" t="s">
        <v>46</v>
      </c>
      <c r="F432" s="10" t="s">
        <v>46</v>
      </c>
      <c r="G432" s="36">
        <v>34253.57</v>
      </c>
      <c r="H432" s="12">
        <v>7.1999999999999998E-3</v>
      </c>
      <c r="I432" s="13">
        <v>7.1999999999999998E-3</v>
      </c>
      <c r="J432" s="14">
        <v>1.0200000000000001E-2</v>
      </c>
      <c r="K432" s="15">
        <v>46079</v>
      </c>
    </row>
    <row r="433" spans="1:11" x14ac:dyDescent="0.25">
      <c r="A433" s="39"/>
      <c r="B433" s="18" t="s">
        <v>12</v>
      </c>
      <c r="C433" s="7" t="s">
        <v>48</v>
      </c>
      <c r="D433" s="8" t="s">
        <v>46</v>
      </c>
      <c r="E433" s="9" t="s">
        <v>46</v>
      </c>
      <c r="F433" s="10" t="s">
        <v>46</v>
      </c>
      <c r="G433" s="36">
        <v>153850.98000000001</v>
      </c>
      <c r="H433" s="12">
        <v>7.1999999999999998E-3</v>
      </c>
      <c r="I433" s="13">
        <v>7.1999999999999998E-3</v>
      </c>
      <c r="J433" s="14">
        <v>4.5600000000000002E-2</v>
      </c>
      <c r="K433" s="15">
        <v>46079</v>
      </c>
    </row>
    <row r="434" spans="1:11" x14ac:dyDescent="0.25">
      <c r="A434" s="39"/>
      <c r="B434" s="18" t="s">
        <v>13</v>
      </c>
      <c r="C434" s="7" t="s">
        <v>49</v>
      </c>
      <c r="D434" s="8" t="s">
        <v>46</v>
      </c>
      <c r="E434" s="9" t="s">
        <v>84</v>
      </c>
      <c r="F434" s="10" t="s">
        <v>46</v>
      </c>
      <c r="G434" s="36">
        <v>-70858</v>
      </c>
      <c r="H434" s="12">
        <v>0</v>
      </c>
      <c r="I434" s="13">
        <v>0</v>
      </c>
      <c r="J434" s="14">
        <v>-2.1000000000000001E-2</v>
      </c>
      <c r="K434" s="15">
        <v>46079</v>
      </c>
    </row>
    <row r="435" spans="1:11" x14ac:dyDescent="0.25">
      <c r="A435" s="39"/>
      <c r="B435" s="18" t="s">
        <v>24</v>
      </c>
      <c r="C435" s="7" t="s">
        <v>46</v>
      </c>
      <c r="D435" s="8" t="s">
        <v>70</v>
      </c>
      <c r="E435" s="9"/>
      <c r="F435" s="10"/>
      <c r="G435" s="36">
        <v>103684</v>
      </c>
      <c r="H435" s="12">
        <v>3.0000000000000001E-3</v>
      </c>
      <c r="I435" s="13">
        <v>3.0000000000000001E-3</v>
      </c>
      <c r="J435" s="14">
        <v>3.0700000000000002E-2</v>
      </c>
      <c r="K435" s="15">
        <v>46079</v>
      </c>
    </row>
    <row r="436" spans="1:11" x14ac:dyDescent="0.25">
      <c r="A436" s="39"/>
      <c r="B436" s="18" t="s">
        <v>15</v>
      </c>
      <c r="C436" s="7" t="s">
        <v>50</v>
      </c>
      <c r="D436" s="8" t="s">
        <v>46</v>
      </c>
      <c r="E436" s="9"/>
      <c r="F436" s="10" t="s">
        <v>46</v>
      </c>
      <c r="G436" s="36">
        <v>116489.59</v>
      </c>
      <c r="H436" s="12">
        <v>6.6E-3</v>
      </c>
      <c r="I436" s="13">
        <v>6.6E-3</v>
      </c>
      <c r="J436" s="14">
        <v>3.4500000000000003E-2</v>
      </c>
      <c r="K436" s="15">
        <v>46079</v>
      </c>
    </row>
    <row r="437" spans="1:11" x14ac:dyDescent="0.25">
      <c r="A437" s="39"/>
      <c r="B437" s="18" t="s">
        <v>25</v>
      </c>
      <c r="C437" s="7" t="s">
        <v>51</v>
      </c>
      <c r="D437" s="8" t="s">
        <v>46</v>
      </c>
      <c r="E437" s="9" t="s">
        <v>46</v>
      </c>
      <c r="F437" s="10" t="s">
        <v>46</v>
      </c>
      <c r="G437" s="36">
        <v>15636</v>
      </c>
      <c r="H437" s="12">
        <v>4.1999999999999997E-3</v>
      </c>
      <c r="I437" s="13">
        <v>4.1999999999999997E-3</v>
      </c>
      <c r="J437" s="14">
        <v>4.5999999999999999E-3</v>
      </c>
      <c r="K437" s="15">
        <v>46079</v>
      </c>
    </row>
    <row r="438" spans="1:11" x14ac:dyDescent="0.25">
      <c r="A438" s="39"/>
      <c r="B438" s="18" t="s">
        <v>16</v>
      </c>
      <c r="C438" s="7" t="s">
        <v>52</v>
      </c>
      <c r="D438" s="8" t="s">
        <v>46</v>
      </c>
      <c r="E438" s="9" t="s">
        <v>46</v>
      </c>
      <c r="F438" s="10" t="s">
        <v>46</v>
      </c>
      <c r="G438" s="36">
        <v>191548.66</v>
      </c>
      <c r="H438" s="12">
        <v>5.8999999999999999E-3</v>
      </c>
      <c r="I438" s="13">
        <v>5.8999999999999999E-3</v>
      </c>
      <c r="J438" s="14">
        <v>5.6800000000000003E-2</v>
      </c>
      <c r="K438" s="15">
        <v>46079</v>
      </c>
    </row>
    <row r="439" spans="1:11" x14ac:dyDescent="0.25">
      <c r="A439" s="39"/>
      <c r="B439" s="18" t="s">
        <v>26</v>
      </c>
      <c r="C439" s="7" t="s">
        <v>53</v>
      </c>
      <c r="D439" s="8" t="s">
        <v>46</v>
      </c>
      <c r="E439" s="9" t="s">
        <v>46</v>
      </c>
      <c r="F439" s="10" t="s">
        <v>46</v>
      </c>
      <c r="G439" s="36">
        <v>236634.81</v>
      </c>
      <c r="H439" s="12">
        <v>6.7000000000000002E-3</v>
      </c>
      <c r="I439" s="13">
        <v>6.7000000000000002E-3</v>
      </c>
      <c r="J439" s="14">
        <v>7.0099999999999996E-2</v>
      </c>
      <c r="K439" s="15">
        <v>46079</v>
      </c>
    </row>
    <row r="440" spans="1:11" x14ac:dyDescent="0.25">
      <c r="A440" s="39"/>
      <c r="B440" s="18" t="s">
        <v>122</v>
      </c>
      <c r="C440" s="7" t="s">
        <v>54</v>
      </c>
      <c r="D440" s="8" t="s">
        <v>46</v>
      </c>
      <c r="E440" s="9" t="s">
        <v>46</v>
      </c>
      <c r="F440" s="30" t="s">
        <v>46</v>
      </c>
      <c r="G440" s="36">
        <v>231440.33</v>
      </c>
      <c r="H440" s="12">
        <v>5.4000000000000003E-3</v>
      </c>
      <c r="I440" s="13">
        <v>5.4000000000000003E-3</v>
      </c>
      <c r="J440" s="14">
        <v>6.8599999999999994E-2</v>
      </c>
      <c r="K440" s="15">
        <v>46079</v>
      </c>
    </row>
    <row r="441" spans="1:11" x14ac:dyDescent="0.25">
      <c r="A441" s="39"/>
      <c r="B441" s="18" t="s">
        <v>17</v>
      </c>
      <c r="C441" s="7" t="s">
        <v>55</v>
      </c>
      <c r="D441" s="8" t="s">
        <v>71</v>
      </c>
      <c r="E441" s="9" t="s">
        <v>85</v>
      </c>
      <c r="F441" s="10" t="s">
        <v>46</v>
      </c>
      <c r="G441" s="36">
        <v>98858</v>
      </c>
      <c r="H441" s="12">
        <v>-2.3699999999999999E-2</v>
      </c>
      <c r="I441" s="13">
        <v>-2.3699999999999999E-2</v>
      </c>
      <c r="J441" s="14">
        <v>2.93E-2</v>
      </c>
      <c r="K441" s="15">
        <v>46079</v>
      </c>
    </row>
    <row r="442" spans="1:11" x14ac:dyDescent="0.25">
      <c r="A442" s="39"/>
      <c r="B442" s="18" t="s">
        <v>18</v>
      </c>
      <c r="C442" s="7" t="s">
        <v>56</v>
      </c>
      <c r="D442" s="33" t="s">
        <v>72</v>
      </c>
      <c r="E442" s="9" t="s">
        <v>46</v>
      </c>
      <c r="F442" s="10" t="s">
        <v>46</v>
      </c>
      <c r="G442" s="36">
        <v>390657.99</v>
      </c>
      <c r="H442" s="12">
        <v>6.1699999999999998E-2</v>
      </c>
      <c r="I442" s="13">
        <v>6.1699999999999998E-2</v>
      </c>
      <c r="J442" s="14">
        <v>0.1158</v>
      </c>
      <c r="K442" s="15">
        <v>46079</v>
      </c>
    </row>
    <row r="443" spans="1:11" x14ac:dyDescent="0.25">
      <c r="A443" s="39"/>
      <c r="B443" s="18" t="s">
        <v>129</v>
      </c>
      <c r="C443" s="7"/>
      <c r="D443" s="8" t="s">
        <v>73</v>
      </c>
      <c r="E443" s="9" t="s">
        <v>46</v>
      </c>
      <c r="F443" s="10" t="s">
        <v>46</v>
      </c>
      <c r="G443" s="36">
        <v>29152.5</v>
      </c>
      <c r="H443" s="12">
        <v>2E-3</v>
      </c>
      <c r="I443" s="13">
        <v>2E-3</v>
      </c>
      <c r="J443" s="14">
        <v>8.6E-3</v>
      </c>
      <c r="K443" s="15">
        <v>46079</v>
      </c>
    </row>
    <row r="444" spans="1:11" x14ac:dyDescent="0.25">
      <c r="A444" s="39"/>
      <c r="B444" s="18" t="s">
        <v>29</v>
      </c>
      <c r="C444" s="7" t="s">
        <v>57</v>
      </c>
      <c r="D444" s="8" t="s">
        <v>46</v>
      </c>
      <c r="E444" s="9" t="s">
        <v>46</v>
      </c>
      <c r="F444" s="10" t="s">
        <v>46</v>
      </c>
      <c r="G444" s="36">
        <v>122514.18</v>
      </c>
      <c r="H444" s="12">
        <v>5.4000000000000003E-3</v>
      </c>
      <c r="I444" s="13">
        <v>5.4000000000000003E-3</v>
      </c>
      <c r="J444" s="14">
        <v>3.6299999999999999E-2</v>
      </c>
      <c r="K444" s="15">
        <v>46079</v>
      </c>
    </row>
    <row r="445" spans="1:11" x14ac:dyDescent="0.25">
      <c r="A445" s="39"/>
      <c r="B445" s="18" t="s">
        <v>19</v>
      </c>
      <c r="C445" s="7" t="s">
        <v>58</v>
      </c>
      <c r="D445" s="8" t="s">
        <v>46</v>
      </c>
      <c r="E445" s="9" t="s">
        <v>46</v>
      </c>
      <c r="F445" s="10" t="s">
        <v>46</v>
      </c>
      <c r="G445" s="36">
        <v>232860.62</v>
      </c>
      <c r="H445" s="12">
        <v>5.1999999999999998E-3</v>
      </c>
      <c r="I445" s="13">
        <v>5.1999999999999998E-3</v>
      </c>
      <c r="J445" s="14">
        <v>6.9000000000000006E-2</v>
      </c>
      <c r="K445" s="15">
        <v>46079</v>
      </c>
    </row>
    <row r="446" spans="1:11" x14ac:dyDescent="0.25">
      <c r="A446" s="39"/>
      <c r="B446" s="18" t="s">
        <v>30</v>
      </c>
      <c r="C446" s="7" t="s">
        <v>59</v>
      </c>
      <c r="D446" s="8" t="s">
        <v>46</v>
      </c>
      <c r="E446" s="9" t="s">
        <v>46</v>
      </c>
      <c r="F446" s="10" t="s">
        <v>46</v>
      </c>
      <c r="G446" s="36">
        <v>63978.03</v>
      </c>
      <c r="H446" s="12">
        <v>8.0999999999999996E-3</v>
      </c>
      <c r="I446" s="13">
        <v>8.0999999999999996E-3</v>
      </c>
      <c r="J446" s="14">
        <v>1.9E-2</v>
      </c>
      <c r="K446" s="15">
        <v>46079</v>
      </c>
    </row>
    <row r="447" spans="1:11" x14ac:dyDescent="0.25">
      <c r="A447" s="39"/>
      <c r="B447" s="18" t="s">
        <v>31</v>
      </c>
      <c r="C447" s="7" t="s">
        <v>60</v>
      </c>
      <c r="D447" s="8" t="s">
        <v>74</v>
      </c>
      <c r="E447" s="9" t="s">
        <v>86</v>
      </c>
      <c r="F447" s="10" t="s">
        <v>46</v>
      </c>
      <c r="G447" s="36">
        <v>73020</v>
      </c>
      <c r="H447" s="12">
        <v>0.17480000000000001</v>
      </c>
      <c r="I447" s="13">
        <v>0.17480000000000001</v>
      </c>
      <c r="J447" s="14">
        <v>2.1600000000000001E-2</v>
      </c>
      <c r="K447" s="15">
        <v>46079</v>
      </c>
    </row>
    <row r="448" spans="1:11" x14ac:dyDescent="0.25">
      <c r="A448" s="39"/>
      <c r="B448" s="18" t="s">
        <v>32</v>
      </c>
      <c r="C448" s="31" t="s">
        <v>46</v>
      </c>
      <c r="D448" s="8" t="s">
        <v>75</v>
      </c>
      <c r="E448" s="9" t="s">
        <v>46</v>
      </c>
      <c r="F448" s="10" t="s">
        <v>46</v>
      </c>
      <c r="G448" s="36">
        <v>20736.8</v>
      </c>
      <c r="H448" s="12">
        <v>1.5E-3</v>
      </c>
      <c r="I448" s="28">
        <v>1.5E-3</v>
      </c>
      <c r="J448" s="14">
        <v>6.1000000000000004E-3</v>
      </c>
      <c r="K448" s="15">
        <v>46079</v>
      </c>
    </row>
    <row r="449" spans="1:11" x14ac:dyDescent="0.25">
      <c r="A449" s="39"/>
      <c r="B449" s="18" t="s">
        <v>33</v>
      </c>
      <c r="C449" s="7" t="s">
        <v>46</v>
      </c>
      <c r="D449" s="8" t="s">
        <v>46</v>
      </c>
      <c r="E449" s="9" t="s">
        <v>46</v>
      </c>
      <c r="F449" s="10" t="s">
        <v>46</v>
      </c>
      <c r="G449" s="11">
        <v>0</v>
      </c>
      <c r="H449" s="12"/>
      <c r="I449" s="13"/>
      <c r="J449" s="14">
        <v>0</v>
      </c>
      <c r="K449" s="15">
        <v>46079</v>
      </c>
    </row>
    <row r="450" spans="1:11" x14ac:dyDescent="0.25">
      <c r="A450" s="39"/>
      <c r="B450" s="18" t="s">
        <v>34</v>
      </c>
      <c r="C450" s="7" t="s">
        <v>61</v>
      </c>
      <c r="D450" s="8" t="s">
        <v>76</v>
      </c>
      <c r="E450" s="9" t="s">
        <v>46</v>
      </c>
      <c r="F450" s="10" t="s">
        <v>46</v>
      </c>
      <c r="G450" s="36">
        <v>790191.36</v>
      </c>
      <c r="H450" s="12">
        <v>-6.6000000000000003E-2</v>
      </c>
      <c r="I450" s="13">
        <v>-6.6000000000000003E-2</v>
      </c>
      <c r="J450" s="14">
        <v>0.23419999999999999</v>
      </c>
      <c r="K450" s="15">
        <v>46079</v>
      </c>
    </row>
    <row r="451" spans="1:11" x14ac:dyDescent="0.25">
      <c r="A451" s="39"/>
      <c r="B451" s="18" t="s">
        <v>35</v>
      </c>
      <c r="C451" s="7" t="s">
        <v>62</v>
      </c>
      <c r="D451" s="8" t="s">
        <v>77</v>
      </c>
      <c r="E451" s="9" t="s">
        <v>46</v>
      </c>
      <c r="F451" s="10" t="s">
        <v>46</v>
      </c>
      <c r="G451" s="36">
        <v>135454.5</v>
      </c>
      <c r="H451" s="12">
        <v>-5.2600000000000001E-2</v>
      </c>
      <c r="I451" s="13">
        <v>-5.2600000000000001E-2</v>
      </c>
      <c r="J451" s="14">
        <v>4.02E-2</v>
      </c>
      <c r="K451" s="15">
        <v>46079</v>
      </c>
    </row>
    <row r="452" spans="1:11" x14ac:dyDescent="0.25">
      <c r="A452" s="39"/>
      <c r="B452" s="18" t="s">
        <v>20</v>
      </c>
      <c r="C452" s="7" t="s">
        <v>46</v>
      </c>
      <c r="D452" s="8" t="s">
        <v>46</v>
      </c>
      <c r="E452" s="9" t="s">
        <v>46</v>
      </c>
      <c r="F452" s="10" t="s">
        <v>46</v>
      </c>
      <c r="G452" s="11">
        <v>0</v>
      </c>
      <c r="H452" s="12"/>
      <c r="I452" s="13"/>
      <c r="J452" s="14">
        <v>0</v>
      </c>
      <c r="K452" s="15">
        <v>46079</v>
      </c>
    </row>
    <row r="453" spans="1:11" x14ac:dyDescent="0.25">
      <c r="A453" s="39"/>
      <c r="B453" s="18" t="s">
        <v>36</v>
      </c>
      <c r="C453" s="7" t="s">
        <v>63</v>
      </c>
      <c r="D453" s="8" t="s">
        <v>78</v>
      </c>
      <c r="E453" s="9" t="s">
        <v>46</v>
      </c>
      <c r="F453" s="10" t="s">
        <v>46</v>
      </c>
      <c r="G453" s="36">
        <v>75211.5</v>
      </c>
      <c r="H453" s="12">
        <v>-0.13059999999999999</v>
      </c>
      <c r="I453" s="28">
        <v>-0.13059999999999999</v>
      </c>
      <c r="J453" s="14">
        <v>2.23E-2</v>
      </c>
      <c r="K453" s="15">
        <v>46079</v>
      </c>
    </row>
    <row r="454" spans="1:11" x14ac:dyDescent="0.25">
      <c r="A454" s="39"/>
      <c r="B454" s="18" t="s">
        <v>21</v>
      </c>
      <c r="C454" s="7" t="s">
        <v>46</v>
      </c>
      <c r="D454" s="8" t="s">
        <v>46</v>
      </c>
      <c r="E454" s="9" t="s">
        <v>46</v>
      </c>
      <c r="F454" s="10" t="s">
        <v>46</v>
      </c>
      <c r="G454" s="11">
        <v>0</v>
      </c>
      <c r="H454" s="12"/>
      <c r="I454" s="13"/>
      <c r="J454" s="14">
        <v>0</v>
      </c>
      <c r="K454" s="15">
        <v>46079</v>
      </c>
    </row>
    <row r="455" spans="1:11" x14ac:dyDescent="0.25">
      <c r="A455" s="39"/>
      <c r="B455" s="18" t="s">
        <v>22</v>
      </c>
      <c r="C455" s="7" t="s">
        <v>46</v>
      </c>
      <c r="D455" s="8" t="s">
        <v>46</v>
      </c>
      <c r="E455" s="9" t="s">
        <v>46</v>
      </c>
      <c r="F455" s="10" t="s">
        <v>46</v>
      </c>
      <c r="G455" s="11">
        <v>0</v>
      </c>
      <c r="H455" s="12"/>
      <c r="I455" s="13"/>
      <c r="J455" s="14">
        <v>0</v>
      </c>
      <c r="K455" s="15">
        <v>46079</v>
      </c>
    </row>
    <row r="456" spans="1:11" x14ac:dyDescent="0.25">
      <c r="A456" s="39"/>
      <c r="B456" s="18" t="s">
        <v>37</v>
      </c>
      <c r="C456" s="7" t="s">
        <v>46</v>
      </c>
      <c r="D456" s="8" t="s">
        <v>46</v>
      </c>
      <c r="E456" s="9" t="s">
        <v>46</v>
      </c>
      <c r="F456" s="10" t="s">
        <v>46</v>
      </c>
      <c r="G456" s="11">
        <v>0</v>
      </c>
      <c r="H456" s="12"/>
      <c r="I456" s="13"/>
      <c r="J456" s="14">
        <v>0</v>
      </c>
      <c r="K456" s="15">
        <v>46079</v>
      </c>
    </row>
    <row r="457" spans="1:11" x14ac:dyDescent="0.25">
      <c r="A457" s="39"/>
      <c r="B457" s="18" t="s">
        <v>38</v>
      </c>
      <c r="C457" s="7" t="s">
        <v>64</v>
      </c>
      <c r="D457" s="8" t="s">
        <v>46</v>
      </c>
      <c r="E457" s="9" t="s">
        <v>87</v>
      </c>
      <c r="F457" s="10" t="s">
        <v>46</v>
      </c>
      <c r="G457" s="11">
        <v>0</v>
      </c>
      <c r="H457" s="12">
        <v>0.17349999999999999</v>
      </c>
      <c r="I457" s="28">
        <v>-1</v>
      </c>
      <c r="J457" s="14">
        <v>0</v>
      </c>
      <c r="K457" s="15">
        <v>46079</v>
      </c>
    </row>
    <row r="458" spans="1:11" x14ac:dyDescent="0.25">
      <c r="A458" s="39"/>
      <c r="B458" s="18" t="s">
        <v>39</v>
      </c>
      <c r="C458" s="7" t="s">
        <v>65</v>
      </c>
      <c r="D458" s="8" t="s">
        <v>79</v>
      </c>
      <c r="E458" s="9" t="s">
        <v>88</v>
      </c>
      <c r="F458" s="10" t="s">
        <v>46</v>
      </c>
      <c r="G458" s="36">
        <v>124956.65</v>
      </c>
      <c r="H458" s="12">
        <v>-9.4399999999999998E-2</v>
      </c>
      <c r="I458" s="13">
        <v>-9.4399999999999998E-2</v>
      </c>
      <c r="J458" s="14">
        <v>3.6999999999999998E-2</v>
      </c>
      <c r="K458" s="15">
        <v>46079</v>
      </c>
    </row>
    <row r="459" spans="1:11" x14ac:dyDescent="0.25">
      <c r="A459" s="39"/>
      <c r="B459" s="18" t="s">
        <v>40</v>
      </c>
      <c r="C459" s="7" t="s">
        <v>66</v>
      </c>
      <c r="D459" s="8" t="s">
        <v>80</v>
      </c>
      <c r="E459" s="9" t="s">
        <v>46</v>
      </c>
      <c r="F459" s="10" t="s">
        <v>46</v>
      </c>
      <c r="G459" s="36">
        <v>56790.5</v>
      </c>
      <c r="H459" s="12">
        <v>-4.58E-2</v>
      </c>
      <c r="I459" s="28">
        <v>-4.58E-2</v>
      </c>
      <c r="J459" s="14">
        <v>1.6799999999999999E-2</v>
      </c>
      <c r="K459" s="15">
        <v>46079</v>
      </c>
    </row>
    <row r="460" spans="1:11" x14ac:dyDescent="0.25">
      <c r="A460" s="39"/>
      <c r="B460" s="18" t="s">
        <v>41</v>
      </c>
      <c r="C460" s="7" t="s">
        <v>46</v>
      </c>
      <c r="D460" s="8" t="s">
        <v>46</v>
      </c>
      <c r="E460" s="9" t="s">
        <v>46</v>
      </c>
      <c r="F460" s="10" t="s">
        <v>46</v>
      </c>
      <c r="G460" s="11">
        <v>0</v>
      </c>
      <c r="H460" s="12"/>
      <c r="I460" s="28"/>
      <c r="J460" s="14">
        <v>0</v>
      </c>
      <c r="K460" s="15">
        <v>46079</v>
      </c>
    </row>
    <row r="461" spans="1:11" x14ac:dyDescent="0.25">
      <c r="A461" s="39"/>
      <c r="B461" s="18" t="s">
        <v>42</v>
      </c>
      <c r="C461" s="7" t="s">
        <v>67</v>
      </c>
      <c r="D461" s="8" t="s">
        <v>46</v>
      </c>
      <c r="E461" s="9" t="s">
        <v>46</v>
      </c>
      <c r="F461" s="10" t="s">
        <v>46</v>
      </c>
      <c r="G461" s="36">
        <v>146554.79999999999</v>
      </c>
      <c r="H461" s="12">
        <v>-6.5600000000000006E-2</v>
      </c>
      <c r="I461" s="13">
        <v>-6.5600000000000006E-2</v>
      </c>
      <c r="J461" s="14">
        <v>4.3400000000000001E-2</v>
      </c>
      <c r="K461" s="15">
        <v>46079</v>
      </c>
    </row>
    <row r="462" spans="1:11" x14ac:dyDescent="0.25">
      <c r="A462" s="39"/>
      <c r="B462" s="18" t="s">
        <v>43</v>
      </c>
      <c r="C462" s="7" t="s">
        <v>46</v>
      </c>
      <c r="D462" s="8" t="s">
        <v>46</v>
      </c>
      <c r="E462" s="9" t="s">
        <v>46</v>
      </c>
      <c r="F462" s="10" t="s">
        <v>46</v>
      </c>
      <c r="G462" s="11">
        <v>0</v>
      </c>
      <c r="H462" s="12"/>
      <c r="I462" s="13"/>
      <c r="J462" s="14">
        <v>0</v>
      </c>
      <c r="K462" s="15">
        <v>46079</v>
      </c>
    </row>
    <row r="463" spans="1:11" x14ac:dyDescent="0.25">
      <c r="A463" s="39"/>
      <c r="B463" s="18" t="s">
        <v>44</v>
      </c>
      <c r="C463" s="7" t="s">
        <v>46</v>
      </c>
      <c r="D463" s="8" t="s">
        <v>46</v>
      </c>
      <c r="E463" s="9" t="s">
        <v>46</v>
      </c>
      <c r="F463" s="10" t="s">
        <v>46</v>
      </c>
      <c r="G463" s="11">
        <v>0</v>
      </c>
      <c r="H463" s="12"/>
      <c r="I463" s="13"/>
      <c r="J463" s="14">
        <v>0</v>
      </c>
      <c r="K463" s="15">
        <v>46079</v>
      </c>
    </row>
    <row r="464" spans="1:11" ht="16.5" thickBot="1" x14ac:dyDescent="0.3">
      <c r="A464" s="39"/>
      <c r="B464" s="20" t="s">
        <v>23</v>
      </c>
      <c r="C464" s="21" t="s">
        <v>68</v>
      </c>
      <c r="D464" s="22" t="s">
        <v>81</v>
      </c>
      <c r="E464" s="23" t="s">
        <v>89</v>
      </c>
      <c r="F464" s="24" t="s">
        <v>46</v>
      </c>
      <c r="G464" s="36">
        <v>3373617.37</v>
      </c>
      <c r="H464" s="25">
        <v>-9.1000000000000004E-3</v>
      </c>
      <c r="I464" s="34">
        <v>-9.1000000000000004E-3</v>
      </c>
      <c r="J464" s="14">
        <v>1</v>
      </c>
      <c r="K464" s="15">
        <v>46079</v>
      </c>
    </row>
    <row r="465" ht="15.75" customHeight="1" thickTop="1" x14ac:dyDescent="0.2"/>
  </sheetData>
  <autoFilter ref="A1:K464" xr:uid="{00000000-0009-0000-0000-000001000000}"/>
  <mergeCells count="14">
    <mergeCell ref="A333:A365"/>
    <mergeCell ref="A366:A398"/>
    <mergeCell ref="A399:A431"/>
    <mergeCell ref="A432:A464"/>
    <mergeCell ref="A69:A101"/>
    <mergeCell ref="A102:A134"/>
    <mergeCell ref="A135:A167"/>
    <mergeCell ref="A168:A200"/>
    <mergeCell ref="A201:A233"/>
    <mergeCell ref="A234:A266"/>
    <mergeCell ref="A267:A299"/>
    <mergeCell ref="A3:A35"/>
    <mergeCell ref="A36:A68"/>
    <mergeCell ref="A300:A3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Zimmermann</cp:lastModifiedBy>
  <dcterms:modified xsi:type="dcterms:W3CDTF">2026-02-20T22:46:42Z</dcterms:modified>
</cp:coreProperties>
</file>