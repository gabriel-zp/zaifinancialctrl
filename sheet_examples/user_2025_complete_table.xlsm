
<file path=[Content_Types].xml><?xml version="1.0" encoding="utf-8"?>
<Types xmlns="http://schemas.openxmlformats.org/package/2006/content-types">
  <Default ContentType="application/vnd.openxmlformats-officedocument.vmlDrawing" Extension="vml"/>
  <Default ContentType="application/vnd.ms-office.vbaProject" Extension="bin"/>
  <Default ContentType="application/xml" Extension="xml"/>
  <Default ContentType="image/png" Extension="png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4.xml"/>
  <Override ContentType="application/vnd.openxmlformats-officedocument.spreadsheetml.worksheet+xml" PartName="/xl/worksheets/sheet10.xml"/>
  <Override ContentType="application/vnd.openxmlformats-officedocument.spreadsheetml.worksheet+xml" PartName="/xl/worksheets/sheet12.xml"/>
  <Override ContentType="application/vnd.openxmlformats-officedocument.spreadsheetml.worksheet+xml" PartName="/xl/worksheets/sheet15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8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.xml"/>
  <Override ContentType="application/vnd.openxmlformats-officedocument.spreadsheetml.worksheet+xml" PartName="/xl/worksheets/sheet3.xml"/>
  <Override ContentType="application/vnd.openxmlformats-officedocument.spreadsheetml.worksheet+xml" PartName="/xl/worksheets/sheet9.xml"/>
  <Override ContentType="application/vnd.openxmlformats-officedocument.spreadsheetml.worksheet+xml" PartName="/xl/worksheets/sheet7.xml"/>
  <Override ContentType="application/binary" PartName="/xl/metadata"/>
  <Override ContentType="application/binary" PartName="/xl/commentsmeta0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10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12.xml"/>
  <Override ContentType="application/vnd.openxmlformats-officedocument.drawing+xml" PartName="/xl/drawings/drawing8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5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1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spreadsheetml.comments+xml" PartName="/xl/comments1.xml"/>
  <Override ContentType="application/vnd.openxmlformats-officedocument.drawingml.chart+xml" PartName="/xl/charts/chart7.xml"/>
  <Override ContentType="application/vnd.openxmlformats-officedocument.drawingml.chart+xml" PartName="/xl/charts/chart27.xml"/>
  <Override ContentType="application/vnd.openxmlformats-officedocument.drawingml.chart+xml" PartName="/xl/charts/chart14.xml"/>
  <Override ContentType="application/vnd.openxmlformats-officedocument.drawingml.chart+xml" PartName="/xl/charts/chart30.xml"/>
  <Override ContentType="application/vnd.openxmlformats-officedocument.drawingml.chart+xml" PartName="/xl/charts/chart18.xml"/>
  <Override ContentType="application/vnd.openxmlformats-officedocument.drawingml.chart+xml" PartName="/xl/charts/chart43.xml"/>
  <Override ContentType="application/vnd.openxmlformats-officedocument.drawingml.chart+xml" PartName="/xl/charts/chart13.xml"/>
  <Override ContentType="application/vnd.openxmlformats-officedocument.drawingml.chart+xml" PartName="/xl/charts/chart31.xml"/>
  <Override ContentType="application/vnd.openxmlformats-officedocument.drawingml.chart+xml" PartName="/xl/charts/chart26.xml"/>
  <Override ContentType="application/vnd.openxmlformats-officedocument.drawingml.chart+xml" PartName="/xl/charts/chart39.xml"/>
  <Override ContentType="application/vnd.openxmlformats-officedocument.drawingml.chart+xml" PartName="/xl/charts/chart35.xml"/>
  <Override ContentType="application/vnd.openxmlformats-officedocument.drawingml.chart+xml" PartName="/xl/charts/chart2.xml"/>
  <Override ContentType="application/vnd.openxmlformats-officedocument.drawingml.chart+xml" PartName="/xl/charts/chart22.xml"/>
  <Override ContentType="application/vnd.openxmlformats-officedocument.drawingml.chart+xml" PartName="/xl/charts/chart34.xml"/>
  <Override ContentType="application/vnd.openxmlformats-officedocument.drawingml.chart+xml" PartName="/xl/charts/chart8.xml"/>
  <Override ContentType="application/vnd.openxmlformats-officedocument.drawingml.chart+xml" PartName="/xl/charts/chart17.xml"/>
  <Override ContentType="application/vnd.openxmlformats-officedocument.drawingml.chart+xml" PartName="/xl/charts/chart42.xml"/>
  <Override ContentType="application/vnd.openxmlformats-officedocument.drawingml.chart+xml" PartName="/xl/charts/chart25.xml"/>
  <Override ContentType="application/vnd.openxmlformats-officedocument.drawingml.chart+xml" PartName="/xl/charts/chart12.xml"/>
  <Override ContentType="application/vnd.openxmlformats-officedocument.drawingml.chart+xml" PartName="/xl/charts/chart21.xml"/>
  <Override ContentType="application/vnd.openxmlformats-officedocument.drawingml.chart+xml" PartName="/xl/charts/chart3.xml"/>
  <Override ContentType="application/vnd.openxmlformats-officedocument.drawingml.chart+xml" PartName="/xl/charts/chart38.xml"/>
  <Override ContentType="application/vnd.openxmlformats-officedocument.drawingml.chart+xml" PartName="/xl/charts/chart16.xml"/>
  <Override ContentType="application/vnd.openxmlformats-officedocument.drawingml.chart+xml" PartName="/xl/charts/chart41.xml"/>
  <Override ContentType="application/vnd.openxmlformats-officedocument.drawingml.chart+xml" PartName="/xl/charts/chart11.xml"/>
  <Override ContentType="application/vnd.openxmlformats-officedocument.drawingml.chart+xml" PartName="/xl/charts/chart29.xml"/>
  <Override ContentType="application/vnd.openxmlformats-officedocument.drawingml.chart+xml" PartName="/xl/charts/chart37.xml"/>
  <Override ContentType="application/vnd.openxmlformats-officedocument.drawingml.chart+xml" PartName="/xl/charts/chart4.xml"/>
  <Override ContentType="application/vnd.openxmlformats-officedocument.drawingml.chart+xml" PartName="/xl/charts/chart20.xml"/>
  <Override ContentType="application/vnd.openxmlformats-officedocument.drawingml.chart+xml" PartName="/xl/charts/chart33.xml"/>
  <Override ContentType="application/vnd.openxmlformats-officedocument.drawingml.chart+xml" PartName="/xl/charts/chart24.xml"/>
  <Override ContentType="application/vnd.openxmlformats-officedocument.drawingml.chart+xml" PartName="/xl/charts/chart1.xml"/>
  <Override ContentType="application/vnd.openxmlformats-officedocument.drawingml.chart+xml" PartName="/xl/charts/chart28.xml"/>
  <Override ContentType="application/vnd.openxmlformats-officedocument.drawingml.chart+xml" PartName="/xl/charts/chart10.xml"/>
  <Override ContentType="application/vnd.openxmlformats-officedocument.drawingml.chart+xml" PartName="/xl/charts/chart6.xml"/>
  <Override ContentType="application/vnd.openxmlformats-officedocument.drawingml.chart+xml" PartName="/xl/charts/chart15.xml"/>
  <Override ContentType="application/vnd.openxmlformats-officedocument.drawingml.chart+xml" PartName="/xl/charts/chart40.xml"/>
  <Override ContentType="application/vnd.openxmlformats-officedocument.drawingml.chart+xml" PartName="/xl/charts/chart9.xml"/>
  <Override ContentType="application/vnd.openxmlformats-officedocument.drawingml.chart+xml" PartName="/xl/charts/chart19.xml"/>
  <Override ContentType="application/vnd.openxmlformats-officedocument.drawingml.chart+xml" PartName="/xl/charts/chart32.xml"/>
  <Override ContentType="application/vnd.openxmlformats-officedocument.drawingml.chart+xml" PartName="/xl/charts/chart5.xml"/>
  <Override ContentType="application/vnd.openxmlformats-officedocument.drawingml.chart+xml" PartName="/xl/charts/chart23.xml"/>
  <Override ContentType="application/vnd.openxmlformats-officedocument.drawingml.chart+xml" PartName="/xl/charts/chart36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Instruções de uso" sheetId="1" r:id="rId5"/>
    <sheet state="visible" name="BenchMarK" sheetId="2" r:id="rId6"/>
    <sheet state="visible" name="% de Alocação da Carteira 01_25" sheetId="3" r:id="rId7"/>
    <sheet state="visible" name="% de Alocação da Carteira 02_25" sheetId="4" r:id="rId8"/>
    <sheet state="visible" name="Alocação da Carteira 04_25" sheetId="5" r:id="rId9"/>
    <sheet state="visible" name="% de Alocação da Carteira 03_25" sheetId="6" r:id="rId10"/>
    <sheet state="visible" name="% de Alocação da Carteira 05_25" sheetId="7" r:id="rId11"/>
    <sheet state="visible" name="% de Alocação da Carteira 06_25" sheetId="8" r:id="rId12"/>
    <sheet state="visible" name="% de Alocação da Carteira 07_25" sheetId="9" r:id="rId13"/>
    <sheet state="visible" name="% de Alocação da Carteira 08_25" sheetId="10" r:id="rId14"/>
    <sheet state="visible" name="% de Alocação da Carteira 09_25" sheetId="11" r:id="rId15"/>
    <sheet state="visible" name="% de Alocação da Carteira 10_25" sheetId="12" r:id="rId16"/>
    <sheet state="visible" name="% de Alocação da Carteira 11_25" sheetId="13" r:id="rId17"/>
    <sheet state="visible" name="Planilha de Rentabilidade" sheetId="14" r:id="rId18"/>
    <sheet state="visible" name="% de Alocação da Carteira 12_25" sheetId="15" r:id="rId19"/>
  </sheets>
  <definedNames/>
  <calcPr/>
  <extLst>
    <ext uri="GoogleSheetsCustomDataVersion2">
      <go:sheetsCustomData xmlns:go="http://customooxmlschemas.google.com/" r:id="rId20" roundtripDataChecksum="4RRUbHGMiWKiNg7RGy69yjpfCL4BwgNgqysfc2xYDbU="/>
    </ext>
  </extLst>
</workbook>
</file>

<file path=xl/comments1.xml><?xml version="1.0" encoding="utf-8"?>
<comments xmlns:r="http://schemas.openxmlformats.org/officeDocument/2006/relationships" xmlns="http://schemas.openxmlformats.org/spreadsheetml/2006/main" xmlns:xr="http://schemas.microsoft.com/office/spreadsheetml/2014/revision">
  <authors>
    <author/>
  </authors>
  <commentList>
    <comment authorId="0" ref="AF91">
      <text>
        <t xml:space="preserve">======
ID#AAABu4xEHag
Nasser de Melo    (2025-12-31 02:42:30)
30/12
compra TESLA TSLA34
+20*78,86
+ 50*78,82
+ 50*78,77
+ 50*78,73 
+ 20*78,69
+ 50*78,66
+ 2*78,61
+ 3*78,61
+ 45*78,61
+ 16*78,59
+ 20*78,56
+ 3*78,53
+ 17*78,53
+ 20*78,47
+ 20*78,44
+ 1*78,38
+ 3*78,38
+ 20*78,29 
+ 50*78,14
+ 50*78,01
+ 50*77,89
+ 100*77,52</t>
      </text>
    </comment>
    <comment authorId="0" ref="S92">
      <text>
        <t xml:space="preserve">======
ID#AAABu3CODBs
Nasser de Melo    (2025-12-30 01:26:48)
29/12/25
VENDA LTFS11
-200*145,36</t>
      </text>
    </comment>
    <comment authorId="0" ref="R91">
      <text>
        <t xml:space="preserve">======
ID#AAABu3CODBo
Nasser de Melo    (2025-12-30 01:23:03)
29/12/25
COMPRA AURA33
QUEDA OURO
+10*97,85
+ 40*97,85
+ 50*97,26
+ 50*97,12 
+ 50*97,01 
+ 15*95,81 
+ 50*95,75
+ 35*95,54
+ 1*95,40
+ 33*95,40
+ 16*95,39 
+ 1*92,75
+ 49*92,75
+ 1*92,72 
+ 1*92,72
+ 48*92,72
+ 50*90,92
+ 50*90,64
+ 50*90,59</t>
      </text>
    </comment>
    <comment authorId="0" ref="U92">
      <text>
        <t xml:space="preserve">======
ID#AAABxnCpLPY
Nasser de Melo    (2025-12-17 15:21:27)
16/12/25
VENDA TESLA GAIN
-500*83,46</t>
      </text>
    </comment>
    <comment authorId="0" ref="M94">
      <text>
        <t xml:space="preserve">======
ID#AAABxgE1Ra4
Nasser de Melo    (2025-12-13 01:21:58)
ATUALIZAÇÃO
12/2025
12/12/2025
grama OURO = R$650,00
EU$1,00 = R$ 6,62
US$1,00 = R$ 5,64
=====
(GOLD+CASH)
HOME + BANKs
&gt;pulseira MACIÇA OURO+ Dadinho
(32,96g+1,33g =34,29g)=
34,29g * R$650,00 a grama =
R$22288,50
COMPRA GOLD
&gt;PULSEIRA EGÍPCIA
(51,18g) *650 =
R$33267,00
&gt;CHAVEIRO VARGAS
(10,93g) * 650 =
R$7104,50
&gt;CORRENTE CORDA
GOLD
+17,26g*650,00= R$11219,00
=&gt;&gt;TOTAL GOLD
R$22288,50+R$33267,00+7104,50+R$11219,00 = 
=&gt;&gt;R$73879,00
=============
CASH HOME
&gt;US$1672 = R$9437,48+
&gt;EU$2000,00 =R$13251,14 +
&gt;EU$2615,00=R$17325,85
BPI BANK
TOTAL BPI 
EU$20971
+EU$2150,00
+EU$2070,00
= EU$25191,00* 6,66
R$171060,19
=&gt;TOTAL CASH
9262,88+13020,00+17023,65
+R$171060,19=
TT =&gt;R$ 210366,72
==========
&gt;&gt; TOTAL GERAL
(GOLD+CASH)
HOME+BANKs
R$73879,00+210366,72=
==&gt;&gt; R$ 284245,72
Mostrar menos</t>
      </text>
    </comment>
    <comment authorId="0" ref="X91">
      <text>
        <t xml:space="preserve">======
ID#AAABxgEkhm4
Nasser de Melo    (2025-12-13 00:27:05)
12/12/2025
+10*143,94
+ 10*143,84
+ 10*143,74
+ 10*143,64
+ 10*143,63
+ 10*143,54
+ 10*143,53
+ 10*143,51
+ 10*143,43
+ 10*143,43
+ 10*143,41
+ 10*143,33
+ 10*143,27
+ 10*143,13
+ 10*143,09
+ 10*142,94
+ 10*142,74
+ 10*142,54
+ 10*142,39
+ 10*142,24
+ 10*142,14
+ 4*142,04 
+ 6*142,04
+ 10*141,84
+ 10*141,74 
+ 10*141,69
+ 10*141,64
+ 10*141,59
15/12/25
COMPRA AMD ALEXA
+10*141,54
+10*141,44
+10*141,34
+10*141,26
+10*141,16
+10*141,06
+10*140,96
+10*140,86
+10*140,76
+10*140,70
+10*140,69
+10*140,68
+10*140,67
+10*140,66</t>
      </text>
    </comment>
    <comment authorId="0" ref="X84">
      <text>
        <t xml:space="preserve">======
ID#AAABxgEkhm0
Nasser de Melo    (2025-12-13 00:24:18)
11/2025
VENDA ASML
-290*97,71</t>
      </text>
    </comment>
    <comment authorId="0" ref="AA91">
      <text>
        <t xml:space="preserve">======
ID#AAABt9gx_CM
Nasser de Melo    (2025-12-12 10:18:05)
11/12/25
COMPRA HAPV3 
ALEXA BTG
+900*14,08
12/12/25
COMPRA HAPVIDA
+100*14,91
+ 100*14,78
+ 100*14,73
+ 100*14,70 
+ 100*14,64 
+ 100*14,53
+ 100*14,37
+ 100*14,20
16/12/25
COMPRA HAPVIDA
+200*14,74
+100*14,97
+100*14,99
+100*14,98
+100*14,73
23/12
COMPRA HAPVIDA
+300*13,95
26/12
COMPRA HAPVIDA
+100*14,35
30/12
+100*14,91
+ 100*14,90
+ 100*14,90
+ 100*14,83
+ 200*14,76
+ 100*14,56</t>
      </text>
    </comment>
    <comment authorId="0" ref="AC91">
      <text>
        <t xml:space="preserve">======
ID#AAABt9gx_CI
Nasser de Melo    (2025-12-12 10:08:50)
11/12/25
COMPRA A1MD345
+110*147,45
30/12/25
+40*149,12
+ 40*148,96
+ 40*148,81
+ 40*148,09
+ 40*147,61</t>
      </text>
    </comment>
    <comment authorId="0" ref="AB93">
      <text>
        <t xml:space="preserve">======
ID#AAABxS8Z0zg
Nasser de Melo    (2025-12-10 03:04:46)
11/12/25
WEGE3
JUROS S/ CAPITAL
159,29
12/12/25
WEGE3
JUROS S/ CAPITAL
-293,26
DIVIDENDOS
-1059,27</t>
      </text>
    </comment>
    <comment authorId="0" ref="AB91">
      <text>
        <t xml:space="preserve">======
ID#AAABxNAQxi0
Nasser de Melo    (2025-12-08 01:30:18)
05/12
COMPRA WEGE3
+100*46,53
29/12/25
COMPRA WEGE3
QUEDA AGRRESSIVA
+100*48,65
+ 100*48,61 
+ 100*48,49
+ 100*48,48
+ 100*48,45
+ 100*48,41 
+ 100*48,41
+ 100*48,39 
+ 100*48,37
+ 100*48,31</t>
      </text>
    </comment>
    <comment authorId="0" ref="Z91">
      <text>
        <t xml:space="preserve">======
ID#AAABxNAQxiw
Nasser de Melo    (2025-12-08 01:28:52)
05/12
COMPRA VALE3 
DIVIDENDOS dia com 11/12
+100*71,42
+ 100*71,52
+ 100*71,62
+ 100*71,32
+ 100*71,26
+ 100*71,23
+ 100*70,83
+ 100*70,52 
+ 100*71,01
+ 100*71,11
+ 100*71,50 
+ 100*71,57
+ 100*71,53
+ 100*71,46
+ 100*71,41
+ 100*71,42 
+ 100*70,92
+ 100*70,67 
+ 100*71,26
+ 100*70,15
+ 100*70,01</t>
      </text>
    </comment>
    <comment authorId="0" ref="S91">
      <text>
        <t xml:space="preserve">======
ID#AAABxNAQxis
Nasser de Melo    (2025-12-08 01:23:41)
05/12
compra LFTS11
+5*143,96
29/12/25
COMPRA LFTS11
+45*145,36</t>
      </text>
    </comment>
    <comment authorId="0" ref="F91">
      <text>
        <t xml:space="preserve">======
ID#AAABt6XrS8A
Nasser de Melo    (2025-12-05 12:10:37)
04/12
COMPRA LFTS11
+50*143,94</t>
      </text>
    </comment>
    <comment authorId="0" ref="Z92">
      <text>
        <t xml:space="preserve">======
ID#AAABw-LZEcE
Nasser de Melo    (2025-12-03 20:14:03)
03/12/25
VENDA VALE3 GAIN
-500*68,93
04/12
VENDA VALE3 GAIN
-500*71,41
17/12
VENDA VALE DIVIDENDOS
-100*70,56
-300*70,55
-200*70,54
18/12
venda vale dividendos
-500*70,35
19/12
venda VALE GAIN
-500*70,85
22/12
venda vale3 GAIN
-700*73,31
26/12
VENDA VALE3 GAIN
-100*73,06
-100*73,09
-100*73,10
-100*73,12
-100*73,19</t>
      </text>
    </comment>
    <comment authorId="0" ref="O91">
      <text>
        <t xml:space="preserve">======
ID#AAABw9eUQgg
Nasser de Melo    (2025-12-03 18:56:47)
03/12/2025
COMPRA CRI OPEA BTG
IPCA+ 20240
+120K</t>
      </text>
    </comment>
    <comment authorId="0" ref="R93">
      <text>
        <t xml:space="preserve">======
ID#AAABucXb8v4
Nasser de Melo    (2025-12-02 12:34:43)
02/812/25
dividendos AURA33
-1915,52</t>
      </text>
    </comment>
    <comment authorId="0" ref="L92">
      <text>
        <t xml:space="preserve">======
ID#AAABw4uSw9Q
Nasser de Melo    (2025-12-01 19:31:37)
01/12/25
TRASNSFERENCIA DE EURO 
WISE PARA BPI
EU$3800,00 = R$23393,68
02/12/25
TRASNSFERENCIA DE EURO 
WISE PARA BPI
EU$2000,00 = R$12308,53
06/12/25
TRASNSFERENCIA DE EURO
WISE PARA BPI
EU$3000,00 = R$18823,14
10/12/2025
TRASNSFERENCIA DE EURO
WISE PARA BPI
EU$3000,00 = R$18962,43
11/12/25
PGTO VIAGEM EGITO 25%
-5,3*(+773+973+973) =
R$14410
22/12/25
PGTO VIAGEM EGITO 
EGYPTAIR
-2195*5,41
R$11874,
24/12/25
TRASNSFERENCIA DE EURO 
WISE PARA BPI
EU$2150,00 = R$13833,97
26/12/25
TRASNSFERENCIA DE EURO
WISE PARA BPI
EU$2070,00 = R$13366,37</t>
      </text>
    </comment>
    <comment authorId="0" ref="M91">
      <text>
        <t xml:space="preserve">======
ID#AAABw4uSw9I
Nasser de Melo    (2025-12-01 19:30:14)
01/12/25
COMPRA DE EURO
ENVIO PARA BPI BANCO
EU$1= R$6,156
EU$3800,00 = R$23393,68
02/12/25
COMPRA DE EURO
ENVIO PARA BPI BANCO
EU$1= R$6,219
EU$2000,00 = R$12308,53
06/12/25
TRASNSFERENCIA DE EURO
WISE PARA BPI
EU$3000,00 = R$18823,14
10/12/2025
TRASNSFERENCIA DE EURO
WISE PARA BPI
EU$3000,00 = R$18962,43
24/12/25
TRASNSFERENCIA DE EURO
WISE PARA BPI
EU$2150,00 = R$13833,97
26/12/25
TRASNSFERENCIA DE EURO
WISE PARA BPI
EU$2070,00 = R$13366,37</t>
      </text>
    </comment>
    <comment authorId="0" ref="L91">
      <text>
        <t xml:space="preserve">======
ID#AAABw4uSw84
Nasser de Melo    (2025-12-01 19:16:08)
01/12/25
TRANSFERENCIA PARA WISE
COMPRA DE MOEDAS
+20000
01/12/25
TRANSFERENCIA PARA WISE
COMPRA DE MOEDAS
+10000
02/12/25
TRANSFERENCIA PARA WISE
COMPRA DE MOEDAS
+25000
26/12/25
TRANSFERENCIA PARA WISE
COMPRA DE MOEDAS
+2000</t>
      </text>
    </comment>
    <comment authorId="0" ref="Z84">
      <text>
        <t xml:space="preserve">======
ID#AAABw13ZDOw
Nasser de Melo    (2025-12-01 11:10:52)
28/11/25
VENDA VALE3 GAIN
-900*67,70</t>
      </text>
    </comment>
    <comment authorId="0" ref="L83">
      <text>
        <t xml:space="preserve">======
ID#AAABwygGocg
Nasser de Melo    (2025-11-27 15:38:25)
27/11
transferencia para WISE
COMPRA DE MOEDAS
+30K
30/11
transferencia para WISE
+4500,00</t>
      </text>
    </comment>
    <comment authorId="0" ref="AC83">
      <text>
        <t xml:space="preserve">======
ID#AAABteWn58w
Nasser de Melo    (2025-11-27 01:11:27)
25/11/2025
COMPRA AMD A1MD34
BTG NASSER
+10*136,00
+ 10*136,00
+ 10*136,00
+ 10*134,05 
+ 10*132,71 
+ 10*135,01 
+ 10*133,01 
+ 10*134,53
+ 10*135,45
+ 10*136,00 
+ 10*136,00 
+ 10*136,00
+ 10*136,00
+ 10*136,00 
+ 10*136,00
+ 10*136,00
+ 10*133,92 
+ 10*133,75
+ 10*136,00
+ 10*135,85
+ 10*133,91 
+ 10*132,51 
+ 10*134,39
+ 10*134,61 
+ 10*134,76
+ 10*134,81
+ 10*135,18 
+ 10*134,67
+ 10*134,86
+ 10*134,83
+ 10*134,69
+ 10*134,49
+ 10*134,41 
+ 10*134,34
+ 10*134,73
+ 10*135,11
+ 10*135,26
+ 10*135,53 
+ 10*135,11 
+ 10*135,84
+ 10*136,00 
+ 10*136,19
+ 10*135,85
+ 10*136,29
+ 10*135,74
+ 10*135,61 
+ 10*136,01
+ 10*135,43
+ 10*135,89
+ 10*134,91 
+ 10*133,51 
+ 10*133,16
+ 10*134,17
+ 10*132,60
+ 10*132,85
+ 10*131,94
+ 8*134,28
+ 2*131,30 
+ 10*131,51
+ 10*132,77
+ 10*132,17
+ 10*131,82
+ 10*131,41
26/11
+20*142,21
+20*142
+10*142,26
+10*142,22
+20*142,10</t>
      </text>
    </comment>
    <comment authorId="0" ref="AD83">
      <text>
        <t xml:space="preserve">======
ID#AAABwsnj-Pk
Nasser de Melo    (2025-11-24 20:44:58)
21/11/2025
COMPRAS MELI34
ALEXA BTG
+50*87,20
+ 50*86,77 
+ 50*86,73
+ 50*87,13
+ 50*87,01
+ 50*86,45
+ 50*86,25
+ 50*86,35 
+ 50*86,15</t>
      </text>
    </comment>
    <comment authorId="0" ref="AE84">
      <text>
        <t xml:space="preserve">======
ID#AAABwg4hygE
Nasser de Melo    (2025-11-20 00:10:56)
19/11/25
VENDA SIGMA BTG ALEXA
-1000*18,43
-1000*18,53
-410*18,25
21/11
-310*16,20
- 1000*16,24 
- 1000*16,54
- 180*16,14
- 820*16,12
- 190*16,62
- 100*16,66
- 100*16,64
- 100*16,62
- 100*16,60
- 100*16,71</t>
      </text>
    </comment>
    <comment authorId="0" ref="S84">
      <text>
        <t xml:space="preserve">======
ID#AAABwg4hyf4
Nasser de Melo    (2025-11-19 23:44:26)
17/11/25
VENDA LFTS11 BTG NASSER
- 70*143,15
- 70*143,15
- 70*143,15 
- 70*143,15
- 70*143,15</t>
      </text>
    </comment>
    <comment authorId="0" ref="AA84">
      <text>
        <t xml:space="preserve">======
ID#AAABwg4hyf0
Nasser de Melo    (2025-11-19 23:42:48)
17/11/25
VENDA SIGMA BTG NASSER
GAIN
-5000*15,35
19/11
VENDA SIGMA BTG NASSER
- 670*18,48
- 330*18,50
-1000*18,10
-1000*16,26
-2000*16,23
21/11
-1000*16,34
- 1000*16,12</t>
      </text>
    </comment>
    <comment authorId="0" ref="U83">
      <text>
        <t xml:space="preserve">======
ID#AAABwg4hyfw
Nasser de Melo    (2025-11-19 23:37:18)
13/11/25
COMPRA TESLA BTG NASSER
+10*65,89
+ 10*65,81
+ 10*65,84
+ 10*65,83
+ 10*65,82
+ 10*65,86
+ 10*65,88
+ 10*65,82
+ 10*65,85
+ 10*65,92 
+ 10*66,45
+ 10*65,91
+ 10*65,79
+ 10*65,78
+ 10*65,78
+ 10*65,81
+ 10*65,83 
+ 10*65,80 
+ 10*65,82
+ 10*65,80 
+ 10*65,82 
+ 10*65,80
+ 10*65,80
+ 10*66,64
+ 10*65,77
+ 10*65,94</t>
      </text>
    </comment>
    <comment authorId="0" ref="AG84">
      <text>
        <t xml:space="preserve">======
ID#AAABwg4hyfs
Nasser de Melo    (2025-11-19 23:34:24)
12/11/25
VENDA APPLE BTG ALEXA
-64*72,12 
- 50*72,13 
- 50*72,03 
- 50*72,18 
- 50*72,16
27/11
VENDA APPLED GAIN
-50*74,28 
- 50*74,28 
- 50*74,27 
- 50*74,25
- 50*74,25
- 50*74,25
- 50*74,25
- 50*74,28 
- 50*74,27
- 50*74,27</t>
      </text>
    </comment>
    <comment authorId="0" ref="AG85">
      <text>
        <t xml:space="preserve">======
ID#AAABwfvmN4w
Nasser de Melo    (2025-11-19 11:06:24)
19/11/25
APPLE
DIVIDENDOS
35,57</t>
      </text>
    </comment>
    <comment authorId="0" ref="W85">
      <text>
        <t xml:space="preserve">======
ID#AAABwfvmN4s
Nasser de Melo    (2025-11-19 10:56:18)
19/11/25
CMIN3
DIVIDENDOS
-429,51
JSC
-412,25</t>
      </text>
    </comment>
    <comment authorId="0" ref="V83">
      <text>
        <t xml:space="preserve">======
ID#AAABvSpweuw
Nasser de Melo    (2025-11-07 19:38:43)
07/11/25
COMPRA MELI34 
NASSER BTG
+50*93,82
+50*93,68
+50*93,34
+50*93,23
21/11
+200*85,99
+ 50*86,12
+ 50*88,20
+ 50*88,02</t>
      </text>
    </comment>
    <comment authorId="0" ref="AE83">
      <text>
        <t xml:space="preserve">======
ID#AAABvTKLw78
Nasser de Melo    (2025-11-07 17:43:50)
06/11
COMPRAS SIGMA
+200*9,01 
+ 200*9,05 
+ 200*9,01 
+ 200*9,01 
+ 200*8,98 
+ 200*8,99 
+ 200*8,99 
+ 200*8,98 
+ 200*8,98 
+ 200*8,99 
+ 200*9,01 
+ 200*8,99 
+ 200*9,01 
+ 200*8,99</t>
      </text>
    </comment>
    <comment authorId="0" ref="AH84">
      <text>
        <t xml:space="preserve">======
ID#AAABvTKLw74
Nasser de Melo    (2025-11-07 17:35:54)
05/11/2025
VENDA GAIN INTEL 
ALEXA BTG
-400*34,41 
- 400*34,41 
- 400*34,41 
- 400*34,42 
- 400*34,39
13/11
VENDA INTEL BTG ALEXA
-100*31,98
18/11/25
VENDA
-455*30,72</t>
      </text>
    </comment>
    <comment authorId="0" ref="F83">
      <text>
        <t xml:space="preserve">======
ID#AAABvTKLw70
Nasser de Melo    (2025-11-07 17:34:35)
05/11/25
COMPRA LFTS11 
ALEXA BTG
+40*142,52 
+ 40*142,52 
+ 40*142,52
06/11
COMPRA LFTS11
+50*142,60 
+ 50*142,61
21/11
+80*143,37 
+ 50*143,35</t>
      </text>
    </comment>
    <comment authorId="0" ref="R83">
      <text>
        <t xml:space="preserve">======
ID#AAABvOvgTF0
Nasser de Melo    (2025-11-05 19:26:42)
04/11/25
COMPRA AURA33 BTG NASSER
+50*57,41 
+ 50*57,11 
+ 50*58,90 
+ 50*58,93
05/11
COMPRA AURA33
+50*58,21
+ 50*58,58 
+ 50*58,77
+ 50*58,84 
+ 50*58,71</t>
      </text>
    </comment>
    <comment authorId="0" ref="U84">
      <text>
        <t xml:space="preserve">======
ID#AAABvOvgTFw
Nasser de Melo    (2025-11-05 19:25:16)
03/11/25
VENDA TESLA BTG
-100*78,82 
- 100*78,83
- 100*78,86 
- 100*78,33 
- 100*78,61</t>
      </text>
    </comment>
    <comment authorId="0" ref="N84">
      <text>
        <t xml:space="preserve">======
ID#AAABvOvgTFs
Nasser de Melo    (2025-11-05 19:23:48)
03/11/25
VENDA INTEL BTG
-100*35,03 
- 100*35,10
- 100*35,07
- 100*35,03
- 100*34,99
05/11
VENDA INTEL GAIN
-100*34,12 
- 100*34,12 
- 100*34,12 
- 100*34,15 
- 100*34,12
- 100*34,48
- 100*34,48 
- 100*34,47
- 100*34,47 
- 100*34,47</t>
      </text>
    </comment>
    <comment authorId="0" ref="W84">
      <text>
        <t xml:space="preserve">======
ID#AAABvOvgTFo
Nasser de Melo    (2025-11-05 19:19:22)
03/11/25
VENDA CMIN3 BTG
-1500*6,14
12/11/25
VENDA CMIN3 
-500*5,73
- 500*5,74 
- 500*5,75 
- 500*5,86 
- 500*5,88
- 500*5,76
- 500*5,75
- 500*5,87
- 500*5,92
- 500*5,89
- 500*5,86</t>
      </text>
    </comment>
    <comment authorId="0" ref="Y84">
      <text>
        <t xml:space="preserve">======
ID#AAABvOvgTFk
Nasser de Melo    (2025-11-05 19:18:17)
03/11/25
VENDA ASML BTG
-20*103,91
- 20*104,08
- 20*103,87 
- 20*104,08</t>
      </text>
    </comment>
    <comment authorId="0" ref="T84">
      <text>
        <t xml:space="preserve">======
ID#AAABvOvgTFg
Nasser de Melo    (2025-11-05 19:17:00)
03/11/25
VENDA APPLE BTG NASSER
-50*71,31 
- 50*71,48
- 50*71,53
12/11/25
venda APPLE 
-50*72,15 
- 50*72,08
- 50*72,16
- 50*72,09</t>
      </text>
    </comment>
    <comment authorId="0" ref="S83">
      <text>
        <t xml:space="preserve">======
ID#AAABvOvgTFc
Nasser de Melo    (2025-11-05 19:15:29)
03/11/25
COMPRA LFTS11 BTG NASSER
+50*142,35 
+ 50*142,36 
+ 45*142,36 
+ 50*142,35 
+ 50*142,37 
+ 50*142,36
05/11
COMPRA LFTS11
+50*142,51 
+ 50*142,52 
+ 50*142,52 
+ 50*142,52
06/11
COMPRA LFTS11
+50*142,53 
+ 50*142,53
+ 9*142,53
21/11
compra LFTS11
+50*143,37
+ 50*143,37 
+ 50*143,35</t>
      </text>
    </comment>
    <comment authorId="0" ref="AA83">
      <text>
        <t xml:space="preserve">======
ID#AAABvOvgTFY
Nasser de Melo    (2025-11-05 19:10:44)
03/11/25
compra SIGMA LITHIUM
+500*9,05 
+ 500*9,07 
+ 500*9,07 
+ 500*9,08
+ 500*8,99 
+ 500*9,08 
+ 500*9,08 
+ 500*9,08 
+ 100*9,06 
+ 100*9,09
04/11/25
COMPRA SIGMA LITHIUM
500*8,66
05/11
COMPRA SIGMA 
+500*8,75 
+ 100*9,04 
+ 100*8,88
+ 100*8,88 
+ 100*8,88 
+ 100*8,88 
+ 100*8,88 
+ 100*8,93 
+ 100*8,93 
+ 100*8,91 
+ 100*8,93</t>
      </text>
    </comment>
    <comment authorId="0" ref="AA75">
      <text>
        <t xml:space="preserve">======
ID#AAABt1_-Dzc
Nasser de Melo    (2025-10-31 19:14:07)
27/10/25
COMPRA SIGMA
G
+500*10,07</t>
      </text>
    </comment>
    <comment authorId="0" ref="R75">
      <text>
        <t xml:space="preserve">======
ID#AAABt1_SdnM
Nasser de Melo    (2025-10-31 18:00:01)
23/10/25
COMPRA AURA33
G
+50*59,53 
+ 50*60,22 
+ 50*60,51 
+ 50*60,74
+ 50*60,78 
+ 50*60,86 
+ 50*60,92 
+ 50*60,90 
+ 50*60,55 
+ 50*60,42 
+ 50*60,34 
+ 50*60,28
+ 50*60,02 
+ 50*59,70 
+ 50*60,79 
+ 50*60,79 
+ 50*60,75 
+ 50*60,89 
+ 50*60,82
+ 50*60,86 
+ 50*60,97 
+ 50*60,98 
+ 50*60,90 
+ 50*61,16 
+ 50*60,42 
+ 50*60,67 
+ 50*60,71
27/10/25
+ 50*54,74
+ 50*55,10 
+ 50*56,68
+ 50*57,44 
+ 50*55,81 
+ 50*56,18 
+ 50*58,72
28/10
+ 50*53,03 
+ 50*54,20</t>
      </text>
    </comment>
    <comment authorId="0" ref="U75">
      <text>
        <t xml:space="preserve">======
ID#AAABt1_SdnI
Nasser de Melo    (2025-10-31 17:54:03)
22/10/25
compra TESLA
G
30*73,73 
+ 30*73,72 
+ 30*72,63 
+ 30*73,48 
+ 30*73,28 
+ 30*73,68 
+ 30*73,35 
+ 30*73,88 
+ 30*73,95 
+ 30*73,86
23/10/25
COMPRA TESLA 
G
30*70,76
+ 30*71,16 
+ 30*74,67 
+ 30*71,39 
+ 30*71,40 
+ 30*71,02 
+ 30*71,52</t>
      </text>
    </comment>
    <comment authorId="0" ref="Z76">
      <text>
        <t xml:space="preserve">======
ID#AAABshSQXLc
Nasser de Melo    (2025-10-16 17:16:47)
14/10/25
VENDA VALE
-200*59,86
-100*59,87
-500*59,89
-100*59,93
-100*60,08
15/10/25
-500*60,86
28/10
VENDA VALE3
G
-100*62,26
- 100*62,32
31/10/25
VENDA VALE
-1000*64,90</t>
      </text>
    </comment>
    <comment authorId="0" ref="AC76">
      <text>
        <t xml:space="preserve">======
ID#AAABshSQXLM
Nasser de Melo    (2025-10-16 17:09:44)
14/10/25
VENDA COSAN
-300*5,85
-100*5,86
-100*5,87
-100*5,88
15/10/25
-100*5,92</t>
      </text>
    </comment>
    <comment authorId="0" ref="W76">
      <text>
        <t xml:space="preserve">======
ID#AAABshSQXLI
Nasser de Melo    (2025-10-16 17:06:33)
14/10/25
VENDA CMIN3
-1000*5,65
-4000*5,66
-6000*5,67
28/10/25
-1000*5,95
- 1000*5,94
-1000*5,95</t>
      </text>
    </comment>
    <comment authorId="0" ref="T76">
      <text>
        <t xml:space="preserve">======
ID#AAABsgtgIwI
Nasser de Melo    (2025-10-16 01:41:00)
14/10/25
venda aple
-50*67,77
-50*68,03
-50*67,97
27/10/25
VENDA APPLE
G
- (200*72,00 
+ 50*71,98
+ 50*72,09 
+ 50*72,16 
+ 50*72,16)
28/10
VENDA APPLE
G
- 100*72,31</t>
      </text>
    </comment>
    <comment authorId="0" ref="AH75">
      <text>
        <t xml:space="preserve">======
ID#AAABr9rLJ9E
Nasser de Melo    (2025-10-06 20:25:10)
06/10/25
COMPRA INTEL
+100*32,52
+100*32,44
+100*32,35
08/10/25
COMPRA INTEL
+55*31,87</t>
      </text>
    </comment>
    <comment authorId="0" ref="V75">
      <text>
        <t xml:space="preserve">======
ID#AAABr4eb7a8
Nasser de Melo    (2025-10-03 22:03:31)
03/10/2025
COMPRA MERCADO LIBRE
MELI34
+50*96,67
+50*96,81
+100*96,91
+50*97,01
+100*97,02
+100*97,05
+50*97,08
+50*97,46
06/10/25
COMPRA MELI34
+50*95,03
+50*95,57
08/10
+50*96,74
15/10/25
COMPRA MELI34
+50*94,11
+50*94,31
+50*94,71
+50*95,02
+50*95,10
+50*95,31
+50*95,41
16/10/25
COMPRA MELI34
+50*93,47
+50*93,11</t>
      </text>
    </comment>
    <comment authorId="0" ref="M75">
      <text>
        <t xml:space="preserve">======
ID#AAABr5VaKec
Nasser de Melo    (2025-10-03 15:41:50)
03/10/25
transferência SIMPLES
EU$ WISE PRA EU$ BPI
+EU$2400,00 = +14911,45</t>
      </text>
    </comment>
    <comment authorId="0" ref="L76">
      <text>
        <t xml:space="preserve">======
ID#AAABr5VaKeY
Nasser de Melo    (2025-10-03 15:41:14)
03/10/25
transferencia SIMPLES
EU$ WISE PRA EU$ BPI
EU$2400,00 = -14911,45</t>
      </text>
    </comment>
    <comment authorId="0" ref="AC75">
      <text>
        <t xml:space="preserve">======
ID#AAABrupO8ao
Nasser de Melo    (2025-10-02 18:07:40)
02/10/2025
COMPRA COSAN
NASSER BTG
+200*6,02
+100*6,03
+100*6,04
+100*6,08
+100*6,03
+100*5,96</t>
      </text>
    </comment>
    <comment authorId="0" ref="N76">
      <text>
        <t xml:space="preserve">======
ID#AAABrupO8ak
Nasser de Melo    (2025-10-02 18:04:40)
02/10/2025
VENDA INTEL GAIN
-250*32,55
03/10
-500*33,60
14/10/25
VENDA INTEL
-350*32,15
-350*32,22
-700*32,24
-350*32,30
-350*32,69
23/10
VENDA INTEL
G
-300*36,31
28/10
VENDA INTEL
G
-1000*37,93 
- 500*37,16</t>
      </text>
    </comment>
    <comment authorId="0" ref="AD75">
      <text>
        <t xml:space="preserve">======
ID#AAABru44x8M
Nasser de Melo    (2025-10-02 02:37:12)
COMPRA 
COSAN CSAN3 BTG ALEXA
01/10/2025
+200*6,22
+400*6,21
+100*6,20
+300*6,19
+500*6,18
+100*6,17
+300*6,16
+100*6,15
+100*6,14
02/10/25
COMPRA COSAN
+100*6,03
+100*6,12</t>
      </text>
    </comment>
    <comment authorId="0" ref="X76">
      <text>
        <t xml:space="preserve">======
ID#AAABru44x8I
Nasser de Melo    (2025-10-02 02:32:59)
01/10/2025
VENDA ASML34 GAIN
-140*96,56</t>
      </text>
    </comment>
    <comment authorId="0" ref="AB75">
      <text>
        <t xml:space="preserve">======
ID#AAABru44x8E
Nasser de Melo    (2025-10-02 02:24:24)
01/10/25
COMPRA WEGE3
+100*36,02
+100*36,01
+100*36
+100*35,97
+100*35,91
+100*35,83
+100*35,81
+100*35,81
+100*35,77
+100*35,73
+100*35,69
+100*35,66
+100*35,54
+100*35,52</t>
      </text>
    </comment>
    <comment authorId="0" ref="U76">
      <text>
        <t xml:space="preserve">======
ID#AAABru44x8A
Nasser de Melo    (2025-10-02 02:20:04)
01/10/26
VENDA TESLA GAIN
-300*76,42
14/10/25
VENDA TESLA
-100*72,92
-150*73,10
-100*73,49</t>
      </text>
    </comment>
    <comment authorId="0" ref="Y76">
      <text>
        <t xml:space="preserve">======
ID#AAABru44x78
Nasser de Melo    (2025-10-02 02:18:03)
01/10/25
VENDA ASML34 GAIN
-50*97,10
-50*97,08
-1*97,01
-30*96,94
-30*96,85
-100*96,83
-100*95,68
02/10
VENDA ASML34 GAIN
-150*100,50
14/10/25
VENDA ASML
-60*97,44
-60*97,67
-60*97,86
16/10/25
VENDA ASML
-237*103,66
28/10/25
VENDA ASML
G
-30*103,66
- 30*103,58
- 45*102,56
- 10*102,57
- 44*102,53
- 1*102,55
- 50*102,50 
- 30*102,59
- 11*102,55
- 19*102,53</t>
      </text>
    </comment>
    <comment authorId="0" ref="AB67">
      <text>
        <t xml:space="preserve">======
ID#AAABrkrORYc
Nasser de Melo    (2025-09-26 20:22:13)
26/09/25
COMPRA WEGE3
+500*36,32
+100*36,29
+100*36,30</t>
      </text>
    </comment>
    <comment authorId="0" ref="N68">
      <text>
        <t xml:space="preserve">======
ID#AAABspvcC8c
Nasser de Melo    (2025-09-25 18:24:06)
25/09/2025
venda Intel GAIN
-500*28,96
VENDA INTEL GAIN
-500*30,39
26/09
venda INTEL GAIN
-250*31,36</t>
      </text>
    </comment>
    <comment authorId="0" ref="Y68">
      <text>
        <t xml:space="preserve">======
ID#AAABrXRpKGE
Nasser de Melo    (2025-09-21 05:33:16)
15 E 18/09/25
VENDA ASML34 GAIN
-300*82,05
-179*83,31
-100*83,45
-100*83,50
-250*89,50</t>
      </text>
    </comment>
    <comment authorId="0" ref="AA67">
      <text>
        <t xml:space="preserve">======
ID#AAABrXRpKGA
Nasser de Melo    (2025-09-21 05:28:32)
11/09
COMPRA SIGMA
+500*10,01
+1000*9,96
+500*9,90
+500*9,89
+500*9,80
+500*9,71</t>
      </text>
    </comment>
    <comment authorId="0" ref="U68">
      <text>
        <t xml:space="preserve">======
ID#AAABrXRpKF8
Nasser de Melo    (2025-09-21 05:21:22)
12/09/25
VENDA GAIN TSLA34
-1000*65,88</t>
      </text>
    </comment>
    <comment authorId="0" ref="AE67">
      <text>
        <t xml:space="preserve">======
ID#AAABrXRpJrQ
Nasser de Melo    (2025-09-21 04:02:35)
05/09/25
COMPRA SIGMA 
S2GM34
+200*11,65
+100+11,63
+100*11,61
+100*11,60
+100*11,59
+100*11,58
+100*11,56
+100*11,54
+100*11,52
+100*11,50
+100*11,49
+200*11,46+
100*11,39
+10*11,24
10/09
+200*10,03
+100*10,01
+100*10
+100*9,91
11/09
+200*9,87
+100*9,86
+100*9,85
+100*9,84
+600*9,81
+100*-9,76
+200*9,72
+200*9,71</t>
      </text>
    </comment>
    <comment authorId="0" ref="AG67">
      <text>
        <t xml:space="preserve">======
ID#AAABrXRpJrM
Nasser de Melo    (2025-09-21 02:41:50)
05/09/25
compra AAPL34
+50*64,68
+50*64,56
+50*64,53
+50*64,49
+50*64,46
+50*64,41
+4*64,33</t>
      </text>
    </comment>
    <comment authorId="0" ref="M70">
      <text>
        <t xml:space="preserve">======
ID#AAABrWtppg0
Nasser de Melo    (2025-09-20 22:02:20)
ATUALIZAÇÃO
09/2025
20/09/2025
grama OURO = R$570,00
EU$1,00 = R$ 6,51
US$1,00 = R$ 5,54
=====
(GOLD+CASH) 
HOME + BANKs
&gt;pulseira MACIÇA OURO+ Dadinho
(32,96g+1,33g =34,29g)= 
34,29g * R$570,00 a grama =
R$19545,30
COMPRA GOLD
&gt;PULSEIRA EGÍPCIA
(51,18g) *570 =
R$29172,60
&gt;CHAVEIRO VARGAS
(10,93g) * 570 =
R$6230,10
&gt;CORRENTE CORDA
GOLD
+17,26g*570,00= R$9838,20
=&gt;&gt;TOTAL GOLD
19545,30+29172,60+6230,10+9838,20 = 
=&gt;&gt;R$64789,20
=============
CASH HOME
&gt;US$1672 = R$9262,88+
&gt;EU$2000,00 =R$13020,00 +
&gt;EU$2615,00=R$17023,65
BPI BANK
(EU6340,00)+EU$431,88=
TOTAL BPI EU$6771,88 * 6,51
R$44084,93
=&gt;TOTAL CASH
9262,88+13020,00+17023,65
+44084,93=
TT =&gt;R$ 83391,46
==========
&gt;&gt; TOTAL GERAL
(GOLD+CASH)
HOME+BANKs
64786,20+83391,46=
==&gt;&gt; R$ 148177,66</t>
      </text>
    </comment>
    <comment authorId="0" ref="M68">
      <text>
        <t xml:space="preserve">======
ID#AAABrWtppgw
Nasser de Melo    (2025-09-20 21:45:53)
20/09/25
- 455 * 6,51
GASTOS NA VIAGEM PORTUGAL
-2963,18
GASTOS COM EURO NO BPI
-25434,96</t>
      </text>
    </comment>
    <comment authorId="0" ref="L68">
      <text>
        <t xml:space="preserve">======
ID#AAABrXCUU9M
Nasser de Melo    (2025-09-20 20:18:49)
20/09/25
viAGem PORTUGAL
DESPESAS EM WISE
-19839,00
26/09/25
TRANSFERENCIA PARA BPI
PGTO IRN SOFIA PORTUGAL
-3095,70</t>
      </text>
    </comment>
    <comment authorId="0" ref="M67">
      <text>
        <t xml:space="preserve">======
ID#AAABsocvKIo
Nasser de Melo    (2025-09-20 15:51:56)
20/09/25
+EU$2615,00
TROCO da viajem a Portugal
em casa no cofre
26/09/25
TRANSFERENCIA PARA BPI
PGTO IRN SOFIA PORTUGAL
-3095,70</t>
      </text>
    </comment>
    <comment authorId="0" ref="L67">
      <text>
        <t xml:space="preserve">======
ID#AAABrVj5Mhk
Nasser de Melo    (2025-09-19 20:55:50)
19/09/25
compra MOEDAS WISE
+R$12000,00
23/09
compra MOEDAS WISE
+R$10000,00
+R$10000,00
26/09/25
compra MOEDAS
EU JPY
R$10000,00</t>
      </text>
    </comment>
    <comment authorId="0" ref="L60">
      <text>
        <t xml:space="preserve">======
ID#AAABn9XMcrs
Nasser de Melo    (2025-08-20 23:40:09)
20/08/2025
PGTO SOFIA NIVER
US$400,00
=
R$2170,19</t>
      </text>
    </comment>
    <comment authorId="0" ref="AA59">
      <text>
        <t xml:space="preserve">======
ID#AAABn9qBXZk
Nasser de Melo    (2025-08-20 20:37:49)
20/08/2025
COMPRA S2GM34
SIGMA LITHIUM
+400*11,01
+200*11,02
+200*11,03
+1000*11,07</t>
      </text>
    </comment>
    <comment authorId="0" ref="Z60">
      <text>
        <t xml:space="preserve">======
ID#AAABn9qBXZg
Nasser de Melo    (2025-08-20 20:33:42)
20/08/25
venda vale3
PGTO WEGE3
-100*53,03
-100*53,05
22/08/25
VENDA VALE3 
PGTO SIGMA
-200*54,80
-200*54,50</t>
      </text>
    </comment>
    <comment authorId="0" ref="AG61">
      <text>
        <t xml:space="preserve">======
ID#AAABpnK46uA
Nasser de Melo    (2025-08-20 11:33:35)
20/08/2025
DIVIDENDOS AAPL34
-21,81</t>
      </text>
    </comment>
    <comment authorId="0" ref="T61">
      <text>
        <t xml:space="preserve">======
ID#AAABpnBo7fs
Nasser de Melo    (2025-08-20 11:25:48)
20/08/25
dividendos AAPL34
-47,41</t>
      </text>
    </comment>
    <comment authorId="0" ref="M59">
      <text>
        <t xml:space="preserve">======
ID#AAABpdD1xr8
Nasser de Melo    (2025-08-19 20:18:04)
19/08/25
CORRENTE CORDA
GOLD
+17,26g*500,00= R$8630,00</t>
      </text>
    </comment>
    <comment authorId="0" ref="U60">
      <text>
        <t xml:space="preserve">======
ID#AAABpltuDzk
Nasser de Melo    (2025-08-19 14:03:20)
19/08
venda tsla34
gain
-200*57,46
-100*57,49
-100*57,47
22/08/25
VENDA TSLA34
-75*57,19
-75*56,94
-100*57,26</t>
      </text>
    </comment>
    <comment authorId="0" ref="N60">
      <text>
        <t xml:space="preserve">======
ID#AAABpWwJzB4
Nasser de Melo    (2025-08-15 19:44:26)
15/08/25
VENDA INTEL 
USA VAI COMPRAR FATIA
-1000*22,81
-1000*22,79
-500*22,67
-500*22,68
19/08/25
VENDA INTEL 
GAIN
-200*23,89
-200*23,71
-200*23,67
-200*23,61
-200*23,57</t>
      </text>
    </comment>
    <comment authorId="0" ref="AB59">
      <text>
        <t xml:space="preserve">======
ID#AAABpWwJzBw
Nasser de Melo    (2025-08-15 19:36:05)
15/08/25
COMPRA WEGE3 
BTG NASSER
+500*35,91
+100*35,86
+100*35,81
+100*35,73
19/08
COMPRA WEGE3
+100*35,63
+100*35,51</t>
      </text>
    </comment>
    <comment authorId="0" ref="Y60">
      <text>
        <t xml:space="preserve">======
ID#AAABpV9Th_U
Nasser de Melo    (2025-08-14 20:40:28)
14/08/25
venda ASML
-93*74,60
19/08
VENDA ASML 
GAIN
-200*74,60</t>
      </text>
    </comment>
    <comment authorId="0" ref="F60">
      <text>
        <t xml:space="preserve">======
ID#AAABpPM5jOI
Nasser de Melo    (2025-08-11 18:04:22)
11/08/25
VENDA LFTS11
-30*137,78
12/08/25
VENDA COB CC
-70*137,85
-250*137,86
CANCELADA PELA B3
13/08/25
VENDA LFTS11
-50*137,99
18/08/25
VENDA LFTS11
NOVAMENTE
-320*138,15</t>
      </text>
    </comment>
    <comment authorId="0" ref="AG59">
      <text>
        <t xml:space="preserve">======
ID#AAABl-7LDHs
Nasser de Melo    (2025-08-08 22:49:33)
08/08/25
COMPRA APPLE
+50*59,57</t>
      </text>
    </comment>
    <comment authorId="0" ref="AH59">
      <text>
        <t xml:space="preserve">======
ID#AAABl-7LDHo
Nasser de Melo    (2025-08-08 22:48:27)
08/08/25
COMPRA INTEL
+100*17,81
+100*17,82
+100*17,85
+300*17,86</t>
      </text>
    </comment>
    <comment authorId="0" ref="L59">
      <text>
        <t xml:space="preserve">======
ID#AAABozysbtc
Nasser de Melo    (2025-08-07 20:30:05)
07/08/25
compra MOEDAS WISE
R$12000,00</t>
      </text>
    </comment>
    <comment authorId="0" ref="X59">
      <text>
        <t xml:space="preserve">======
ID#AAABoyzKrbA
Nasser de Melo    (2025-08-05 02:36:58)
01/08/2025
COMPRA ASML
+8*69,57</t>
      </text>
    </comment>
    <comment authorId="0" ref="AF59">
      <text>
        <t xml:space="preserve">======
ID#AAABoyzKrZw
Nasser de Melo    (2025-08-05 02:34:16)
01/08/2025
COMPRA TESLA
+6*52,85</t>
      </text>
    </comment>
    <comment authorId="0" ref="Q62">
      <text>
        <t xml:space="preserve">======
ID#AAABoyzKrZs
Nasser de Melo    (2025-08-05 02:32:10)
04/08/25
transferido TD
DA CLEAR PARA BTG</t>
      </text>
    </comment>
    <comment authorId="0" ref="U59">
      <text>
        <t xml:space="preserve">======
ID#AAABoyzKrZk
Nasser de Melo    (2025-08-05 02:25:44)
01/08/2025
COMPRA TSLA34
+34*52,85
+50*52,87
22/08/25
compra TSLA34
ENGANO
+75*57,28</t>
      </text>
    </comment>
    <comment authorId="0" ref="Y59">
      <text>
        <t xml:space="preserve">======
ID#AAABoyzKrZc
Nasser de Melo    (2025-08-05 02:23:39)
01/08/2025
COMPRA ASML34
+50*69,04
+50*69,17
+50*69,31
+50*69,41
+50*69,48</t>
      </text>
    </comment>
    <comment authorId="0" ref="N59">
      <text>
        <t xml:space="preserve">======
ID#AAABoyzKrZY
Nasser de Melo    (2025-08-05 02:20:48)
01/08/2025
COMPRA INTEL ITLC34
+100*18,06
+50*18,01
+100*18,00
+50*17,99
+50*17,96
+50*17,95
+100*17,87
+94*17,82
+50*17,72
+100*17,65</t>
      </text>
    </comment>
    <comment authorId="0" ref="W59">
      <text>
        <t xml:space="preserve">======
ID#AAABoyzKrZU
Nasser de Melo    (2025-08-05 02:16:10)
01/08/2025
COMPRA CMIN3
+2000*5,01
+1000*5,02
+1000*5,03
+1000*5,04
+800*5,06
+1200*5,07
+2800*5,08
+3600*5,09
+1600*5,010
14/08
COMPRA CMIN3
+2000*4,81</t>
      </text>
    </comment>
    <comment authorId="0" ref="T59">
      <text>
        <t xml:space="preserve">======
ID#AAABoyzKrZQ
Nasser de Melo    (2025-08-05 02:03:28)
01/08/2025
COMPRA AAPL34
+10*58,82
+20*58,81
+10*58,78
+10*58,72
+10*58,67
+10*58,62
+10*58,59
+10*58,51
+10*58,46
+10*58,33
+10*58,27
+10*58,21</t>
      </text>
    </comment>
    <comment authorId="0" ref="C62">
      <text>
        <t xml:space="preserve">======
ID#AAABoyzKrZM
Nasser de Melo    (2025-08-05 01:56:31)
04/08/25
transferido TD 
DA CLEAR PARA BTG</t>
      </text>
    </comment>
    <comment authorId="0" ref="D62">
      <text>
        <t xml:space="preserve">======
ID#AAABoyzKrZI
Nasser de Melo    (2025-08-05 01:56:15)
04/08/25
transferido TD 
DA CLEAR PARA BTG</t>
      </text>
    </comment>
    <comment authorId="0" ref="W51">
      <text>
        <t xml:space="preserve">======
ID#AAABoi5P5Dc
Nasser de Melo    (2025-07-31 22:16:21)
31/07/25
compra CMIN3
+1000*5,07
+2000*5,08
+1000*5,05</t>
      </text>
    </comment>
    <comment authorId="0" ref="F53">
      <text>
        <t xml:space="preserve">======
ID#AAABobc3dwc
Nasser de Melo    (2025-07-30 13:43:39)
30/07/25
VENDA LFTS11
PARA COB CC
-200*137,17
-200*137,20</t>
      </text>
    </comment>
    <comment authorId="0" ref="AH51">
      <text>
        <t xml:space="preserve">======
ID#AAABn1BmWU0
Nasser de Melo    (2025-07-26 01:48:00)
25/07/25
COMPRA INTEL 
BTG ALEXA
+220*18,89
+160*18,92
+50*18,93
+220*18,94
+100*18,97</t>
      </text>
    </comment>
    <comment authorId="0" ref="N51">
      <text>
        <t xml:space="preserve">======
ID#AAABn1BmWUw
Nasser de Melo    (2025-07-26 01:34:05)
25/07/25
COMPRA INTEL 
+100*18,94
+150*19,01
+100*19,06
+100*19,12
+200*19,19
+100*19,23
+300*19,24
+100*19,27
29/07
+100*18,88
31/07
+100*18,51</t>
      </text>
    </comment>
    <comment authorId="0" ref="F52">
      <text>
        <t xml:space="preserve">======
ID#AAABnx9s7R8
Nasser de Melo    (2025-07-24 16:20:29)
23/07/2025
VENDA LFTS11 
COB CONTA
-100*136,8</t>
      </text>
    </comment>
    <comment authorId="0" ref="X51">
      <text>
        <t xml:space="preserve">======
ID#AAABnx9s7R0
Nasser de Melo    (2025-07-24 16:18:41)
23/07/2025
BTG ALEXA
COMPRA ASML34
+50*71,41
+50*71,48
+50*71,55
+50*71,64
+50*71,71
25/07
+20*71,51
+60*71,43
+42*71,41
+50*71,39</t>
      </text>
    </comment>
    <comment authorId="0" ref="M51">
      <text>
        <t xml:space="preserve">======
ID#AAABnvd4qqc
Nasser de Melo    (2025-07-23 19:32:48)
22/07/2025
RECEBIMENTO BCO BPI 
DE TRANSFERENCIA DO WISE
-EU$1000,00
23/07
-EU$4000,00
total lançado EM REAL 
+ R$33042,00</t>
      </text>
    </comment>
    <comment authorId="0" ref="L52">
      <text>
        <t xml:space="preserve">======
ID#AAABnvd4qqY
Nasser de Melo    (2025-07-23 19:31:50)
22/07/2025
RESGATE WISE PARA
TRANSFERENCIA BANCO BPI
-EU$1000,00
23/07
-EU$4000,00
EM REAL 
- R$33042,00</t>
      </text>
    </comment>
    <comment authorId="0" ref="Y51">
      <text>
        <t xml:space="preserve">======
ID#AAABmo3YThk
Nasser de Melo    (2025-07-23 00:33:09)
22/07
COMPRA ASML34
+9*71,19
+100*71,06
+100*71,39
23/07
COMPRA ASML34
+100*72,52
25/07/25
+20*72,16
+40*72,11
+20*72,07
+20*71,91
+10*71,75
+20*71,71
+10*71,67
+10*71,59
+10*71,57
+20*71,51
+20*71,45
+30*71,42
+20*71,35</t>
      </text>
    </comment>
    <comment authorId="0" ref="F51">
      <text>
        <t xml:space="preserve">======
ID#AAABnkdJJIc
Nasser de Melo    (2025-07-22 16:51:09)
22/07/25
COMPRA LFTS11
BTG ALEXA
+300*136,75
+300*136,74
+100*136,73
+200*136,72</t>
      </text>
    </comment>
    <comment authorId="0" ref="AD52">
      <text>
        <t xml:space="preserve">======
ID#AAABnjn3UIs
Nasser de Melo    (2025-07-21 22:34:02)
21/07
VENDA BBAS3
TRUMP VISTOS STF
-2100*19.93
22/07
-1100*19,91
-1000*19,90</t>
      </text>
    </comment>
    <comment authorId="0" ref="AE52">
      <text>
        <t xml:space="preserve">======
ID#AAABnjn3UIk
Nasser de Melo    (2025-07-21 22:32:56)
21/07/25
VENDA BBAS3 
TRUMP VISTOS STF
-1800*20.07
22/07
-500*19,89
-1000*19,90
-300*19,93</t>
      </text>
    </comment>
    <comment authorId="0" ref="O52">
      <text>
        <t xml:space="preserve">======
ID#AAABnjn3UIg
Nasser de Melo    (2025-07-21 22:26:43)
21/07
venda SOJA3
-3600*10.41
-5000*10.44
-1000*10.43
22/07
-4900*10,47
-2000*10,48
-3000*10,49</t>
      </text>
    </comment>
    <comment authorId="0" ref="AG51">
      <text>
        <t xml:space="preserve">======
ID#AAABnfF9LBY
Nasser de Melo    (2025-07-18 22:14:38)
18/07/2025
BTG ALEXA
COMPRA AAPL34 
+15*58,10
+15*58,15
+15*58,20
+15*58,25
+15*58,28
+15*58,30</t>
      </text>
    </comment>
    <comment authorId="0" ref="AD51">
      <text>
        <t xml:space="preserve">======
ID#AAABnfF9LBU
Nasser de Melo    (2025-07-18 22:12:37)
18/07/2025
BTG ALEXA
COMPRA BBAS3
+600*20,21
+800*20,22
+300*20,23
+600*20,24
+500*20,27
+500*20,32
21/07
+500*20.11
+400*20.04</t>
      </text>
    </comment>
    <comment authorId="0" ref="V52">
      <text>
        <t xml:space="preserve">======
ID#AAABnfF9LBM
Nasser de Melo    (2025-07-18 22:06:38)
ITAU CDB NASSER
ZERADA A POSIÇÃO
08/07/25
RESGATE PARA PG ITAU
-5117,77</t>
      </text>
    </comment>
    <comment authorId="0" ref="AE51">
      <text>
        <t xml:space="preserve">======
ID#AAABnfF9LBI
Nasser de Melo    (2025-07-18 21:58:52)
18/07/2025
COMPRA BBAS3
+1000*20,40</t>
      </text>
    </comment>
    <comment authorId="0" ref="O51">
      <text>
        <t xml:space="preserve">======
ID#AAABnfF9LBE
Nasser de Melo    (2025-07-18 21:57:39)
18/07/25
COMPRA SOJA3
+1000*10,51
+1000*10,53
+1000*10,57
+2000*10,55
+1000*10,61
+1000*10,63
+1000*10,62
+1000*10,69</t>
      </text>
    </comment>
    <comment authorId="0" ref="D52">
      <text>
        <t xml:space="preserve">======
ID#AAABnSRw05A
Nasser de Melo    (2025-07-11 11:29:47)
10/07/25
resgate TD
-19915,18
IR
-649,08
RESGATE TD
-8943,13
IR
-317,43</t>
      </text>
    </comment>
    <comment authorId="0" ref="I52">
      <text>
        <t xml:space="preserve">======
ID#AAABnNcH4Ag
Nasser de Melo    (2025-07-09 13:55:54)
08/07/25
RESGATE FUNDO BB HI
-49K
PARA EFETIVAÇÃO DA OPERAÇÃO DE CREDITO DO BTG 200K</t>
      </text>
    </comment>
    <comment authorId="0" ref="S52">
      <text>
        <t xml:space="preserve">======
ID#AAABnNcH39Q
Nasser de Melo    (2025-07-09 13:46:03)
08/07/25
VENDA CDB BTG
-64655,11
IR RESGATE
+905,11</t>
      </text>
    </comment>
    <comment authorId="0" ref="H52">
      <text>
        <t xml:space="preserve">======
ID#AAABnNcH39M
Nasser de Melo    (2025-07-09 13:44:48)
08/07/25
VENDA CDB BTG
-157605,51
IR RESGATE
+2636,94</t>
      </text>
    </comment>
    <comment authorId="0" ref="J51">
      <text>
        <t xml:space="preserve">======
ID#AAABnNcH39I
Nasser de Melo    (2025-07-09 13:40:51)
08/07
COMPRA FUNDO
FUNDO BTG CDB PLUS FIRF CRPR
P/ GARANTIA CREDITO 200K
+218744,87</t>
      </text>
    </comment>
    <comment authorId="0" ref="J44">
      <text>
        <t xml:space="preserve">======
ID#AAABnNcH39E
Nasser de Melo    (2025-07-09 13:38:09)
06/25
venda NO PRAZO VENCIMENTO
CDB BTG 105% CDI
+51592,45</t>
      </text>
    </comment>
    <comment authorId="0" ref="F44">
      <text>
        <t xml:space="preserve">======
ID#AAABmtwYv-s
Nasser de Melo    (2025-06-26 17:41:55)
26/06/25
VENDA LFTS11 GAIN
-300*135,39</t>
      </text>
    </comment>
    <comment authorId="0" ref="AF44">
      <text>
        <t xml:space="preserve">======
ID#AAABmXqtzYA
Nasser de Melo    (2025-06-25 22:06:49)
25/06
VENDA TESLA 
POR ENGANO
-100*56,03</t>
      </text>
    </comment>
    <comment authorId="0" ref="N43">
      <text>
        <t xml:space="preserve">======
ID#AAABmTctHPk
Nasser de Melo    (2025-06-23 23:48:14)
23/06
compra INTEL ITLC34
+250*19,31</t>
      </text>
    </comment>
    <comment authorId="0" ref="AG43">
      <text>
        <t xml:space="preserve">======
ID#AAABmQRkqBc
Nasser de Melo    (2025-06-20 17:30:20)
20/06
ALEXA BTG NEW
COMPRA APPLE
+50*54,65
+50*54,50
+50*54,34
23/06
+40*55,38
+40*55,13
+40*55,06
25/06
+50*55,86</t>
      </text>
    </comment>
    <comment authorId="0" ref="AF43">
      <text>
        <t xml:space="preserve">======
ID#AAABmQRkqBY
Nasser de Melo    (2025-06-20 17:29:02)
20/06
ALEXA BTG NEW
COMPRA TESLA
+100*55,32
+30*55,22
+30*55,09
+100*54,84
+100*54,83
+100*54,77
+100*54,74
25/06
100*55,84
+50*55,86
+50*55,99
+50*56,01
+50*56,03
+50*56,10
+50*56,15
+50*56,25
+100*56,31
+50*56,37
+90*56,80
27/06
COMPRA TESLA
LANÇAMENTO ENTREGA AUTONOMA
+38*55,25
+38*55,20
+40*54,88
+40*54,86
+38*54,84</t>
      </text>
    </comment>
    <comment authorId="0" ref="AH43">
      <text>
        <t xml:space="preserve">======
ID#AAABmQRkqBU
Nasser de Melo    (2025-06-20 17:24:12)
20/06
ALEXA BTG NEW
COMPRA ITLC34
+100*19,50
+100*19,24
+200*19,25
+100*19,18
23/06
+100*19,13
+100*19,20
+150*19,24</t>
      </text>
    </comment>
    <comment authorId="0" ref="I44">
      <text>
        <t xml:space="preserve">======
ID#AAABmQRkqBQ
Nasser de Melo    (2025-06-20 17:07:47)
20/06
resgaste p cc Santander
-2000</t>
      </text>
    </comment>
    <comment authorId="0" ref="F43">
      <text>
        <t xml:space="preserve">======
ID#AAABluZi750
Nasser de Melo    (2025-06-16 19:38:54)
16/06
COMPRA LFTS11
+150*134,86
+150*134,87</t>
      </text>
    </comment>
    <comment authorId="0" ref="V44">
      <text>
        <t xml:space="preserve">======
ID#AAABlrCTiLI
Nasser de Melo    (2025-06-13 19:54:39)
13/06
RESGATE PARA COBRIR CC ITAU
-5K
-10K</t>
      </text>
    </comment>
    <comment authorId="0" ref="L43">
      <text>
        <t xml:space="preserve">======
ID#AAABlp49pvI
Nasser de Melo    (2025-06-13 13:31:29)
13/06
compra DOLAR
+2500</t>
      </text>
    </comment>
    <comment authorId="0" ref="AE45">
      <text>
        <t xml:space="preserve">======
ID#AAABlpO_cn0
Nasser de Melo    (2025-06-12 20:34:33)
12/06
BBAS3
DIVIDENDOS
-738,72
JSC
-199,88</t>
      </text>
    </comment>
    <comment authorId="0" ref="X43">
      <text>
        <t xml:space="preserve">======
ID#AAABllIwd2E
Nasser de Melo    (2025-06-10 20:56:01)
09/06
COMPRA ASML34
POR CONTA ENGANO OPERADOR CLEAR
+374*77,92</t>
      </text>
    </comment>
    <comment authorId="0" ref="X44">
      <text>
        <t xml:space="preserve">======
ID#AAABllIwd2A
Nasser de Melo    (2025-06-10 20:54:53)
09/06
venda ASML34
OPERADOR cLEAR
-374*77,92
10/06
OPERADOR CLEAR
VENDA ASML34
-52*79,12
12/06
venda ASML34
OPERADOR clear
-322*79,35</t>
      </text>
    </comment>
    <comment authorId="0" ref="AB43">
      <text>
        <t xml:space="preserve">======
ID#AAABllIwd18
Nasser de Melo    (2025-06-10 20:47:10)
09/06
COMPRA TESLA
pala Venda engano operador Clear
=+423*53,30</t>
      </text>
    </comment>
    <comment authorId="0" ref="AB44">
      <text>
        <t xml:space="preserve">======
ID#AAABllIwd14
Nasser de Melo    (2025-06-10 20:45:39)
09/06
venda TESLA CLEAR
operador clear
-423*53,51
10/06
venda TESLA GAIN
-423*56,39</t>
      </text>
    </comment>
    <comment authorId="0" ref="M38">
      <text>
        <t xml:space="preserve">======
ID#AAABlC3rnO8
Nasser de Melo    (2025-06-02 18:40:00)
ATUALIZAÇÃO
05/2025
30/05/2025
grama OURO = R$500,00
EU$1,00 = R$ 6,65
US$1,00 = R$ 5,87
=====
(GOLD+CASH) 
HOME + BANKs
&gt;pulseira MACIÇA OURO+ Dadinho
(32,96g+1,33g =34,29g)= 
34,29g * R$500,00 a grama =
R$17480,00
COMPRA GOLD
&gt;PULSEIRA EGIPSIA
(51,18g) *500 =
R$25590,00
&gt;CHAVEIRO VARGAS
(10,93g) * 500 =
R$5465,00
=&gt;&gt;TOTAL GOLD
17480+25590+5465 = =&gt;&gt;R$48535,00
=============
CASH HOME
&gt;US$1672 = R$9814,64+
&gt;EU$2455 =R$16325,75 +
BPI BANK
(EU$5110, + EU$1100)= &gt;EU$6210=
R$41296,50
=&gt;TOTAL CASH
9814,64+16325,75+41296,50=
=&gt;&gt;R$67436,89
========
==&gt;&gt; TOTAL GERAL
(GOLD+CASH) HOME+BANKs
48535,00+67436,89=
==&gt;&gt; R$ 115971,89</t>
      </text>
    </comment>
    <comment authorId="0" ref="AE43">
      <text>
        <t xml:space="preserve">======
ID#AAABlFKZRZo
Nasser de Melo    (2025-06-02 14:59:29)
02/05
COMPRA BBAS3 
DIVIDENDOS
+100*23,21
+100*23,23
+100*23,24
+100*23,26
+100*23,27
+100*23,30</t>
      </text>
    </comment>
    <comment authorId="0" ref="I36">
      <text>
        <t xml:space="preserve">======
ID#AAABkhMXy8A
Nasser de Melo    (2025-06-01 01:36:29)
30/05
IR FUNDO BB
-1975,24</t>
      </text>
    </comment>
    <comment authorId="0" ref="V36">
      <text>
        <t xml:space="preserve">======
ID#AAABkhJiv1I
Nasser de Melo    (2025-05-31 01:45:49)
30/05
resgate CDB ITAU
COB OPERAÇÃO BBAS3
-21500,00</t>
      </text>
    </comment>
    <comment authorId="0" ref="AG36">
      <text>
        <t xml:space="preserve">======
ID#AAABkeKZ6GU
Nasser de Melo    (2025-05-29 18:54:47)
29/05
venda NVDC34 GAIN
-1000*16,53
-1400*16,52
-1000*16,47</t>
      </text>
    </comment>
    <comment authorId="0" ref="F36">
      <text>
        <t xml:space="preserve">======
ID#AAABkRFDOK8
Nasser de Melo    (2025-05-27 22:09:14)
27/05
VENDA LFTS11
-150*133,89
29/05
venda lfts11
-312*134,02</t>
      </text>
    </comment>
    <comment authorId="0" ref="AG35">
      <text>
        <t xml:space="preserve">======
ID#AAABkRFDOK4
Nasser de Melo    (2025-05-27 22:06:38)
27/05/2025
COMPRA NVIDEA CLEAR NASSER
PRE DIVULGAÇÃO RESULTADOS E DIVIDENDOS
+300*15,84
+400*15,85
+400*15,86
+300*15,87
+700*15,88
+100*15,89
+200*15,90
+100*15,91
+200*15,92
+100*15,93
+100*15,94
+500*15,95</t>
      </text>
    </comment>
    <comment authorId="0" ref="AE35">
      <text>
        <t xml:space="preserve">======
ID#AAABkBju0yg
Nasser de Melo    (2025-05-24 02:52:24)
23/05
COMPRA BBAS3
BTG NASSER
DIVIDENDOS
+400*24,42
+100*24,46
+200*24,51
+100*24,52
+200*24,54
28/05
COMPRA BBAS3
+200*24,17
+200*24,18
+200*24,19
+100*24,20
+100*24,21
+100*24,16
100*24,11</t>
      </text>
    </comment>
    <comment authorId="0" ref="AC36">
      <text>
        <t xml:space="preserve">======
ID#AAABj52axg0
Nasser de Melo    (2025-05-19 21:47:29)
19/05/25
VENDA GAIN HAPV3
-2000*2,90
-6000*2,85
-2000*2,86</t>
      </text>
    </comment>
    <comment authorId="0" ref="AA36">
      <text>
        <t xml:space="preserve">======
ID#AAABj52axgw
Nasser de Melo    (2025-05-19 21:23:08)
19/05/25
VENDA GAIN HAPV3
-12800*2,85</t>
      </text>
    </comment>
    <comment authorId="0" ref="O35">
      <text>
        <t xml:space="preserve">======
ID#AAABjpK-qsQ
Nasser de Melo    (2025-05-15 00:36:54)
14/05/25
COMPRA SOJA3
+200*11,11
+100*11,12
+100*11,13
+200*11,16
+100*11,18
+100*11,19
+400*11,20
+200*11,21
+100*11,22
+100*11,26
+100*11,30
+100*11,31
+100*11,33</t>
      </text>
    </comment>
    <comment authorId="0" ref="AB35">
      <text>
        <t xml:space="preserve">======
ID#AAABjlydu28
Nasser de Melo    (2025-05-13 14:50:06)
13/05
COMPRA TSLA34
+11*55,91</t>
      </text>
    </comment>
    <comment authorId="0" ref="X37">
      <text>
        <t xml:space="preserve">======
ID#AAABjjdSxL8
Nasser de Melo    (2025-05-13 03:11:26)
12/05
DIVIDENDOS ASML34
-39,22</t>
      </text>
    </comment>
    <comment authorId="0" ref="Y37">
      <text>
        <t xml:space="preserve">======
ID#AAABjjdSxL4
Nasser de Melo    (2025-05-13 03:08:39)
12/05
DIVIDENDOS ASML34
-302,87</t>
      </text>
    </comment>
    <comment authorId="0" ref="AA35">
      <text>
        <t xml:space="preserve">======
ID#AAABjjdSxL0
Nasser de Melo    (2025-05-13 02:42:34)
12/05
compra HAPV3
+400*2,45
+300*2,44</t>
      </text>
    </comment>
    <comment authorId="0" ref="X35">
      <text>
        <t xml:space="preserve">======
ID#AAABjBx9Ahk
Nasser de Melo    (2025-05-10 02:14:23)
09/05
COMPRA ASML34
+6*72,28
13/05
COMPRA ASML34
+3*77,45
14/05
+6*78,01
+7*77,83
23/05
+100*74,42
+20*75,21
+13*75,71</t>
      </text>
    </comment>
    <comment authorId="0" ref="J2">
      <text>
        <t xml:space="preserve">======
ID#AAABiz6HZYQ
Nasser de Melo    (2025-05-04 03:00:54)
LCA BB</t>
      </text>
    </comment>
    <comment authorId="0" ref="F35">
      <text>
        <t xml:space="preserve">======
ID#AAABg1IaOfQ
Nasser de Melo    (2025-05-02 22:03:48)
02/05
COMPRA LFTS11
+7*132,66
+30*132,67
+40*132,63
23/05
COMPRA LFTS11
+175*133,65
+70*133,67
+70*133,68
+35*133,69
+35*133,70</t>
      </text>
    </comment>
    <comment authorId="0" ref="L35">
      <text>
        <t xml:space="preserve">======
ID#AAABiv5VxlI
Nasser de Melo    (2025-05-02 20:37:52)
02/05
DEPOSITO 
R$10.000,00
-3815,00
-1000,00=
+5181,81
DESCRITIVO DAS COMPRAS :
compra moedas
LIBRA ESTERLINA GBP 
+500*7,63 = 3815,00
YEN JAPONEZ
+25213*0,0396 = 1000,00
#####
09/05
DEPOSITO 
R$10.000,00
11/05
deposito 
R$4000,00
12/05
DEPOSITO
+10000,00
COMPRA de EURO
13/05
DEPOSITO
+10000,00
COMPRA de EURO E CHF
14/05
DEPOSITO
+10000,00
COMPRA de USD
22/5
deposito btg
+5000,00
pra compra de USD</t>
      </text>
    </comment>
    <comment authorId="0" ref="V28">
      <text>
        <t xml:space="preserve">======
ID#AAABidHDOOc
Nasser de Melo    (2025-04-25 19:13:40)
25/04
resgate 2000,00 
cobertura Santander
29/04
resgate 2100,00
cobertura Santander
30/04
RESGATE 5000,00
CBERTURA BTG E MEV DAY</t>
      </text>
    </comment>
    <comment authorId="0" ref="AA27">
      <text>
        <t xml:space="preserve">======
ID#AAABiE68VjI
Nasser de Melo    (2025-04-17 16:56:22)
17/04
COMPRA HAPV3
+200*2,19
+500*2,18</t>
      </text>
    </comment>
    <comment authorId="0" ref="AH27">
      <text>
        <t xml:space="preserve">======
ID#AAABiGSt0v4
Nasser de Melo    (2025-04-16 20:26:43)
16/04/2025
COMPRA INTEL
CLEAR ALEXA
+61*18,33
+50*18,34
+150*18,35</t>
      </text>
    </comment>
    <comment authorId="0" ref="M30">
      <text>
        <t xml:space="preserve">======
ID#AAABiDR__ic
Nasser de Melo    (2025-04-15 11:19:13)
ATUALIZAÇÃO
04/2025
15/04/2025
grama OURO = R$440,00
EU$1,00 = R$ 6,50
US$1,00 = R$ 5,74
=====
(GOLD+CASH) HOME+BANKs
&gt;pulseira MACIÇA OURO
(32,96g+1,33g DADINHO=34,29g)=  34,29g * R$440,00 a grama =
R$15087,60
COMPRA GOLD
&gt;PULSEIRA EGIPSIA 
(51,18g) *440 =
R$22519,20,) +
&gt;CHAVEIRO VARGAS
(10,93g) * 440 = 
R$4809,20
=&gt;&gt;TOTAL GOLD
15087,60+22519,20+4809,20 = =&gt;&gt;R$42416,00
=============
CASH HOME
&gt;US$1672 = R$9701,31+
&gt;EU$2455 =R$16122,59 +
BPI BANK
(EU$5110, + EU$1100)= &gt;EU$6210=R$40782,56
=&gt;TOTAL CASH 
9701,31+16122,59+40782,56=
=&gt;&gt;R$66606,46
========
==&gt;&gt; TOTAL GERAL
(GOLD+CASH) HOME+BANKs
42416,00+66606,46=
==&gt;&gt; R$ 109022,46
Mostrar menos</t>
      </text>
    </comment>
    <comment authorId="0" ref="F27">
      <text>
        <t xml:space="preserve">======
ID#AAABhxp1hdk
Nasser de Melo    (2025-04-14 21:22:56)
14/04
COMPRA LFTS11
+100*131,84</t>
      </text>
    </comment>
    <comment authorId="0" ref="O27">
      <text>
        <t xml:space="preserve">======
ID#AAABhq18EpI
Nasser de Melo    (2025-04-12 13:06:04)
11/04
compra SOJA3
+200*9,83
+300*9,82
+200*9,81
+100*9,80
+100*9,79</t>
      </text>
    </comment>
    <comment authorId="0" ref="Y27">
      <text>
        <t xml:space="preserve">======
ID#AAABhmcTaes
Nasser de Melo    (2025-04-10 02:06:56)
09/04
COMPRA ASML34
+50*67,89
+50*67,7
+50*67,35
+50*68,05
10/04
+33*70,09
+33*70,04
+33*70,01
+33*69,97</t>
      </text>
    </comment>
    <comment authorId="0" ref="T27">
      <text>
        <t xml:space="preserve">======
ID#AAABhkDcUHw
Nasser de Melo    (2025-04-08 01:22:16)
07/04
COMPRA APPLE AAPL34
+30*51,93
+30*51,98
+30*52,07
+30*52,09
+30*52,15
+30*52,20
+30*52,22
+30*52,27
+60*52,32
+30*52,42
+30*52,46
+30*52,50
+30*52,58
+30*52,69
+30*52,75
+30*52,78
+30*52,80
+30*52,84
+30*52,86
+30*52,87
+30*52,88
+30*52,97
+30*54,06
09/07
+50*54,32
+50*54,01
+50*54,38</t>
      </text>
    </comment>
    <comment authorId="0" ref="F28">
      <text>
        <t xml:space="preserve">======
ID#AAABhkIpjIE
Nasser de Melo    (2025-04-07 23:35:21)
02/04
VENDA LFTS11
-90*131,34
08/04
venda LFTS11
+99*2*131,64
+99*131,63
09/04
VENDA LFTS11
-99*131,71
10/04
-139*131,76
-99*131,77
17/04
-35*132,09
22/04
-75*132,17
29/04
VENDA LFTS11
-5*132,5</t>
      </text>
    </comment>
    <comment authorId="0" ref="N27">
      <text>
        <t xml:space="preserve">======
ID#AAABhZlvAHk
Nasser de Melo    (2025-04-01 23:27:34)
01/04
COMPRA INTEL
+100*20,92
02/04
+50*20,69
+50*20,64
+50*20,59
+50*20,54
+50*20,49
+50*20,44
03/04
+50*20,99
+50*21,03
+450*20,91
04/04
+50*20,46
+50*20,52
+50*20,41
+50*20,32
+50*20,24
+50*20,18
+50*20,11
+50*20,03
+50*19,66
+50*19,61
+50*19,57
+50*19,51
+50*19,44
+20*19,82
+20*19,81
+20*19,8
+20*19,79
+20*19,78
+40*19,77
+20*19,76
+50*19,75
+20*19,77
+20*19,93
+20*19,98
+20*19,91
+20*19,79
+20*19,67
+50*19,56
+50*19,36
+50*19,21
07/04
+20*18,86
+110*18,80
+20*18,77
+55*18,74
+55*18,72
+55*18,71
+55*18,70
+55*18,69
+55*18,68
+55*18,66
+55*18,64
+55*18,61
+55*18,51
+55*18,50
+55*18,37
+55*18,35
+55*18,31
+55*18,29
07/04
+20*18,86
+110*18,8
+20*18,77
+55*18,74
+55*18,72
+55*18,71
+55*18,7
+55*18,69
+55*18,68
+55*18,66
+55*18,64
+55*18,61
+55*18,51
+55*18,5
+55*18,37
+55*18,35
+55*18,31
+55*18,29
11/04
+50*18,51
+50*18,54
+50*18,63
+100*18,57
+50*18,65
+50*18,66
+50*18,76
+50*18,78
+50*18,88</t>
      </text>
    </comment>
    <comment authorId="0" ref="U27">
      <text>
        <t xml:space="preserve">======
ID#AAABhZlvAHg
Nasser de Melo    (2025-04-01 23:23:47)
01/04
COMPRA TESLA
+201*47,50
+100*47,47
04/04
+200*47,05
+100*46
+50*45,53
+50*45,21
+50*45,02
+50*44,76
+50*44,45
+50*44,11
+50*44,03
+50*43,87
+50*43,77
+50*43,34
+50*43,14
07/04
+315*41,4
+35*41,36
+105*41,21
+35*41,18
+35+41,13
+35*41,09
+35*41,04
+35*41,02
+35*41,01
+35*41,00
+35*40,9
+35*40,93
+70*40,92
+35*40,65
+35*40,63
+35*40,61
+35*40,58
+70*40,24
+35*40,05
+35*40,03
+35*40,01
+35*39,65
+35*39,63
+70*39,61
+35*39,60
+35*39,59
+70*39,58
+35*42,62
+35*42,53
+35*41,41
14/04
COMPRA TESLA
+50*46,04
+50*46,02
+50*45,93
+50*45,81
+50*45,76
22/04
+250*41,78
+50*41,66
+50*41,61
+50*41,48</t>
      </text>
    </comment>
    <comment authorId="0" ref="F20">
      <text>
        <t xml:space="preserve">======
ID#AAABhSdYeMU
Nasser de Melo    (2025-03-28 20:24:00)
28/03
VENDA LFTS11
-400*131,15
-240*131,26</t>
      </text>
    </comment>
    <comment authorId="0" ref="J19">
      <text>
        <t xml:space="preserve">======
ID#AAABgxi5VEU
Nasser de Melo    (2025-03-25 15:29:59)
24/03
COMPRA
CDB BTG 105% CDI
50K</t>
      </text>
    </comment>
    <comment authorId="0" ref="AC19">
      <text>
        <t xml:space="preserve">======
ID#AAABgw2fNwA
Nasser de Melo    (2025-03-24 20:22:27)
21/03
COMPRA HAPV3 HAPYVIDA
+1000*2,2
+2000*2,19
+1000*2,18
+3000*2,17
+2000*2,16
+1000*2,15</t>
      </text>
    </comment>
    <comment authorId="0" ref="O19">
      <text>
        <t xml:space="preserve">======
ID#AAABgigPrG8
Nasser de Melo    (2025-03-21 04:36:41)
20/03
COMPRA SOJA3
+100*10,62
+100*10,63
+100*10,64
+100*10,65
+100*10,66
+100*10,69</t>
      </text>
    </comment>
    <comment authorId="0" ref="F19">
      <text>
        <t xml:space="preserve">======
ID#AAABgf23RuQ
Nasser de Melo    (2025-03-19 00:22:25)
18/02
COMPRA LFTS11
+100*130,63
+200*130,62
+200*130,61
+200*130,6
19/03
+199*130,67
20/03
COMMPRA LTFS11
+80*130,76
+80*130,75
+80*130,74
21/03
+40*130,83
+80*130,82
+80*130,81
+40*130,80</t>
      </text>
    </comment>
    <comment authorId="0" ref="AA19">
      <text>
        <t xml:space="preserve">======
ID#AAABf0Yoqx0
Nasser de Melo    (2025-03-18 01:41:20)
17,03
COMPRA HAPV3
+100*2,24
+1000*2,25
+400*2,23
18/03
+1800*2,34
+1800*2,36
+2000*2,35
+1000*2,33
+1000*2,37
+400*2,38
+500*2,40
+500*2,41
19/03
COMPRA HAPV3
+900*2,24</t>
      </text>
    </comment>
    <comment authorId="0" ref="W20">
      <text>
        <t xml:space="preserve">======
ID#AAABfyWIVFQ
Nasser de Melo    (2025-03-14 14:21:51)
14/03
VENDA CMIN3 GAIN
-20000*5,92 =
118400,00
-2000*6,17 =
12340,00
17/03 
VENDA CMIN3 GAIN
-4000*6,29
18/03
-200*6,29
19/03
-13800*6,29</t>
      </text>
    </comment>
    <comment authorId="0" ref="M22">
      <text>
        <t xml:space="preserve">======
ID#AAABeP6ZdPM
Nasser de Melo    (2025-03-14 12:34:31)
ATUALIZAÇÃO
03/2025
grama OURO = R$400,00
EU$1,00 = R$ 6,21
US$1,00 = R$ 5,76
14/03/2025
(GOLD+CASH) HOME+BANKs
&gt;pulseira MACIÇA OURO 
(32,96g+1,33g DADINHO=34,29g)  34,29g * R$400,00 a grama =
R$13716,00
COMPRA GOLD
&gt;PULSEIRA EGIPSIA 
(51,18g) *400 =
R$20472,)  +
&gt;CHAVEIRO VARGAS
(10,93g) * 400 = 
R$4372,00  
=&gt;&gt;TOTAL GOLD
13716,00+20472,00+4372,00 = =&gt;&gt;R$38560,00
CASH HOME
&gt;US$1672 = R$9548,29+
&gt;EU$2455 =R$15241,25 +
BPI BANK
(EU$5110, + EU$1100)= &gt;EU$6210=R$38544,15
=&gt;TOTAL CASH 
9548,29+15241,25+38544,15=
=&gt;&gt;R$63333,69
==&gt;&gt; TOTAL GERAL
(GOLD+CASH) HOME+BANKs
38560,00+63333,69=
==&gt;&gt; R$ 101893,69</t>
      </text>
    </comment>
    <comment authorId="0" ref="L20">
      <text>
        <t xml:space="preserve">======
ID#AAABeP6ZdPA
Nasser de Melo    (2025-03-14 12:26:25)
08/02
PORTUGAL VIAGEM
HOST WISE
EU$745,90
EU$300,40
09/02
BOOKING
EU$1031,44
(1031+745+300)*6,33 =
R$13141,08</t>
      </text>
    </comment>
    <comment authorId="0" ref="Z21">
      <text>
        <t xml:space="preserve">======
ID#AAABfx0Krt4
Nasser de Melo    (2025-03-14 03:29:38)
14/03/2025
dividendos VALE3
-14778,74
JUROS S/ CAPITAL
-2344,98</t>
      </text>
    </comment>
    <comment authorId="0" ref="N19">
      <text>
        <t xml:space="preserve">======
ID#AAABftFzGPs
Nasser de Melo    (2025-03-12 02:57:43)
05/03
COMPRA INTEL
+100*19,69
+300*19,68
+100*19,61
+50*19,65
+50*19,51
+100*19,56
+50*19,60
+50*19,74
12/03
+50*20,41
+200*20,36
+50*20,39
+50*20,34
+50*20,28
+50*20,25
+50*20,21
+100*20,14
+50*20,05
+100*19,96
+50*19,85
+50*19,74
+50*19,61
+50*19,88
+50*19,97
+50*19,88
25/03 COMPRA INTEL
+50*23,08
+50*23,05
+50*23,02
+50*22,99
+50*22,96
+50*22,95
+150*22,93
+100*22,96
+50*22,90
+50*22,87
+50*22,84
+50*22,91
+50*22,88
26/03
COMPRA INTEL ITLC34
+50*22,34
+50*22,33
+50*22,31
+50*22,30
+100*22,28
+50*22,27
+100*22,26
+100*22,25
+50*22,23</t>
      </text>
    </comment>
    <comment authorId="0" ref="U19">
      <text>
        <t xml:space="preserve">======
ID#AAABftFzGKk
Nasser de Melo    (2025-03-12 02:48:45)
05/03
COMPRA TESLA
+100*49,37
+100*49,68
+100*49,50
+50*49,40
+50*49,60
+100*49,81
+50*49,61
+50*49,46
+50*49,29
+50*49,31
+150*49,21
+50*49,87
06/03
+50*47,50
+50*47,45
+50*47,41
+50*47,39
+50*47,36
+50*47,31
+50*47,27
+50*47,64
+50*47,51
+50*47,41
+50*47,36
+50*47,52
+50*47,27
+50*47,19
+50*47,01
10/03
+50*41,09
+50*41,01
+50*40,98
+50*40,84
+50*40,72
+50*40,51
11/03
+100*40,10
+50*40,11
+50*40,15
+50*40,20
+50*40,21
+50*40,23
+50*40,43
+50*40,54
+50*41,01
+50*41,12
+50*41,51
+50*42,16
+50*42,90
+50*42,60
+50*42,01
17/03 compra TESLA
+50*41,60
+50*41,56
+50*41,50
+50*41,57
+50*41,54
+50*42,24
+50*42,14
+50*42,01
+50*42,46
18/02
+50*39,72
+50*39,64
26/03
COMPRA TSLA34
+50*49,64
+50*49,49
+50*49,41
+50*49,32
+50*49,11
+50*49,01
+50*48,90
+50*48,83
+50*48,78
+50*48,65
+50*48,51
+50*48,37
+50*48,02</t>
      </text>
    </comment>
    <comment authorId="0" ref="AB19">
      <text>
        <t xml:space="preserve">======
ID#AAABftFzGKc
Nasser de Melo    (2025-03-12 02:09:58)
11/03
COMPRA TESLA
+12*40,56
+50*40,52
+50*40,42
+50*40,27
+50*40,12
10/03
+50*40,35
+50*40,52
+50*40,75
+50*40,78</t>
      </text>
    </comment>
    <comment authorId="0" ref="AD20">
      <text>
        <t xml:space="preserve">======
ID#AAABftFzGJ8
Nasser de Melo    (2025-03-12 02:05:19)
06/03
VENDA CMIN3
-14*5,46</t>
      </text>
    </comment>
    <comment authorId="0" ref="AB20">
      <text>
        <t xml:space="preserve">======
ID#AAABftFzGH0
Nasser de Melo    (2025-03-12 02:02:08)
06/03
venda TESLA
-24*47,33</t>
      </text>
    </comment>
    <comment authorId="0" ref="Z12">
      <text>
        <t xml:space="preserve">======
ID#AAABfWbPF3E
Nasser de Melo    (2025-03-04 20:46:07)
26/02
VENDA VALE3 GAIN
-500*57,41</t>
      </text>
    </comment>
    <comment authorId="0" ref="AB12">
      <text>
        <t xml:space="preserve">======
ID#AAABfWbPF3A
Nasser de Melo    (2025-03-04 20:34:54)
28/02
VENDA CLEAR TESLA LOSS
-12*53,65</t>
      </text>
    </comment>
    <comment authorId="0" ref="AD12">
      <text>
        <t xml:space="preserve">======
ID#AAABfWbPF28
Nasser de Melo    (2025-03-04 20:33:50)
27/02
VENDA CMIN3 CLEAR LOSS
-8700*5,34</t>
      </text>
    </comment>
    <comment authorId="0" ref="AH12">
      <text>
        <t xml:space="preserve">======
ID#AAABfWbPF24
Nasser de Melo    (2025-03-04 20:29:55)
27/02
NASSER
VENDA CLEAR INTEL
-1000*23,62
28/02
-616*23,15</t>
      </text>
    </comment>
    <comment authorId="0" ref="AG12">
      <text>
        <t xml:space="preserve">======
ID#AAABfWbPF2w
Nasser de Melo    (2025-03-04 20:15:38)
27/02
VENDA CLEAR NVIDIA
-89*15,45</t>
      </text>
    </comment>
    <comment authorId="0" ref="AF12">
      <text>
        <t xml:space="preserve">======
ID#AAABfWbPF2s
Nasser de Melo    (2025-03-04 20:14:02)
27/02
venda CLEAR
-1929*5,33</t>
      </text>
    </comment>
    <comment authorId="0" ref="H12">
      <text>
        <t xml:space="preserve">======
ID#AAABesXpUjY
Nasser de Melo    (2025-02-26 00:16:49)
21/02
RESGATE CDB BTG
7061,28</t>
      </text>
    </comment>
    <comment authorId="0" ref="V12">
      <text>
        <t xml:space="preserve">======
ID#AAABesXpUjU
Nasser de Melo    (2025-02-26 00:04:24)
25/02
resgate CDB ITAU
-1300,00</t>
      </text>
    </comment>
    <comment authorId="0" ref="J12">
      <text>
        <t xml:space="preserve">======
ID#AAABer0Z5TM
Nasser de Melo    (2025-02-24 21:10:42)
RESGATE LCA BB
21/02
-7000,00
24/02
PGTO BTG MASTER
-11000,00</t>
      </text>
    </comment>
    <comment authorId="0" ref="N12">
      <text>
        <t xml:space="preserve">======
ID#AAABeES1Ti0
Nasser de Melo    (2025-02-14 01:25:14)
13/02
VENDA ITLC34 GAIN
800*23,60
26/02
VENDA  GAIN
-2000*22,68</t>
      </text>
    </comment>
    <comment authorId="0" ref="Y12">
      <text>
        <t xml:space="preserve">======
ID#AAABeES1Tiw
Nasser de Melo    (2025-02-14 01:23:22)
13/02
VENDA ASML GAIN
-200*80,85
-200*80,80
26/02
VENDA GAIN
-1200*78,14</t>
      </text>
    </comment>
    <comment authorId="0" ref="M3">
      <text>
        <t xml:space="preserve">======
ID#AAABdCq3QaU
Nasser de Melo    (2025-01-30 22:25:13)
30/01
COMPRA GOLD
(51,18g*400=20400,) PULSEIRA EGIPSIA +
(10,93g*227=2500,) CHAVEIRO VARGAS =
22900,00 / 62,12g = R$368,64</t>
      </text>
    </comment>
    <comment authorId="0" ref="H4">
      <text>
        <t xml:space="preserve">======
ID#AAABc46gr3g
Nasser de Melo    (2025-01-30 20:19:49)
30/01
resgate cdb btg
PGTO GOLD PERNA E SDO BTG
-50K</t>
      </text>
    </comment>
    <comment authorId="0" ref="AE4">
      <text>
        <t xml:space="preserve">======
ID#AAABb_Nn-Ao
Nasser de Melo    (2025-01-22 23:42:29)
22/01
VENDA ABEV3
4500*11,02</t>
      </text>
    </comment>
    <comment authorId="0" ref="AD3">
      <text>
        <t xml:space="preserve">======
ID#AAABb3WQGx4
Nasser de Melo    (2025-01-18 02:15:26)
17/01/25
COMPRA CMIN3 
+53*5,03</t>
      </text>
    </comment>
    <comment authorId="0" ref="N3">
      <text>
        <t xml:space="preserve">======
ID#AAABb3WQGx0
Nasser de Melo    (2025-01-18 02:09:20)
17/01/25
COMPRA ITLC34
+30*21,03
+30*21,05
+30*21,07
+30*21,09
+30*21,11
+30*21,12
+50*21,14
+50*21,15
+100*21,16
+50*21,17
+30*21,18
+80*21,19
+130*21,20
+50*21,21
+80*21,22
+50*21,23
+30*21,28
+30*21,47
+30*21,60
+10*21,63
28/01
+100*20,04
+100*19,97
+200*19,90
+200*19,81
+200*19,52
+100*19,43
+1*19,45
+50*19,46
+50*19,42
+50*19,36</t>
      </text>
    </comment>
    <comment authorId="0" ref="Y4">
      <text>
        <t xml:space="preserve">======
ID#AAABbxQldQE
Nasser de Melo    (2025-01-16 22:36:18)
16/01/25
VENDA ASML34 GAIN
-91*83,25
-2*83,57
-62*84,16
-125*84,31</t>
      </text>
    </comment>
    <comment authorId="0" ref="Z3">
      <text>
        <t xml:space="preserve">======
ID#AAABbxQldQA
Nasser de Melo    (2025-01-16 22:30:33)
16/01/25
COMPRE VALE3
+100*52,75
+100*52,45
+100*52,03
+100*52,39
21/01
+100*53,77
+100*53,44
+100*53,52
+100*53,60
22/01
+100*52,77
+100*53,02
+100*53,13
+100*53,31
+100*53,50</t>
      </text>
    </comment>
    <comment authorId="0" ref="I4">
      <text>
        <t xml:space="preserve">======
ID#AAABb1QWw38
Nasser de Melo    (2025-01-16 18:16:51)
16/01
RESGATE BB HI
PARA COB BTG
15000</t>
      </text>
    </comment>
    <comment authorId="0" ref="M2">
      <text>
        <t xml:space="preserve">======
ID#AAABbyLHnDQ
Nasser de Melo    (2025-01-16 01:58:17)
31/12/2024
ATUALIZAÇÃO 2024-&gt; 2025
GOLD+CASH HOME+BANKs
HOME
&gt;pulseira MACIÇA OURO 
(32,96g+1,33g DADINHO=34,29g) R$7000,00 / 34,29g = R$204,14 a grama
CASH HOME
&gt;US$1672 = R$10235,15+
&gt;EU$2455 =R$15539,90 +
BPI BANK
(EU$5110, + EU$1100)= &gt;EU$6210=R$39308,84
=&gt;TOTAL CASH =&gt;R$72083,89</t>
      </text>
    </comment>
    <comment authorId="0" ref="AA4">
      <text>
        <t xml:space="preserve">======
ID#AAABbyLHnDM
Nasser de Melo    (2025-01-16 01:55:50)
07/01
venda GGBR4
100*18,45</t>
      </text>
    </comment>
    <comment authorId="0" ref="T4">
      <text>
        <t xml:space="preserve">======
ID#AAABbz8T6Yk
Nasser de Melo    (2025-01-16 00:04:26)
15/01
VENDA FESA4
-2400*7,70
-1000*7,69</t>
      </text>
    </comment>
    <comment authorId="0" ref="J4">
      <text>
        <t xml:space="preserve">======
ID#AAABbvqFf_Q
Nasser de Melo    (2025-01-15 16:53:54)
15/01
RESGATE LCA BB
PARA COB SANTANDER
-1600,00
16/01
RESGATE LCA BB
PARA COB BTG
-16000,00
-1600,00</t>
      </text>
    </comment>
    <comment authorId="0" ref="K4">
      <text>
        <t xml:space="preserve">======
ID#AAABbvqFf_M
Nasser de Melo    (2025-01-15 16:51:44)
15/01
resgate santander cdb
PARA COBERTURA DE SANTANDER
-4600,00</t>
      </text>
    </comment>
    <comment authorId="0" ref="AC4">
      <text>
        <t xml:space="preserve">======
ID#AAABbwUjPy4
Nasser de Melo    (2025-01-14 21:51:33)
14/01
VENDA POMO4
-2400*7,33
-3000*7,33</t>
      </text>
    </comment>
    <comment authorId="0" ref="F4">
      <text>
        <t xml:space="preserve">======
ID#AAABbnMQ8mo
Nasser de Melo    (2025-01-14 15:16:30)
14/01
resgate FUNDO PORTO DI
PARA cobertura saldo neg
-19647,73</t>
      </text>
    </comment>
    <comment authorId="0" ref="R4">
      <text>
        <t xml:space="preserve">======
ID#AAABbnMQ8jM
Nasser de Melo    (2025-01-14 11:59:54)
07/01
VENDA SUZB3
-10*61,95</t>
      </text>
    </comment>
    <comment authorId="0" ref="AB3">
      <text>
        <t xml:space="preserve">======
ID#AAABbmyz0qk
Nasser de Melo    (2025-01-14 01:40:22)
13/01
COMPRA TESLA
+3*74,11
+1*74,15</t>
      </text>
    </comment>
    <comment authorId="0" ref="O5">
      <text>
        <t xml:space="preserve">======
ID#AAABbkyv1kg
Nasser de Melo    (2025-01-13 11:27:32)
13/01
JCP SOJA3
-897,26</t>
      </text>
    </comment>
    <comment authorId="0" ref="AH3">
      <text>
        <t xml:space="preserve">======
ID#AAABbiNUA9Y
Nasser de Melo    (2025-01-11 03:13:31)
02/01/2025
compra ITLC34
+25*20,51 
25 UNITS ITLC34
(COMPRADAS EM 30/12/2024 
E
EXECUTADAS EM 02/01/2025)
10/01
compra INTEL DRN
+300*19,51
+108*19,49
+100*19,50</t>
      </text>
    </comment>
    <comment authorId="0" ref="V4">
      <text>
        <t xml:space="preserve">======
ID#AAABbhqfQDg
Nasser de Melo    (2025-01-10 18:31:28)
10/01
resgate FUNDO PRIVILEGE DI
-81,33</t>
      </text>
    </comment>
    <comment authorId="0" ref="AE5">
      <text>
        <t xml:space="preserve">======
ID#AAABbaX8xaY
Nasser de Melo    (2025-01-08 11:22:09)
07/01
dividendos ABEV3
-1902,60</t>
      </text>
    </comment>
    <comment authorId="0" ref="Y3">
      <text>
        <t xml:space="preserve">======
ID#AAABbZxaDCE
Nasser de Melo    (2025-01-06 23:45:09)
06/01/2025
COMPRA ASML34
+173*86,04
+32*86,30
+5*86,03
07/01
+8*85,27
+1*85,30
+1*85,37
+6*85,55
+12*85,62
+1*85,63
+8*85,67
+9*85,68
+8*85,61
+1*85,79
+3*85,82
+1*86,03
27/01
+50*73,50
+50*73,37
+50*73,30
+50*73,25
+50*73,21
+100*73,18
+50*73,13
+50*73,05
+50*72,89
+50*72,71
+100*72,57
+50*72,40
+50*72,35
+50*72,30</t>
      </text>
    </comment>
    <comment authorId="0" ref="U3">
      <text>
        <t xml:space="preserve">======
ID#AAABbXOUjQo
Nasser de Melo    (2025-01-06 01:04:42)
02/01/25
COMPRA TSLA34
+100*72,45
+30*72,83
+50*73,01
+30*73,38
+50*73,50
+100*77,12
+100*77,41
+100*77,78
+90*78,34
+130*78,55
+80*78,82
+100*79,04
+50*79,11
+50*79,17
+1*79,22
14/01
COMPRA TSLA34
+50*75,33
+50*75,17
+50*75,67
+50*74,93
+50*74,99
+50*75,33
16/01
+50*77,71
+50*77,84
21/01
+50*78,67
+50*78,08
+50*77,06
+50*77,52
+100*77,55
+50*77,99
22/01
+50*77,23
+50*77,55
+20*78,54
+20*77,98
+20*78,10
+30*78,78
+50*78,75</t>
      </text>
    </comment>
    <comment authorId="0" ref="AC3">
      <text>
        <t xml:space="preserve">======
ID#AAABbXOUjQc
Nasser de Melo    (2025-01-06 00:56:46)
03/01/2025
COMPRA POMO4
+4500*7,35
+200*7,42
+700*7,43</t>
      </text>
    </comment>
    <comment authorId="0" ref="Q2">
      <text>
        <t xml:space="preserve">======
ID#AAABbXeBXbM
Nasser de Melo    (2025-01-05 03:48:29)
CLEAR ALEXA
30/12/2024
TESOURO
IPCA+ 2029 +7,77%
+6,27*3174,16 = 19901,98
02/01/2025
TESOURO
IPCA+ 2029 +7,81%
+11,35*3170,56= 35985,86</t>
      </text>
    </comment>
    <comment authorId="0" ref="D67">
      <text>
        <t xml:space="preserve">======
ID#AAABWAYFCEg
Nasser de Melo    (2024-09-27 18:57:58)
27/09
COMPRA TD
SELIC 2029 (0,65*R$15309,65)
+9951,27
SELIC 2027 (0,46*R$15381,38)
+7075,43</t>
      </text>
    </comment>
  </commentList>
  <extLst>
    <ext uri="GoogleSheetsCustomDataVersion2">
      <go:sheetsCustomData xmlns:go="http://customooxmlschemas.google.com/" r:id="rId1" roundtripDataSignature="AMtx7mjnCf4zyceTranF/3DzCs57IYteDA=="/>
    </ext>
  </extLst>
</comments>
</file>

<file path=xl/sharedStrings.xml><?xml version="1.0" encoding="utf-8"?>
<sst xmlns="http://schemas.openxmlformats.org/spreadsheetml/2006/main" count="635" uniqueCount="179">
  <si>
    <t>@dropdown</t>
  </si>
  <si>
    <t>Carteira "Nasser" Family Investimentos</t>
  </si>
  <si>
    <r>
      <rPr>
        <rFont val="Georgia"/>
        <b/>
        <color rgb="FF000000"/>
        <sz val="16.0"/>
        <u/>
      </rPr>
      <t xml:space="preserve">        </t>
    </r>
    <r>
      <rPr>
        <rFont val="Georgia"/>
        <b/>
        <color rgb="FF000000"/>
        <sz val="16.0"/>
        <u/>
      </rPr>
      <t>Planilha de Rentabilidade</t>
    </r>
  </si>
  <si>
    <t>Orientações e Sugestões de Utilização</t>
  </si>
  <si>
    <r>
      <rPr>
        <rFont val="Arial"/>
        <b/>
        <color rgb="FF000000"/>
        <sz val="14.0"/>
        <u/>
      </rPr>
      <t>Preencha a planilha com os dados do investimento.</t>
    </r>
    <r>
      <rPr>
        <rFont val="Arial"/>
        <b/>
        <color rgb="FF000000"/>
        <sz val="14.0"/>
        <u/>
      </rPr>
      <t xml:space="preserve"> </t>
    </r>
    <r>
      <rPr>
        <rFont val="Arial"/>
        <b val="0"/>
        <color rgb="FF000000"/>
        <sz val="14.0"/>
        <u/>
      </rPr>
      <t>Coloque suas próprias informações para adaptar a planilha à sua vida;</t>
    </r>
  </si>
  <si>
    <r>
      <rPr>
        <rFont val="Arial"/>
        <b/>
        <color rgb="FF000000"/>
        <sz val="14.0"/>
        <u/>
      </rPr>
      <t>ATENÇÃO:</t>
    </r>
    <r>
      <rPr>
        <rFont val="Arial"/>
        <b/>
        <color rgb="FF000000"/>
        <sz val="14.0"/>
        <u/>
      </rPr>
      <t xml:space="preserve"> </t>
    </r>
    <r>
      <rPr>
        <rFont val="Arial"/>
        <b val="0"/>
        <color rgb="FF000000"/>
        <sz val="14.0"/>
        <u/>
      </rPr>
      <t>não altere as células da cor CINZA</t>
    </r>
    <r>
      <rPr>
        <rFont val="Arial"/>
        <b/>
        <color rgb="FF000000"/>
        <sz val="14.0"/>
        <u/>
      </rPr>
      <t>;</t>
    </r>
  </si>
  <si>
    <t>Busque as informações em suas corretoras e/ou bancos.</t>
  </si>
  <si>
    <t>A planilha serve como BASE para calcular o retorno de suas aplicações financeiras.  Você pode fazer modificações se desejar.</t>
  </si>
  <si>
    <t>IMPORTANTE: leia as instruções de uso da planilha.</t>
  </si>
  <si>
    <t>MES A MES</t>
  </si>
  <si>
    <t>DATA</t>
  </si>
  <si>
    <t>01/21</t>
  </si>
  <si>
    <t>02/21</t>
  </si>
  <si>
    <t>03/21</t>
  </si>
  <si>
    <t>04/21</t>
  </si>
  <si>
    <t>05/21</t>
  </si>
  <si>
    <t>06/21</t>
  </si>
  <si>
    <t>07/21</t>
  </si>
  <si>
    <t>08/21</t>
  </si>
  <si>
    <t>10/21</t>
  </si>
  <si>
    <t>BENCHMARK IBOV</t>
  </si>
  <si>
    <t>CARTEIRA NASSER FAMILY</t>
  </si>
  <si>
    <t>BenchMarket Acumulado</t>
  </si>
  <si>
    <t>C.N.F. mensal</t>
  </si>
  <si>
    <t>IBOV</t>
  </si>
  <si>
    <t>C.N.M.</t>
  </si>
  <si>
    <t>CDI - DI</t>
  </si>
  <si>
    <t>01/24</t>
  </si>
  <si>
    <t>02/24</t>
  </si>
  <si>
    <t>03/24</t>
  </si>
  <si>
    <t>04/24</t>
  </si>
  <si>
    <t>05/24</t>
  </si>
  <si>
    <t>06/24</t>
  </si>
  <si>
    <t>07/24</t>
  </si>
  <si>
    <t>08/24</t>
  </si>
  <si>
    <t>09/24</t>
  </si>
  <si>
    <t>10/24</t>
  </si>
  <si>
    <t>11/24</t>
  </si>
  <si>
    <t>12/24</t>
  </si>
  <si>
    <t>ANALISE % de Alocação da Carteira "Nasser Family"p/ Produto Financeiro (01/2024)</t>
  </si>
  <si>
    <t>ALOCAÇÃO % COMPACTA</t>
  </si>
  <si>
    <t>CAIXA</t>
  </si>
  <si>
    <t>IPCA +</t>
  </si>
  <si>
    <t>TESOURO IPCA+2029</t>
  </si>
  <si>
    <t>DEBENTURE IPCA+7,60%</t>
  </si>
  <si>
    <t>CRI CRA</t>
  </si>
  <si>
    <t>LCA</t>
  </si>
  <si>
    <t>TESOURO SELIC + LFTS11</t>
  </si>
  <si>
    <t>RENDA FIXA</t>
  </si>
  <si>
    <t>MOEDAS</t>
  </si>
  <si>
    <t>GOLD + $$</t>
  </si>
  <si>
    <t>GOLD + $$$</t>
  </si>
  <si>
    <t>FUNDO DI</t>
  </si>
  <si>
    <t>CDB DI</t>
  </si>
  <si>
    <t>RENDA VARIAVEL</t>
  </si>
  <si>
    <t>Renda Variavel</t>
  </si>
  <si>
    <t>Total da Carteira Nasser Family ==&gt;</t>
  </si>
  <si>
    <t>ANALISE % Alocação da Carteira "Nasser Family" RENDA VARIAVEL(01/2024)</t>
  </si>
  <si>
    <t>% Renda Variavel Alocadas por Setor</t>
  </si>
  <si>
    <t xml:space="preserve">Comodites_IRON ORE </t>
  </si>
  <si>
    <t xml:space="preserve">SOJA </t>
  </si>
  <si>
    <t>Electric Vehicle</t>
  </si>
  <si>
    <t>Tec.NVIDIA</t>
  </si>
  <si>
    <t>LITHIUM</t>
  </si>
  <si>
    <t>industria BEBIDAS</t>
  </si>
  <si>
    <t>CELULOSE</t>
  </si>
  <si>
    <t>saude</t>
  </si>
  <si>
    <t>Comodites_GOLD</t>
  </si>
  <si>
    <t>Tec. ASML</t>
  </si>
  <si>
    <t>APPLE</t>
  </si>
  <si>
    <t>INTEL</t>
  </si>
  <si>
    <t>CARROCERIAS ONIBUS</t>
  </si>
  <si>
    <t>ANALISE % de Alocação da Carteira "Nasser Family"p/ Produto Financeiro (02/2024)</t>
  </si>
  <si>
    <t>R.V.</t>
  </si>
  <si>
    <t>ANALISE % Alocação da Carteira "Nasser Family" RENDA VARIAVEL(02/2024)</t>
  </si>
  <si>
    <t>ANALISE % de Alocação da Carteira "Nasser Family"p/ Produto Financeiro (04/2024)</t>
  </si>
  <si>
    <t/>
  </si>
  <si>
    <t>$$</t>
  </si>
  <si>
    <t>ANALISE % Alocação da Carteira "Nasser Family" RENDA VARIAVEL(04/2024)</t>
  </si>
  <si>
    <t xml:space="preserve">IRON ORE </t>
  </si>
  <si>
    <t>Saude</t>
  </si>
  <si>
    <t>ASML</t>
  </si>
  <si>
    <t>ANALISE % de Alocação da Carteira "Nasser Family"p/ Produto Financeiro (03/2024)</t>
  </si>
  <si>
    <t>ANALISE % Alocação da Carteira "Nasser Family" RENDA VARIAVEL(03/2024)</t>
  </si>
  <si>
    <t>ANALISE % de Alocação da Carteira "Nasser Family"p/ Produto Financeiro (05/2023)</t>
  </si>
  <si>
    <t xml:space="preserve">Renda Variavel </t>
  </si>
  <si>
    <t xml:space="preserve"> </t>
  </si>
  <si>
    <t>ANALISE % Alocação da Carteira "Nasser Family" RENDA VARIAVEL(05/2023)</t>
  </si>
  <si>
    <t>CC</t>
  </si>
  <si>
    <t>FN</t>
  </si>
  <si>
    <t>CM</t>
  </si>
  <si>
    <t>SD</t>
  </si>
  <si>
    <t>FINANCEIRO</t>
  </si>
  <si>
    <t>GD</t>
  </si>
  <si>
    <t>EN</t>
  </si>
  <si>
    <t>VR</t>
  </si>
  <si>
    <t>TC</t>
  </si>
  <si>
    <t>SN</t>
  </si>
  <si>
    <t>ANALISE % de Alocação da Carteira "Nasser Family"p/ Produto Financeiro (06/2023)</t>
  </si>
  <si>
    <t>ANALISE % Alocação da Carteira "Nasser Family" RENDA VARIAVEL(06/2023)</t>
  </si>
  <si>
    <t>ANALISE % de Alocação da Carteira "Nasser Family"p/ Produto Financeiro (07/2023)</t>
  </si>
  <si>
    <t>TD IPCA+2029</t>
  </si>
  <si>
    <t>FUNDOS</t>
  </si>
  <si>
    <t>TD SELIC+LFTS11</t>
  </si>
  <si>
    <t>ANALISE % Alocação da Carteira "Nasser Family" RENDA VARIAVEL(07/2023)</t>
  </si>
  <si>
    <t>ANALISE % de Alocação da Carteira "Nasser Family"p/ Produto Financeiro (08/2023)</t>
  </si>
  <si>
    <t>ANALISE % Alocação da Carteira "Nasser Family"RENDA VARIAVEL(08/2023)</t>
  </si>
  <si>
    <t>WEGE</t>
  </si>
  <si>
    <t>ANALISE % de Alocação da Carteira "Nasser Family"p/ Produto Financeiro (09/2023)</t>
  </si>
  <si>
    <t>TESOURO IPCA+2035</t>
  </si>
  <si>
    <t>DEBENTURE</t>
  </si>
  <si>
    <t>RENDA FIXA CDB DI</t>
  </si>
  <si>
    <t>ANALISE % Alocação da Carteira "Nasser Family" RENDA VARIAVEL(09/2023)</t>
  </si>
  <si>
    <t>ANALISE % de Alocação da Carteira "Nasser Family"p/ Produto Financeiro (10/2025)</t>
  </si>
  <si>
    <t>GOLD+$</t>
  </si>
  <si>
    <t xml:space="preserve">R. V. </t>
  </si>
  <si>
    <t>ANALISE % Alocação da Carteira "Nasser Family" RENDA VARIAVEL(10/2023)</t>
  </si>
  <si>
    <t>CONSUMO</t>
  </si>
  <si>
    <t>ENERGIA</t>
  </si>
  <si>
    <t>AURA_GOLD</t>
  </si>
  <si>
    <t>ANALISE % de Alocação da Carteira "Nasser Family"p/ Produto Financeiro (11/2025)</t>
  </si>
  <si>
    <t>ANALISE % Alocação da Carteira "Nasser Family" RENDA VARIAVEL(11/2025)</t>
  </si>
  <si>
    <t xml:space="preserve">AMD </t>
  </si>
  <si>
    <t>Mês</t>
  </si>
  <si>
    <t>Descrição</t>
  </si>
  <si>
    <t>Tesouro Alexa</t>
  </si>
  <si>
    <t>Tesouro Nasser</t>
  </si>
  <si>
    <t>SALDOS</t>
  </si>
  <si>
    <t>LFTS11 BTG ALEXA</t>
  </si>
  <si>
    <t>FUNDO BTG DIGITAL SELIC FIRF</t>
  </si>
  <si>
    <t>CDB NU NASSER</t>
  </si>
  <si>
    <t>BB FUNDO-RF LP HIGH</t>
  </si>
  <si>
    <t>FUNDO BTG CDB PLUS FIRF CRPR</t>
  </si>
  <si>
    <t xml:space="preserve">CDB - SANTANDER </t>
  </si>
  <si>
    <t>MOEDAS - WISE</t>
  </si>
  <si>
    <t>GOLD + CASH</t>
  </si>
  <si>
    <t>ITLC34 BTG</t>
  </si>
  <si>
    <t>CRI OPEA IPCA+6,63%2040 BTG</t>
  </si>
  <si>
    <t>DEBENTURE IGUA RIO IRJS15 IPCA+7,60%</t>
  </si>
  <si>
    <t>TESOURO ALEXA IPCA+ 2029</t>
  </si>
  <si>
    <t>AURA33 NASSER BTG</t>
  </si>
  <si>
    <t>LFT-S11 BTG NASSER</t>
  </si>
  <si>
    <t>AAPL34 BTG NASSER</t>
  </si>
  <si>
    <t>TSLA34 - BTG NASSER</t>
  </si>
  <si>
    <t>MELI34 BTG NASSER</t>
  </si>
  <si>
    <t>CMIN3 NASSER BTG</t>
  </si>
  <si>
    <t>A1MD34 AMD BTG ALEXA</t>
  </si>
  <si>
    <t>ASML34 BTG NASSER</t>
  </si>
  <si>
    <t>VALE3 NASSER  BTG</t>
  </si>
  <si>
    <t>HAPV3 HAPVIDA BTG ALEXA</t>
  </si>
  <si>
    <t>WEGE3 - BTG  NASSER</t>
  </si>
  <si>
    <t>AMD A1MD34 BTG NASSER</t>
  </si>
  <si>
    <t>MELI34 BTG ALEXA</t>
  </si>
  <si>
    <t>SIGMA BTG ALEXA</t>
  </si>
  <si>
    <t>TESLA  ALEXA  BTG</t>
  </si>
  <si>
    <t>AAPL34 ALEXA BTG</t>
  </si>
  <si>
    <t>ITLC34  ALEXA BTG</t>
  </si>
  <si>
    <t>Patrimônio</t>
  </si>
  <si>
    <t>@</t>
  </si>
  <si>
    <t>Valor em 31/12/2024</t>
  </si>
  <si>
    <t>Investimento (+)</t>
  </si>
  <si>
    <t>Resgate (-)</t>
  </si>
  <si>
    <t>Rebecimento de proventos (-)</t>
  </si>
  <si>
    <t>Valor final no mês</t>
  </si>
  <si>
    <t>"Nasser Family BTG" Investimentos 2025</t>
  </si>
  <si>
    <t>Rentabilidade (ao mês)</t>
  </si>
  <si>
    <t>Não mexer</t>
  </si>
  <si>
    <t>Ativo/PL</t>
  </si>
  <si>
    <t>Valor-base</t>
  </si>
  <si>
    <t>QUADRO-RESUMO</t>
  </si>
  <si>
    <t>Valor da carteira</t>
  </si>
  <si>
    <t>Rendimento (no ano)</t>
  </si>
  <si>
    <t>Carteira "Nasser Family" BTG Investimentos</t>
  </si>
  <si>
    <t>Evolução do retorno da carteira (mês a mês)</t>
  </si>
  <si>
    <t>Retorno acumulado da carteira</t>
  </si>
  <si>
    <t>Ativo/PL do último mês preenchido</t>
  </si>
  <si>
    <t>ANALISE % de Alocação da Carteira "Nasser Family"p/ Produto Financeiro (12/2025)</t>
  </si>
  <si>
    <t>GOLD+$$</t>
  </si>
  <si>
    <t>ANALISE % Alocação da Carteira "Nasser Family" RENDA VARIAVEL(12/2025)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</si>
</sst>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6">
    <numFmt numFmtId="164" formatCode="mm/yyyy"/>
    <numFmt numFmtId="165" formatCode="dd/MM/yyyy"/>
    <numFmt numFmtId="166" formatCode="_(&quot;R$&quot;* #,##0.00_);_(&quot;R$&quot;* \(#,##0.00\);_(&quot;R$&quot;* &quot;-&quot;??_);_(@_)"/>
    <numFmt numFmtId="167" formatCode="[$R$ -416]#,##0.00"/>
    <numFmt numFmtId="168" formatCode="#,##0.00;(#,##0.00)"/>
    <numFmt numFmtId="169" formatCode="dd/mm/yyyy"/>
  </numFmts>
  <fonts count="48">
    <font>
      <sz val="12.0"/>
      <color rgb="FF000000"/>
      <name val="Calibri"/>
      <scheme val="minor"/>
    </font>
    <font>
      <sz val="8.0"/>
      <color rgb="FF000000"/>
      <name val="Arial"/>
    </font>
    <font>
      <b/>
      <u/>
      <sz val="16.0"/>
      <color rgb="FF595959"/>
      <name val="Arial"/>
    </font>
    <font>
      <b/>
      <i/>
      <sz val="20.0"/>
      <color rgb="FF000000"/>
      <name val="Arial"/>
    </font>
    <font>
      <b/>
      <u/>
      <sz val="16.0"/>
      <color rgb="FF000000"/>
      <name val="Arial"/>
    </font>
    <font>
      <b/>
      <u/>
      <sz val="16.0"/>
      <color rgb="FF000000"/>
      <name val="Georgia"/>
    </font>
    <font/>
    <font>
      <sz val="12.0"/>
      <color rgb="FF000000"/>
      <name val="Calibri"/>
    </font>
    <font>
      <b/>
      <sz val="14.0"/>
      <color rgb="FFFFFFFF"/>
      <name val="Arial"/>
    </font>
    <font>
      <b/>
      <u/>
      <sz val="14.0"/>
      <color rgb="FF000000"/>
      <name val="Arial"/>
    </font>
    <font>
      <sz val="14.0"/>
      <color rgb="FF000000"/>
      <name val="Arial"/>
    </font>
    <font>
      <b/>
      <u/>
      <sz val="18.0"/>
      <color rgb="FF000000"/>
      <name val="Arial"/>
    </font>
    <font>
      <u/>
      <sz val="14.0"/>
      <color rgb="FF000000"/>
      <name val="Arial"/>
    </font>
    <font>
      <b/>
      <u/>
      <sz val="18.0"/>
      <color rgb="FFC00000"/>
      <name val="Arial"/>
    </font>
    <font>
      <b/>
      <sz val="14.0"/>
      <color rgb="FF000000"/>
      <name val="Arial"/>
    </font>
    <font>
      <color theme="1"/>
      <name val="Calibri"/>
    </font>
    <font>
      <b/>
      <sz val="11.0"/>
      <color rgb="FF222222"/>
      <name val="Arial"/>
    </font>
    <font>
      <sz val="12.0"/>
      <color theme="1"/>
      <name val="Calibri"/>
    </font>
    <font>
      <sz val="4.0"/>
      <color rgb="FF000000"/>
      <name val="Calibri"/>
    </font>
    <font>
      <sz val="4.0"/>
      <color theme="1"/>
      <name val="Calibri"/>
    </font>
    <font>
      <b/>
      <color theme="1"/>
      <name val="Calibri"/>
    </font>
    <font>
      <sz val="10.0"/>
      <color rgb="FF000000"/>
      <name val="Arial"/>
    </font>
    <font>
      <b/>
      <sz val="11.0"/>
      <color rgb="FF1F1F1F"/>
      <name val="Calibri"/>
    </font>
    <font>
      <sz val="6.0"/>
      <color rgb="FF000000"/>
      <name val="Calibri"/>
    </font>
    <font>
      <sz val="7.0"/>
      <color theme="1"/>
      <name val="Calibri"/>
    </font>
    <font>
      <color theme="1"/>
      <name val="Calibri"/>
      <scheme val="minor"/>
    </font>
    <font>
      <sz val="6.0"/>
      <color theme="1"/>
      <name val="Calibri"/>
    </font>
    <font>
      <sz val="7.0"/>
      <color rgb="FF000000"/>
      <name val="Calibri"/>
    </font>
    <font>
      <b/>
      <sz val="10.0"/>
      <color rgb="FF222222"/>
      <name val="Arial"/>
    </font>
    <font>
      <sz val="5.0"/>
      <color rgb="FF000000"/>
      <name val="Calibri"/>
    </font>
    <font>
      <sz val="5.0"/>
      <color theme="1"/>
      <name val="Calibri"/>
    </font>
    <font>
      <b/>
      <sz val="12.0"/>
      <color rgb="FFFFFFFF"/>
      <name val="Calibri"/>
    </font>
    <font>
      <b/>
      <u/>
      <sz val="12.0"/>
      <color rgb="FFFFFFFF"/>
      <name val="Calibri"/>
    </font>
    <font>
      <b/>
      <sz val="11.0"/>
      <color rgb="FFFFFFFF"/>
      <name val="Calibri"/>
    </font>
    <font>
      <b/>
      <u/>
      <sz val="12.0"/>
      <color rgb="FFFFFFFF"/>
      <name val="Calibri"/>
    </font>
    <font>
      <b/>
      <sz val="6.0"/>
      <color rgb="FFFFFFFF"/>
      <name val="Calibri"/>
    </font>
    <font>
      <b/>
      <sz val="6.0"/>
      <color rgb="FF000000"/>
      <name val="Calibri"/>
    </font>
    <font>
      <sz val="12.0"/>
      <color rgb="FF548135"/>
      <name val="Calibri"/>
    </font>
    <font>
      <b/>
      <sz val="12.0"/>
      <color rgb="FF000000"/>
      <name val="Calibri"/>
    </font>
    <font>
      <sz val="12.0"/>
      <color rgb="FFC55A11"/>
      <name val="Calibri"/>
    </font>
    <font>
      <sz val="12.0"/>
      <color rgb="FF2E75B5"/>
      <name val="Calibri"/>
    </font>
    <font>
      <b/>
      <i/>
      <sz val="12.0"/>
      <color rgb="FF000000"/>
      <name val="Arial"/>
    </font>
    <font>
      <b/>
      <i/>
      <sz val="18.0"/>
      <color rgb="FF000000"/>
      <name val="Arial"/>
    </font>
    <font>
      <b/>
      <sz val="4.0"/>
      <color rgb="FF000000"/>
      <name val="Calibri"/>
    </font>
    <font>
      <sz val="11.0"/>
      <color rgb="FF000000"/>
      <name val="Calibri"/>
    </font>
    <font>
      <b/>
      <i/>
      <sz val="10.0"/>
      <color rgb="FF000000"/>
      <name val="Calibri"/>
    </font>
    <font>
      <b/>
      <i/>
      <sz val="9.0"/>
      <color rgb="FF000000"/>
      <name val="Calibri"/>
    </font>
    <font>
      <sz val="10.0"/>
      <color rgb="FF000000"/>
      <name val="Inconsolata"/>
    </font>
  </fonts>
  <fills count="6">
    <fill>
      <patternFill patternType="none"/>
    </fill>
    <fill>
      <patternFill patternType="lightGray"/>
    </fill>
    <fill>
      <patternFill patternType="solid">
        <fgColor rgb="FFFFFFFF"/>
        <bgColor rgb="FFFFFFFF"/>
      </patternFill>
    </fill>
    <fill>
      <patternFill patternType="solid">
        <fgColor rgb="FFC00000"/>
        <bgColor rgb="FFC00000"/>
      </patternFill>
    </fill>
    <fill>
      <patternFill patternType="solid">
        <fgColor rgb="FFE7E6E6"/>
        <bgColor rgb="FFE7E6E6"/>
      </patternFill>
    </fill>
    <fill>
      <patternFill patternType="solid">
        <fgColor theme="0"/>
        <bgColor theme="0"/>
      </patternFill>
    </fill>
  </fills>
  <borders count="82">
    <border/>
    <border>
      <left/>
      <right/>
      <top/>
      <bottom/>
    </border>
    <border>
      <left/>
      <top/>
      <bottom/>
    </border>
    <border>
      <top/>
      <bottom/>
    </border>
    <border>
      <left style="thick">
        <color rgb="FF000000"/>
      </left>
      <top style="thick">
        <color rgb="FF000000"/>
      </top>
    </border>
    <border>
      <top style="thick">
        <color rgb="FF000000"/>
      </top>
    </border>
    <border>
      <right style="thick">
        <color rgb="FF000000"/>
      </right>
      <top style="thick">
        <color rgb="FF000000"/>
      </top>
    </border>
    <border>
      <left style="thick">
        <color rgb="FF000000"/>
      </left>
      <bottom style="thick">
        <color rgb="FF000000"/>
      </bottom>
    </border>
    <border>
      <bottom style="thick">
        <color rgb="FF000000"/>
      </bottom>
    </border>
    <border>
      <right style="thick">
        <color rgb="FF000000"/>
      </right>
      <bottom style="thick">
        <color rgb="FF000000"/>
      </bottom>
    </border>
    <border>
      <left style="thin">
        <color rgb="FF000000"/>
      </left>
      <right style="medium">
        <color rgb="FF000000"/>
      </right>
    </border>
    <border>
      <left style="medium">
        <color rgb="FF000000"/>
      </left>
      <right style="medium">
        <color rgb="FF000000"/>
      </right>
    </border>
    <border>
      <left style="medium">
        <color rgb="FF000000"/>
      </left>
      <right style="thin">
        <color rgb="FF000000"/>
      </right>
    </border>
    <border>
      <left style="thin">
        <color rgb="FF000000"/>
      </left>
      <right style="medium">
        <color rgb="FF000000"/>
      </right>
      <bottom style="thin">
        <color rgb="FF000000"/>
      </bottom>
    </border>
    <border>
      <left style="medium">
        <color rgb="FF000000"/>
      </left>
      <right style="thin">
        <color rgb="FF000000"/>
      </right>
      <bottom style="thin">
        <color rgb="FF000000"/>
      </bottom>
    </border>
    <border>
      <left style="medium">
        <color rgb="FF000000"/>
      </left>
      <top style="medium">
        <color rgb="FF000000"/>
      </top>
    </border>
    <border>
      <top style="medium">
        <color rgb="FF000000"/>
      </top>
    </border>
    <border>
      <right style="medium">
        <color rgb="FF000000"/>
      </right>
      <top style="medium">
        <color rgb="FF000000"/>
      </top>
    </border>
    <border>
      <left style="thin">
        <color rgb="FF000000"/>
      </left>
      <right style="thin">
        <color rgb="FF000000"/>
      </right>
      <top style="thin">
        <color rgb="FF000000"/>
      </top>
    </border>
    <border>
      <left style="medium">
        <color rgb="FF000000"/>
      </left>
    </border>
    <border>
      <right style="medium">
        <color rgb="FF000000"/>
      </right>
    </border>
    <border>
      <left style="thin">
        <color rgb="FF000000"/>
      </left>
      <right style="thin">
        <color rgb="FF000000"/>
      </right>
    </border>
    <border>
      <left style="medium">
        <color rgb="FF000000"/>
      </left>
      <bottom style="medium">
        <color rgb="FF000000"/>
      </bottom>
    </border>
    <border>
      <bottom style="medium">
        <color rgb="FF000000"/>
      </bottom>
    </border>
    <border>
      <right style="medium">
        <color rgb="FF000000"/>
      </right>
      <bottom style="medium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ck">
        <color rgb="FF000000"/>
      </left>
    </border>
    <border>
      <right style="thick">
        <color rgb="FF000000"/>
      </right>
    </border>
    <border>
      <left style="thin">
        <color rgb="FF000000"/>
      </left>
      <bottom style="thin">
        <color rgb="FF000000"/>
      </bottom>
    </border>
    <border>
      <right style="thin">
        <color rgb="FF000000"/>
      </right>
      <bottom style="thin">
        <color rgb="FF000000"/>
      </bottom>
    </border>
    <border>
      <left style="medium">
        <color rgb="FF000000"/>
      </left>
      <right/>
      <top style="medium">
        <color rgb="FF000000"/>
      </top>
      <bottom/>
    </border>
    <border>
      <left style="medium">
        <color rgb="FF000000"/>
      </left>
      <right style="thin">
        <color rgb="FF000000"/>
      </right>
      <top style="medium">
        <color rgb="FF000000"/>
      </top>
      <bottom/>
    </border>
    <border>
      <left/>
      <right style="thin">
        <color rgb="FF000000"/>
      </right>
      <top style="medium">
        <color rgb="FF000000"/>
      </top>
      <bottom/>
    </border>
    <border>
      <left/>
      <right style="medium">
        <color rgb="FF000000"/>
      </right>
      <top style="medium">
        <color rgb="FF000000"/>
      </top>
      <bottom/>
    </border>
    <border>
      <left style="medium">
        <color rgb="FF000000"/>
      </left>
      <right style="thin">
        <color rgb="FF000000"/>
      </right>
      <top style="medium">
        <color rgb="FF000000"/>
      </top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medium">
        <color rgb="FF000000"/>
      </top>
      <bottom style="thin">
        <color rgb="FF000000"/>
      </bottom>
    </border>
    <border>
      <left style="thin">
        <color rgb="FF000000"/>
      </left>
      <right/>
      <top style="thin">
        <color rgb="FF000000"/>
      </top>
      <bottom/>
    </border>
    <border>
      <left/>
      <right style="thin">
        <color rgb="FF000000"/>
      </right>
      <top style="thin">
        <color rgb="FF000000"/>
      </top>
      <bottom/>
    </border>
    <border>
      <right/>
      <top/>
      <bottom/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left style="thin">
        <color rgb="FF000000"/>
      </left>
      <right/>
      <top/>
      <bottom/>
    </border>
    <border>
      <left/>
      <right style="thin">
        <color rgb="FF000000"/>
      </right>
      <top/>
      <bottom/>
    </border>
    <border>
      <left style="thin">
        <color rgb="FF000000"/>
      </left>
    </border>
    <border>
      <right style="thin">
        <color rgb="FF000000"/>
      </right>
    </border>
    <border>
      <left style="thin">
        <color rgb="FF000000"/>
      </left>
      <right style="thin">
        <color rgb="FF000000"/>
      </right>
      <top style="thin">
        <color rgb="FF000000"/>
      </top>
      <bottom/>
    </border>
    <border>
      <left style="medium">
        <color rgb="FF000000"/>
      </left>
      <right style="thin">
        <color rgb="FF000000"/>
      </right>
      <bottom style="medium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</border>
    <border>
      <left style="thin">
        <color rgb="FF000000"/>
      </left>
      <top style="thin">
        <color rgb="FF000000"/>
      </top>
      <bottom style="medium">
        <color rgb="FF000000"/>
      </bottom>
    </border>
    <border>
      <left style="medium">
        <color rgb="FF000000"/>
      </left>
      <right style="thin">
        <color rgb="FF000000"/>
      </right>
      <top/>
    </border>
    <border>
      <left style="thin">
        <color rgb="FF000000"/>
      </left>
      <right style="thin">
        <color rgb="FF000000"/>
      </right>
      <top/>
      <bottom style="thin">
        <color rgb="FF000000"/>
      </bottom>
    </border>
    <border>
      <left style="thin">
        <color rgb="FF000000"/>
      </left>
      <right style="medium">
        <color rgb="FF000000"/>
      </right>
      <top/>
      <bottom style="thin">
        <color rgb="FF000000"/>
      </bottom>
    </border>
    <border>
      <left/>
      <right/>
      <bottom/>
    </border>
    <border>
      <left/>
      <right style="thin">
        <color rgb="FF000000"/>
      </right>
      <bottom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</border>
    <border>
      <left style="thin">
        <color rgb="FF000000"/>
      </left>
      <top/>
      <bottom style="thin">
        <color rgb="FF000000"/>
      </bottom>
    </border>
    <border>
      <bottom/>
    </border>
    <border>
      <left/>
      <top/>
    </border>
    <border>
      <top/>
    </border>
    <border>
      <left style="medium">
        <color rgb="FF000000"/>
      </left>
      <right style="thin">
        <color rgb="FF000000"/>
      </right>
      <top style="thin">
        <color rgb="FF000000"/>
      </top>
    </border>
    <border>
      <left/>
    </border>
    <border>
      <left/>
      <right/>
      <top/>
    </border>
    <border>
      <left/>
      <right/>
    </border>
    <border>
      <left style="medium">
        <color rgb="FF000000"/>
      </left>
      <bottom style="thin">
        <color rgb="FF000000"/>
      </bottom>
    </border>
    <border>
      <bottom style="thin">
        <color rgb="FF000000"/>
      </bottom>
    </border>
    <border>
      <right style="medium">
        <color rgb="FF000000"/>
      </right>
      <bottom style="thin">
        <color rgb="FF000000"/>
      </bottom>
    </border>
    <border>
      <left style="medium">
        <color rgb="FF000000"/>
      </left>
      <top style="thin">
        <color rgb="FF000000"/>
      </top>
    </border>
    <border>
      <right style="thin">
        <color rgb="FF000000"/>
      </right>
      <top style="thin">
        <color rgb="FF000000"/>
      </top>
    </border>
    <border>
      <left style="thin">
        <color rgb="FF000000"/>
      </left>
      <top style="thin">
        <color rgb="FF000000"/>
      </top>
    </border>
    <border>
      <right style="medium">
        <color rgb="FF000000"/>
      </right>
      <top style="thin">
        <color rgb="FF000000"/>
      </top>
    </border>
    <border>
      <right style="thin">
        <color rgb="FF000000"/>
      </right>
      <bottom style="medium">
        <color rgb="FF000000"/>
      </bottom>
    </border>
    <border>
      <left style="thin">
        <color rgb="FF000000"/>
      </left>
      <bottom style="medium">
        <color rgb="FF000000"/>
      </bottom>
    </border>
    <border>
      <right/>
      <top/>
    </border>
    <border>
      <right/>
    </border>
    <border>
      <left/>
      <right style="thin">
        <color rgb="FF000000"/>
      </right>
      <top/>
      <bottom style="thin">
        <color rgb="FF000000"/>
      </bottom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medium">
        <color rgb="FF000000"/>
      </bottom>
    </border>
    <border>
      <left style="thin">
        <color rgb="FF000000"/>
      </left>
      <right style="thin">
        <color rgb="FF000000"/>
      </right>
      <top/>
      <bottom/>
    </border>
    <border>
      <left style="thin">
        <color rgb="FF000000"/>
      </left>
      <right style="medium">
        <color rgb="FF000000"/>
      </right>
      <top/>
      <bottom/>
    </border>
    <border>
      <right/>
      <bottom/>
    </border>
  </borders>
  <cellStyleXfs count="1">
    <xf borderId="0" fillId="0" fontId="0" numFmtId="0" applyAlignment="1" applyFont="1"/>
  </cellStyleXfs>
  <cellXfs count="304">
    <xf borderId="0" fillId="0" fontId="0" numFmtId="0" xfId="0" applyAlignment="1" applyFont="1">
      <alignment readingOrder="0" shrinkToFit="0" vertical="bottom" wrapText="0"/>
    </xf>
    <xf borderId="1" fillId="2" fontId="1" numFmtId="0" xfId="0" applyBorder="1" applyFill="1" applyFont="1"/>
    <xf borderId="1" fillId="2" fontId="2" numFmtId="0" xfId="0" applyBorder="1" applyFont="1"/>
    <xf borderId="1" fillId="2" fontId="3" numFmtId="0" xfId="0" applyAlignment="1" applyBorder="1" applyFont="1">
      <alignment horizontal="center" vertical="center"/>
    </xf>
    <xf borderId="1" fillId="2" fontId="4" numFmtId="0" xfId="0" applyBorder="1" applyFont="1"/>
    <xf borderId="2" fillId="2" fontId="5" numFmtId="0" xfId="0" applyAlignment="1" applyBorder="1" applyFont="1">
      <alignment horizontal="left" vertical="center"/>
    </xf>
    <xf borderId="3" fillId="0" fontId="6" numFmtId="0" xfId="0" applyBorder="1" applyFont="1"/>
    <xf borderId="1" fillId="2" fontId="7" numFmtId="0" xfId="0" applyBorder="1" applyFont="1"/>
    <xf borderId="2" fillId="3" fontId="8" numFmtId="0" xfId="0" applyAlignment="1" applyBorder="1" applyFill="1" applyFont="1">
      <alignment horizontal="center"/>
    </xf>
    <xf borderId="1" fillId="3" fontId="7" numFmtId="0" xfId="0" applyBorder="1" applyFont="1"/>
    <xf borderId="1" fillId="2" fontId="9" numFmtId="0" xfId="0" applyBorder="1" applyFont="1"/>
    <xf borderId="1" fillId="2" fontId="10" numFmtId="0" xfId="0" applyBorder="1" applyFont="1"/>
    <xf borderId="1" fillId="2" fontId="11" numFmtId="0" xfId="0" applyBorder="1" applyFont="1"/>
    <xf borderId="1" fillId="2" fontId="12" numFmtId="0" xfId="0" applyBorder="1" applyFont="1"/>
    <xf borderId="0" fillId="0" fontId="10" numFmtId="0" xfId="0" applyFont="1"/>
    <xf borderId="0" fillId="0" fontId="7" numFmtId="0" xfId="0" applyFont="1"/>
    <xf borderId="1" fillId="2" fontId="13" numFmtId="0" xfId="0" applyBorder="1" applyFont="1"/>
    <xf borderId="1" fillId="2" fontId="14" numFmtId="0" xfId="0" applyBorder="1" applyFont="1"/>
    <xf borderId="0" fillId="0" fontId="15" numFmtId="164" xfId="0" applyFont="1" applyNumberFormat="1"/>
    <xf borderId="0" fillId="0" fontId="15" numFmtId="4" xfId="0" applyFont="1" applyNumberFormat="1"/>
    <xf borderId="0" fillId="0" fontId="15" numFmtId="0" xfId="0" applyFont="1"/>
    <xf borderId="0" fillId="0" fontId="15" numFmtId="10" xfId="0" applyFont="1" applyNumberFormat="1"/>
    <xf borderId="4" fillId="0" fontId="15" numFmtId="0" xfId="0" applyBorder="1" applyFont="1"/>
    <xf borderId="5" fillId="0" fontId="15" numFmtId="0" xfId="0" applyBorder="1" applyFont="1"/>
    <xf borderId="6" fillId="0" fontId="15" numFmtId="4" xfId="0" applyBorder="1" applyFont="1" applyNumberFormat="1"/>
    <xf borderId="7" fillId="0" fontId="15" numFmtId="0" xfId="0" applyBorder="1" applyFont="1"/>
    <xf borderId="8" fillId="0" fontId="15" numFmtId="0" xfId="0" applyBorder="1" applyFont="1"/>
    <xf borderId="9" fillId="0" fontId="15" numFmtId="4" xfId="0" applyBorder="1" applyFont="1" applyNumberFormat="1"/>
    <xf borderId="10" fillId="0" fontId="15" numFmtId="165" xfId="0" applyBorder="1" applyFont="1" applyNumberFormat="1"/>
    <xf borderId="11" fillId="0" fontId="15" numFmtId="10" xfId="0" applyAlignment="1" applyBorder="1" applyFont="1" applyNumberFormat="1">
      <alignment readingOrder="0"/>
    </xf>
    <xf borderId="12" fillId="0" fontId="15" numFmtId="4" xfId="0" applyBorder="1" applyFont="1" applyNumberFormat="1"/>
    <xf borderId="0" fillId="0" fontId="15" numFmtId="10" xfId="0" applyAlignment="1" applyFont="1" applyNumberFormat="1">
      <alignment readingOrder="0"/>
    </xf>
    <xf borderId="13" fillId="0" fontId="15" numFmtId="165" xfId="0" applyBorder="1" applyFont="1" applyNumberFormat="1"/>
    <xf borderId="14" fillId="0" fontId="15" numFmtId="4" xfId="0" applyBorder="1" applyFont="1" applyNumberFormat="1"/>
    <xf borderId="15" fillId="2" fontId="16" numFmtId="0" xfId="0" applyBorder="1" applyFont="1"/>
    <xf borderId="16" fillId="0" fontId="15" numFmtId="0" xfId="0" applyBorder="1" applyFont="1"/>
    <xf borderId="17" fillId="0" fontId="15" numFmtId="0" xfId="0" applyBorder="1" applyFont="1"/>
    <xf borderId="18" fillId="0" fontId="15" numFmtId="0" xfId="0" applyBorder="1" applyFont="1"/>
    <xf borderId="19" fillId="0" fontId="7" numFmtId="0" xfId="0" applyBorder="1" applyFont="1"/>
    <xf borderId="20" fillId="0" fontId="7" numFmtId="10" xfId="0" applyBorder="1" applyFont="1" applyNumberFormat="1"/>
    <xf borderId="21" fillId="0" fontId="15" numFmtId="0" xfId="0" applyBorder="1" applyFont="1"/>
    <xf borderId="19" fillId="0" fontId="17" numFmtId="0" xfId="0" applyAlignment="1" applyBorder="1" applyFont="1">
      <alignment vertical="bottom"/>
    </xf>
    <xf borderId="0" fillId="0" fontId="7" numFmtId="166" xfId="0" applyFont="1" applyNumberFormat="1"/>
    <xf borderId="21" fillId="0" fontId="15" numFmtId="166" xfId="0" applyBorder="1" applyFont="1" applyNumberFormat="1"/>
    <xf borderId="21" fillId="0" fontId="15" numFmtId="10" xfId="0" applyBorder="1" applyFont="1" applyNumberFormat="1"/>
    <xf borderId="19" fillId="0" fontId="17" numFmtId="0" xfId="0" applyAlignment="1" applyBorder="1" applyFont="1">
      <alignment readingOrder="0" vertical="bottom"/>
    </xf>
    <xf borderId="0" fillId="0" fontId="15" numFmtId="166" xfId="0" applyFont="1" applyNumberFormat="1"/>
    <xf borderId="21" fillId="0" fontId="15" numFmtId="0" xfId="0" applyAlignment="1" applyBorder="1" applyFont="1">
      <alignment readingOrder="0"/>
    </xf>
    <xf borderId="22" fillId="0" fontId="7" numFmtId="0" xfId="0" applyBorder="1" applyFont="1"/>
    <xf borderId="23" fillId="2" fontId="7" numFmtId="0" xfId="0" applyBorder="1" applyFont="1"/>
    <xf borderId="24" fillId="2" fontId="18" numFmtId="166" xfId="0" applyBorder="1" applyFont="1" applyNumberFormat="1"/>
    <xf borderId="25" fillId="0" fontId="15" numFmtId="0" xfId="0" applyBorder="1" applyFont="1"/>
    <xf borderId="25" fillId="0" fontId="19" numFmtId="166" xfId="0" applyBorder="1" applyFont="1" applyNumberFormat="1"/>
    <xf borderId="25" fillId="0" fontId="20" numFmtId="10" xfId="0" applyBorder="1" applyFont="1" applyNumberFormat="1"/>
    <xf borderId="0" fillId="0" fontId="7" numFmtId="10" xfId="0" applyFont="1" applyNumberFormat="1"/>
    <xf borderId="16" fillId="0" fontId="7" numFmtId="10" xfId="0" applyBorder="1" applyFont="1" applyNumberFormat="1"/>
    <xf borderId="16" fillId="0" fontId="7" numFmtId="0" xfId="0" applyBorder="1" applyFont="1"/>
    <xf borderId="17" fillId="0" fontId="7" numFmtId="0" xfId="0" applyBorder="1" applyFont="1"/>
    <xf borderId="19" fillId="0" fontId="15" numFmtId="0" xfId="0" applyBorder="1" applyFont="1"/>
    <xf borderId="0" fillId="2" fontId="21" numFmtId="0" xfId="0" applyFont="1"/>
    <xf borderId="20" fillId="0" fontId="7" numFmtId="0" xfId="0" applyBorder="1" applyFont="1"/>
    <xf borderId="19" fillId="0" fontId="15" numFmtId="167" xfId="0" applyBorder="1" applyFont="1" applyNumberFormat="1"/>
    <xf borderId="0" fillId="2" fontId="22" numFmtId="0" xfId="0" applyAlignment="1" applyFont="1">
      <alignment vertical="bottom"/>
    </xf>
    <xf borderId="19" fillId="0" fontId="7" numFmtId="166" xfId="0" applyBorder="1" applyFont="1" applyNumberFormat="1"/>
    <xf borderId="0" fillId="0" fontId="17" numFmtId="0" xfId="0" applyAlignment="1" applyFont="1">
      <alignment vertical="bottom"/>
    </xf>
    <xf borderId="20" fillId="0" fontId="7" numFmtId="168" xfId="0" applyBorder="1" applyFont="1" applyNumberFormat="1"/>
    <xf borderId="0" fillId="0" fontId="17" numFmtId="0" xfId="0" applyAlignment="1" applyFont="1">
      <alignment readingOrder="0" vertical="bottom"/>
    </xf>
    <xf borderId="22" fillId="0" fontId="7" numFmtId="166" xfId="0" applyBorder="1" applyFont="1" applyNumberFormat="1"/>
    <xf borderId="23" fillId="0" fontId="7" numFmtId="10" xfId="0" applyBorder="1" applyFont="1" applyNumberFormat="1"/>
    <xf borderId="23" fillId="0" fontId="7" numFmtId="0" xfId="0" applyBorder="1" applyFont="1"/>
    <xf borderId="24" fillId="0" fontId="7" numFmtId="0" xfId="0" applyBorder="1" applyFont="1"/>
    <xf borderId="0" fillId="0" fontId="7" numFmtId="166" xfId="0" applyAlignment="1" applyFont="1" applyNumberFormat="1">
      <alignment readingOrder="0"/>
    </xf>
    <xf borderId="24" fillId="2" fontId="7" numFmtId="166" xfId="0" applyBorder="1" applyFont="1" applyNumberFormat="1"/>
    <xf borderId="25" fillId="0" fontId="15" numFmtId="166" xfId="0" applyBorder="1" applyFont="1" applyNumberFormat="1"/>
    <xf borderId="19" fillId="0" fontId="15" numFmtId="166" xfId="0" applyBorder="1" applyFont="1" applyNumberFormat="1"/>
    <xf borderId="19" fillId="0" fontId="7" numFmtId="166" xfId="0" applyAlignment="1" applyBorder="1" applyFont="1" applyNumberFormat="1">
      <alignment readingOrder="0"/>
    </xf>
    <xf quotePrefix="1" borderId="0" fillId="0" fontId="7" numFmtId="0" xfId="0" applyFont="1"/>
    <xf borderId="24" fillId="2" fontId="23" numFmtId="166" xfId="0" applyBorder="1" applyFont="1" applyNumberFormat="1"/>
    <xf borderId="25" fillId="0" fontId="24" numFmtId="166" xfId="0" applyBorder="1" applyFont="1" applyNumberFormat="1"/>
    <xf borderId="0" fillId="2" fontId="22" numFmtId="0" xfId="0" applyAlignment="1" applyFont="1">
      <alignment readingOrder="0" vertical="bottom"/>
    </xf>
    <xf borderId="0" fillId="0" fontId="7" numFmtId="10" xfId="0" applyAlignment="1" applyFont="1" applyNumberFormat="1">
      <alignment readingOrder="0"/>
    </xf>
    <xf borderId="4" fillId="2" fontId="16" numFmtId="0" xfId="0" applyBorder="1" applyFont="1"/>
    <xf borderId="6" fillId="0" fontId="15" numFmtId="0" xfId="0" applyBorder="1" applyFont="1"/>
    <xf borderId="26" fillId="0" fontId="7" numFmtId="0" xfId="0" applyBorder="1" applyFont="1"/>
    <xf borderId="27" fillId="0" fontId="7" numFmtId="10" xfId="0" applyAlignment="1" applyBorder="1" applyFont="1" applyNumberFormat="1">
      <alignment readingOrder="0"/>
    </xf>
    <xf borderId="26" fillId="0" fontId="17" numFmtId="0" xfId="0" applyAlignment="1" applyBorder="1" applyFont="1">
      <alignment vertical="bottom"/>
    </xf>
    <xf borderId="27" fillId="0" fontId="7" numFmtId="10" xfId="0" applyBorder="1" applyFont="1" applyNumberFormat="1"/>
    <xf borderId="21" fillId="0" fontId="15" numFmtId="166" xfId="0" applyAlignment="1" applyBorder="1" applyFont="1" applyNumberFormat="1">
      <alignment readingOrder="0"/>
    </xf>
    <xf borderId="0" fillId="0" fontId="15" numFmtId="166" xfId="0" applyAlignment="1" applyFont="1" applyNumberFormat="1">
      <alignment readingOrder="0"/>
    </xf>
    <xf borderId="26" fillId="0" fontId="17" numFmtId="0" xfId="0" applyAlignment="1" applyBorder="1" applyFont="1">
      <alignment readingOrder="0" vertical="bottom"/>
    </xf>
    <xf borderId="7" fillId="0" fontId="25" numFmtId="0" xfId="0" applyAlignment="1" applyBorder="1" applyFont="1">
      <alignment readingOrder="0"/>
    </xf>
    <xf borderId="8" fillId="2" fontId="7" numFmtId="0" xfId="0" applyBorder="1" applyFont="1"/>
    <xf borderId="8" fillId="0" fontId="26" numFmtId="166" xfId="0" applyBorder="1" applyFont="1" applyNumberFormat="1"/>
    <xf borderId="9" fillId="0" fontId="7" numFmtId="0" xfId="0" applyAlignment="1" applyBorder="1" applyFont="1">
      <alignment readingOrder="0"/>
    </xf>
    <xf borderId="25" fillId="0" fontId="15" numFmtId="10" xfId="0" applyBorder="1" applyFont="1" applyNumberFormat="1"/>
    <xf borderId="0" fillId="0" fontId="7" numFmtId="0" xfId="0" applyAlignment="1" applyFont="1">
      <alignment readingOrder="0"/>
    </xf>
    <xf borderId="15" fillId="2" fontId="16" numFmtId="0" xfId="0" applyAlignment="1" applyBorder="1" applyFont="1">
      <alignment readingOrder="0"/>
    </xf>
    <xf borderId="25" fillId="0" fontId="26" numFmtId="166" xfId="0" applyBorder="1" applyFont="1" applyNumberFormat="1"/>
    <xf borderId="28" fillId="0" fontId="25" numFmtId="0" xfId="0" applyBorder="1" applyFont="1"/>
    <xf borderId="29" fillId="0" fontId="24" numFmtId="166" xfId="0" applyBorder="1" applyFont="1" applyNumberFormat="1"/>
    <xf borderId="18" fillId="0" fontId="15" numFmtId="164" xfId="0" applyBorder="1" applyFont="1" applyNumberFormat="1"/>
    <xf borderId="24" fillId="2" fontId="27" numFmtId="166" xfId="0" applyBorder="1" applyFont="1" applyNumberFormat="1"/>
    <xf borderId="15" fillId="2" fontId="28" numFmtId="0" xfId="0" applyAlignment="1" applyBorder="1" applyFont="1">
      <alignment readingOrder="0"/>
    </xf>
    <xf borderId="24" fillId="2" fontId="29" numFmtId="166" xfId="0" applyBorder="1" applyFont="1" applyNumberFormat="1"/>
    <xf borderId="25" fillId="0" fontId="30" numFmtId="166" xfId="0" applyBorder="1" applyFont="1" applyNumberFormat="1"/>
    <xf borderId="19" fillId="0" fontId="7" numFmtId="0" xfId="0" applyAlignment="1" applyBorder="1" applyFont="1">
      <alignment readingOrder="0"/>
    </xf>
    <xf borderId="0" fillId="0" fontId="25" numFmtId="167" xfId="0" applyFont="1" applyNumberFormat="1"/>
    <xf borderId="15" fillId="2" fontId="16" numFmtId="167" xfId="0" applyAlignment="1" applyBorder="1" applyFont="1" applyNumberFormat="1">
      <alignment readingOrder="0"/>
    </xf>
    <xf borderId="19" fillId="0" fontId="7" numFmtId="167" xfId="0" applyBorder="1" applyFont="1" applyNumberFormat="1"/>
    <xf borderId="19" fillId="0" fontId="7" numFmtId="167" xfId="0" applyAlignment="1" applyBorder="1" applyFont="1" applyNumberFormat="1">
      <alignment readingOrder="0"/>
    </xf>
    <xf borderId="22" fillId="0" fontId="7" numFmtId="167" xfId="0" applyBorder="1" applyFont="1" applyNumberFormat="1"/>
    <xf borderId="19" fillId="0" fontId="15" numFmtId="167" xfId="0" applyBorder="1" applyFont="1" applyNumberFormat="1"/>
    <xf borderId="19" fillId="0" fontId="15" numFmtId="167" xfId="0" applyAlignment="1" applyBorder="1" applyFont="1" applyNumberFormat="1">
      <alignment horizontal="left"/>
    </xf>
    <xf borderId="19" fillId="0" fontId="7" numFmtId="167" xfId="0" applyAlignment="1" applyBorder="1" applyFont="1" applyNumberFormat="1">
      <alignment horizontal="left"/>
    </xf>
    <xf borderId="30" fillId="3" fontId="31" numFmtId="0" xfId="0" applyAlignment="1" applyBorder="1" applyFont="1">
      <alignment horizontal="center" vertical="center"/>
    </xf>
    <xf borderId="31" fillId="3" fontId="31" numFmtId="0" xfId="0" applyAlignment="1" applyBorder="1" applyFont="1">
      <alignment horizontal="center" shrinkToFit="0" vertical="center" wrapText="1"/>
    </xf>
    <xf borderId="32" fillId="3" fontId="31" numFmtId="0" xfId="0" applyAlignment="1" applyBorder="1" applyFont="1">
      <alignment horizontal="center" readingOrder="0" shrinkToFit="0" vertical="center" wrapText="1"/>
    </xf>
    <xf borderId="32" fillId="3" fontId="31" numFmtId="0" xfId="0" applyAlignment="1" applyBorder="1" applyFont="1">
      <alignment horizontal="center" shrinkToFit="0" vertical="center" wrapText="1"/>
    </xf>
    <xf borderId="32" fillId="3" fontId="32" numFmtId="0" xfId="0" applyAlignment="1" applyBorder="1" applyFont="1">
      <alignment horizontal="center" readingOrder="0" shrinkToFit="0" vertical="center" wrapText="1"/>
    </xf>
    <xf borderId="32" fillId="3" fontId="33" numFmtId="0" xfId="0" applyAlignment="1" applyBorder="1" applyFont="1">
      <alignment horizontal="center" readingOrder="0" shrinkToFit="0" vertical="center" wrapText="1"/>
    </xf>
    <xf borderId="32" fillId="3" fontId="34" numFmtId="0" xfId="0" applyAlignment="1" applyBorder="1" applyFont="1">
      <alignment horizontal="center" shrinkToFit="0" vertical="center" wrapText="1"/>
    </xf>
    <xf borderId="33" fillId="3" fontId="35" numFmtId="0" xfId="0" applyAlignment="1" applyBorder="1" applyFont="1">
      <alignment horizontal="center" shrinkToFit="0" vertical="center" wrapText="1"/>
    </xf>
    <xf borderId="0" fillId="0" fontId="23" numFmtId="167" xfId="0" applyFont="1" applyNumberFormat="1"/>
    <xf borderId="34" fillId="3" fontId="31" numFmtId="17" xfId="0" applyAlignment="1" applyBorder="1" applyFont="1" applyNumberFormat="1">
      <alignment horizontal="center" readingOrder="0" shrinkToFit="0" vertical="center" wrapText="1"/>
    </xf>
    <xf borderId="35" fillId="4" fontId="7" numFmtId="0" xfId="0" applyAlignment="1" applyBorder="1" applyFill="1" applyFont="1">
      <alignment horizontal="center" readingOrder="0" vertical="center"/>
    </xf>
    <xf borderId="36" fillId="2" fontId="17" numFmtId="166" xfId="0" applyAlignment="1" applyBorder="1" applyFont="1" applyNumberFormat="1">
      <alignment horizontal="center"/>
    </xf>
    <xf borderId="36" fillId="2" fontId="17" numFmtId="166" xfId="0" applyAlignment="1" applyBorder="1" applyFont="1" applyNumberFormat="1">
      <alignment horizontal="center" readingOrder="0"/>
    </xf>
    <xf borderId="37" fillId="4" fontId="36" numFmtId="166" xfId="0" applyAlignment="1" applyBorder="1" applyFont="1" applyNumberFormat="1">
      <alignment vertical="center"/>
    </xf>
    <xf borderId="38" fillId="2" fontId="23" numFmtId="167" xfId="0" applyBorder="1" applyFont="1" applyNumberFormat="1"/>
    <xf borderId="39" fillId="2" fontId="7" numFmtId="10" xfId="0" applyBorder="1" applyFont="1" applyNumberFormat="1"/>
    <xf borderId="40" fillId="2" fontId="7" numFmtId="0" xfId="0" applyBorder="1" applyFont="1"/>
    <xf borderId="1" fillId="2" fontId="7" numFmtId="164" xfId="0" applyBorder="1" applyFont="1" applyNumberFormat="1"/>
    <xf borderId="0" fillId="2" fontId="7" numFmtId="164" xfId="0" applyFont="1" applyNumberFormat="1"/>
    <xf borderId="12" fillId="0" fontId="6" numFmtId="0" xfId="0" applyBorder="1" applyFont="1"/>
    <xf borderId="36" fillId="4" fontId="37" numFmtId="0" xfId="0" applyAlignment="1" applyBorder="1" applyFont="1">
      <alignment horizontal="center" vertical="center"/>
    </xf>
    <xf borderId="36" fillId="2" fontId="7" numFmtId="166" xfId="0" applyAlignment="1" applyBorder="1" applyFont="1" applyNumberFormat="1">
      <alignment horizontal="center" vertical="center"/>
    </xf>
    <xf borderId="36" fillId="2" fontId="7" numFmtId="166" xfId="0" applyAlignment="1" applyBorder="1" applyFont="1" applyNumberFormat="1">
      <alignment horizontal="center" readingOrder="0" vertical="center"/>
    </xf>
    <xf borderId="41" fillId="4" fontId="36" numFmtId="166" xfId="0" applyAlignment="1" applyBorder="1" applyFont="1" applyNumberFormat="1">
      <alignment horizontal="center" vertical="center"/>
    </xf>
    <xf borderId="42" fillId="2" fontId="23" numFmtId="167" xfId="0" applyBorder="1" applyFont="1" applyNumberFormat="1"/>
    <xf borderId="43" fillId="2" fontId="7" numFmtId="10" xfId="0" applyBorder="1" applyFont="1" applyNumberFormat="1"/>
    <xf borderId="1" fillId="2" fontId="31" numFmtId="169" xfId="0" applyAlignment="1" applyBorder="1" applyFont="1" applyNumberFormat="1">
      <alignment vertical="center"/>
    </xf>
    <xf borderId="1" fillId="2" fontId="38" numFmtId="165" xfId="0" applyAlignment="1" applyBorder="1" applyFont="1" applyNumberFormat="1">
      <alignment horizontal="center" vertical="center"/>
    </xf>
    <xf borderId="0" fillId="2" fontId="38" numFmtId="10" xfId="0" applyAlignment="1" applyFont="1" applyNumberFormat="1">
      <alignment horizontal="center" vertical="center"/>
    </xf>
    <xf borderId="36" fillId="4" fontId="39" numFmtId="0" xfId="0" applyAlignment="1" applyBorder="1" applyFont="1">
      <alignment horizontal="center" vertical="center"/>
    </xf>
    <xf borderId="36" fillId="4" fontId="40" numFmtId="0" xfId="0" applyAlignment="1" applyBorder="1" applyFont="1">
      <alignment horizontal="center" vertical="center"/>
    </xf>
    <xf borderId="44" fillId="0" fontId="23" numFmtId="167" xfId="0" applyAlignment="1" applyBorder="1" applyFont="1" applyNumberFormat="1">
      <alignment vertical="center"/>
    </xf>
    <xf borderId="45" fillId="0" fontId="7" numFmtId="10" xfId="0" applyAlignment="1" applyBorder="1" applyFont="1" applyNumberFormat="1">
      <alignment vertical="center"/>
    </xf>
    <xf borderId="0" fillId="0" fontId="7" numFmtId="0" xfId="0" applyAlignment="1" applyFont="1">
      <alignment vertical="center"/>
    </xf>
    <xf borderId="1" fillId="2" fontId="41" numFmtId="0" xfId="0" applyAlignment="1" applyBorder="1" applyFont="1">
      <alignment horizontal="center" vertical="center"/>
    </xf>
    <xf borderId="0" fillId="0" fontId="7" numFmtId="164" xfId="0" applyAlignment="1" applyFont="1" applyNumberFormat="1">
      <alignment vertical="center"/>
    </xf>
    <xf borderId="36" fillId="4" fontId="7" numFmtId="0" xfId="0" applyAlignment="1" applyBorder="1" applyFont="1">
      <alignment horizontal="center" vertical="center"/>
    </xf>
    <xf borderId="41" fillId="4" fontId="36" numFmtId="166" xfId="0" applyAlignment="1" applyBorder="1" applyFont="1" applyNumberFormat="1">
      <alignment vertical="center"/>
    </xf>
    <xf borderId="1" fillId="2" fontId="42" numFmtId="0" xfId="0" applyAlignment="1" applyBorder="1" applyFont="1">
      <alignment horizontal="center" readingOrder="0" vertical="center"/>
    </xf>
    <xf borderId="36" fillId="4" fontId="38" numFmtId="0" xfId="0" applyAlignment="1" applyBorder="1" applyFont="1">
      <alignment horizontal="center" vertical="center"/>
    </xf>
    <xf borderId="36" fillId="4" fontId="38" numFmtId="10" xfId="0" applyAlignment="1" applyBorder="1" applyFont="1" applyNumberFormat="1">
      <alignment horizontal="center" vertical="center"/>
    </xf>
    <xf borderId="41" fillId="4" fontId="36" numFmtId="10" xfId="0" applyAlignment="1" applyBorder="1" applyFont="1" applyNumberFormat="1">
      <alignment horizontal="center" vertical="center"/>
    </xf>
    <xf borderId="46" fillId="4" fontId="38" numFmtId="0" xfId="0" applyAlignment="1" applyBorder="1" applyFont="1">
      <alignment horizontal="center" vertical="center"/>
    </xf>
    <xf borderId="36" fillId="4" fontId="36" numFmtId="10" xfId="0" applyAlignment="1" applyBorder="1" applyFont="1" applyNumberFormat="1">
      <alignment horizontal="center" vertical="center"/>
    </xf>
    <xf borderId="47" fillId="0" fontId="6" numFmtId="0" xfId="0" applyBorder="1" applyFont="1"/>
    <xf borderId="48" fillId="4" fontId="38" numFmtId="0" xfId="0" applyAlignment="1" applyBorder="1" applyFont="1">
      <alignment horizontal="center" vertical="center"/>
    </xf>
    <xf borderId="48" fillId="4" fontId="38" numFmtId="10" xfId="0" applyAlignment="1" applyBorder="1" applyFont="1" applyNumberFormat="1">
      <alignment horizontal="center" vertical="center"/>
    </xf>
    <xf borderId="49" fillId="4" fontId="36" numFmtId="10" xfId="0" applyAlignment="1" applyBorder="1" applyFont="1" applyNumberFormat="1">
      <alignment horizontal="center" vertical="center"/>
    </xf>
    <xf borderId="28" fillId="0" fontId="23" numFmtId="167" xfId="0" applyAlignment="1" applyBorder="1" applyFont="1" applyNumberFormat="1">
      <alignment vertical="center"/>
    </xf>
    <xf borderId="29" fillId="0" fontId="7" numFmtId="10" xfId="0" applyAlignment="1" applyBorder="1" applyFont="1" applyNumberFormat="1">
      <alignment vertical="center"/>
    </xf>
    <xf borderId="50" fillId="3" fontId="31" numFmtId="17" xfId="0" applyAlignment="1" applyBorder="1" applyFont="1" applyNumberFormat="1">
      <alignment horizontal="center" readingOrder="0" shrinkToFit="0" vertical="center" wrapText="1"/>
    </xf>
    <xf borderId="51" fillId="4" fontId="38" numFmtId="0" xfId="0" applyAlignment="1" applyBorder="1" applyFont="1">
      <alignment horizontal="center" vertical="center"/>
    </xf>
    <xf borderId="51" fillId="4" fontId="38" numFmtId="166" xfId="0" applyAlignment="1" applyBorder="1" applyFont="1" applyNumberFormat="1">
      <alignment horizontal="center" vertical="center"/>
    </xf>
    <xf borderId="52" fillId="4" fontId="36" numFmtId="166" xfId="0" applyAlignment="1" applyBorder="1" applyFont="1" applyNumberFormat="1">
      <alignment vertical="center"/>
    </xf>
    <xf borderId="53" fillId="2" fontId="23" numFmtId="167" xfId="0" applyAlignment="1" applyBorder="1" applyFont="1" applyNumberFormat="1">
      <alignment vertical="center"/>
    </xf>
    <xf borderId="54" fillId="2" fontId="7" numFmtId="10" xfId="0" applyAlignment="1" applyBorder="1" applyFont="1" applyNumberFormat="1">
      <alignment vertical="center"/>
    </xf>
    <xf borderId="40" fillId="2" fontId="7" numFmtId="0" xfId="0" applyAlignment="1" applyBorder="1" applyFont="1">
      <alignment vertical="center"/>
    </xf>
    <xf borderId="1" fillId="2" fontId="7" numFmtId="0" xfId="0" applyAlignment="1" applyBorder="1" applyFont="1">
      <alignment vertical="center"/>
    </xf>
    <xf borderId="0" fillId="2" fontId="7" numFmtId="0" xfId="0" applyAlignment="1" applyFont="1">
      <alignment vertical="center"/>
    </xf>
    <xf borderId="55" fillId="4" fontId="36" numFmtId="166" xfId="0" applyAlignment="1" applyBorder="1" applyFont="1" applyNumberFormat="1">
      <alignment vertical="center"/>
    </xf>
    <xf borderId="1" fillId="2" fontId="23" numFmtId="167" xfId="0" applyAlignment="1" applyBorder="1" applyFont="1" applyNumberFormat="1">
      <alignment vertical="center"/>
    </xf>
    <xf borderId="43" fillId="2" fontId="7" numFmtId="10" xfId="0" applyAlignment="1" applyBorder="1" applyFont="1" applyNumberFormat="1">
      <alignment vertical="center"/>
    </xf>
    <xf borderId="45" fillId="0" fontId="15" numFmtId="10" xfId="0" applyBorder="1" applyFont="1" applyNumberFormat="1"/>
    <xf borderId="0" fillId="0" fontId="23" numFmtId="167" xfId="0" applyAlignment="1" applyFont="1" applyNumberFormat="1">
      <alignment vertical="center"/>
    </xf>
    <xf borderId="55" fillId="4" fontId="43" numFmtId="166" xfId="0" applyAlignment="1" applyBorder="1" applyFont="1" applyNumberFormat="1">
      <alignment vertical="center"/>
    </xf>
    <xf borderId="55" fillId="4" fontId="36" numFmtId="10" xfId="0" applyAlignment="1" applyBorder="1" applyFont="1" applyNumberFormat="1">
      <alignment horizontal="center" vertical="center"/>
    </xf>
    <xf borderId="46" fillId="4" fontId="38" numFmtId="10" xfId="0" applyAlignment="1" applyBorder="1" applyFont="1" applyNumberFormat="1">
      <alignment horizontal="center" vertical="center"/>
    </xf>
    <xf borderId="46" fillId="4" fontId="36" numFmtId="10" xfId="0" applyAlignment="1" applyBorder="1" applyFont="1" applyNumberFormat="1">
      <alignment horizontal="center" vertical="center"/>
    </xf>
    <xf borderId="56" fillId="4" fontId="36" numFmtId="10" xfId="0" applyAlignment="1" applyBorder="1" applyFont="1" applyNumberFormat="1">
      <alignment horizontal="center" vertical="center"/>
    </xf>
    <xf borderId="57" fillId="4" fontId="36" numFmtId="166" xfId="0" applyAlignment="1" applyBorder="1" applyFont="1" applyNumberFormat="1">
      <alignment vertical="center"/>
    </xf>
    <xf borderId="38" fillId="2" fontId="23" numFmtId="167" xfId="0" applyAlignment="1" applyBorder="1" applyFont="1" applyNumberFormat="1">
      <alignment vertical="center"/>
    </xf>
    <xf borderId="39" fillId="2" fontId="7" numFmtId="10" xfId="0" applyAlignment="1" applyBorder="1" applyFont="1" applyNumberFormat="1">
      <alignment vertical="center"/>
    </xf>
    <xf borderId="58" fillId="2" fontId="7" numFmtId="0" xfId="0" applyAlignment="1" applyBorder="1" applyFont="1">
      <alignment vertical="center"/>
    </xf>
    <xf borderId="35" fillId="2" fontId="7" numFmtId="166" xfId="0" applyAlignment="1" applyBorder="1" applyFont="1" applyNumberFormat="1">
      <alignment horizontal="center" vertical="center"/>
    </xf>
    <xf borderId="35" fillId="2" fontId="7" numFmtId="166" xfId="0" applyAlignment="1" applyBorder="1" applyFont="1" applyNumberFormat="1">
      <alignment horizontal="center" readingOrder="0" vertical="center"/>
    </xf>
    <xf borderId="42" fillId="2" fontId="23" numFmtId="167" xfId="0" applyAlignment="1" applyBorder="1" applyFont="1" applyNumberFormat="1">
      <alignment vertical="center"/>
    </xf>
    <xf borderId="3" fillId="2" fontId="7" numFmtId="0" xfId="0" applyAlignment="1" applyBorder="1" applyFont="1">
      <alignment vertical="center"/>
    </xf>
    <xf borderId="41" fillId="4" fontId="43" numFmtId="166" xfId="0" applyAlignment="1" applyBorder="1" applyFont="1" applyNumberFormat="1">
      <alignment vertical="center"/>
    </xf>
    <xf borderId="44" fillId="0" fontId="36" numFmtId="167" xfId="0" applyAlignment="1" applyBorder="1" applyFont="1" applyNumberFormat="1">
      <alignment vertical="center"/>
    </xf>
    <xf borderId="57" fillId="4" fontId="43" numFmtId="166" xfId="0" applyAlignment="1" applyBorder="1" applyFont="1" applyNumberFormat="1">
      <alignment vertical="center"/>
    </xf>
    <xf borderId="44" fillId="0" fontId="29" numFmtId="167" xfId="0" applyAlignment="1" applyBorder="1" applyFont="1" applyNumberFormat="1">
      <alignment vertical="center"/>
    </xf>
    <xf borderId="57" fillId="4" fontId="43" numFmtId="166" xfId="0" applyAlignment="1" applyBorder="1" applyFont="1" applyNumberFormat="1">
      <alignment horizontal="center" vertical="center"/>
    </xf>
    <xf borderId="44" fillId="0" fontId="18" numFmtId="167" xfId="0" applyAlignment="1" applyBorder="1" applyFont="1" applyNumberFormat="1">
      <alignment vertical="center"/>
    </xf>
    <xf borderId="59" fillId="2" fontId="31" numFmtId="166" xfId="0" applyAlignment="1" applyBorder="1" applyFont="1" applyNumberFormat="1">
      <alignment horizontal="center" shrinkToFit="0" vertical="center" wrapText="1"/>
    </xf>
    <xf borderId="60" fillId="0" fontId="6" numFmtId="0" xfId="0" applyBorder="1" applyFont="1"/>
    <xf borderId="61" fillId="3" fontId="31" numFmtId="17" xfId="0" applyAlignment="1" applyBorder="1" applyFont="1" applyNumberFormat="1">
      <alignment horizontal="center" readingOrder="0" shrinkToFit="0" vertical="center" wrapText="1"/>
    </xf>
    <xf borderId="58" fillId="2" fontId="31" numFmtId="166" xfId="0" applyAlignment="1" applyBorder="1" applyFont="1" applyNumberFormat="1">
      <alignment shrinkToFit="0" vertical="center" wrapText="1"/>
    </xf>
    <xf borderId="40" fillId="2" fontId="31" numFmtId="166" xfId="0" applyAlignment="1" applyBorder="1" applyFont="1" applyNumberFormat="1">
      <alignment shrinkToFit="0" vertical="center" wrapText="1"/>
    </xf>
    <xf borderId="1" fillId="2" fontId="31" numFmtId="166" xfId="0" applyAlignment="1" applyBorder="1" applyFont="1" applyNumberFormat="1">
      <alignment shrinkToFit="0" vertical="center" wrapText="1"/>
    </xf>
    <xf borderId="62" fillId="0" fontId="6" numFmtId="0" xfId="0" applyBorder="1" applyFont="1"/>
    <xf borderId="0" fillId="2" fontId="31" numFmtId="166" xfId="0" applyAlignment="1" applyFont="1" applyNumberFormat="1">
      <alignment shrinkToFit="0" vertical="center" wrapText="1"/>
    </xf>
    <xf borderId="63" fillId="2" fontId="38" numFmtId="0" xfId="0" applyAlignment="1" applyBorder="1" applyFont="1">
      <alignment horizontal="center" shrinkToFit="0" vertical="center" wrapText="1"/>
    </xf>
    <xf borderId="63" fillId="2" fontId="38" numFmtId="166" xfId="0" applyAlignment="1" applyBorder="1" applyFont="1" applyNumberFormat="1">
      <alignment horizontal="center" vertical="center"/>
    </xf>
    <xf borderId="0" fillId="2" fontId="38" numFmtId="0" xfId="0" applyAlignment="1" applyFont="1">
      <alignment shrinkToFit="0" vertical="center" wrapText="1"/>
    </xf>
    <xf borderId="40" fillId="2" fontId="38" numFmtId="0" xfId="0" applyAlignment="1" applyBorder="1" applyFont="1">
      <alignment shrinkToFit="0" vertical="center" wrapText="1"/>
    </xf>
    <xf borderId="1" fillId="2" fontId="38" numFmtId="166" xfId="0" applyAlignment="1" applyBorder="1" applyFont="1" applyNumberFormat="1">
      <alignment vertical="center"/>
    </xf>
    <xf borderId="64" fillId="0" fontId="6" numFmtId="0" xfId="0" applyBorder="1" applyFont="1"/>
    <xf borderId="15" fillId="3" fontId="31" numFmtId="166" xfId="0" applyAlignment="1" applyBorder="1" applyFont="1" applyNumberFormat="1">
      <alignment horizontal="center" shrinkToFit="0" vertical="center" wrapText="1"/>
    </xf>
    <xf borderId="16" fillId="0" fontId="6" numFmtId="0" xfId="0" applyBorder="1" applyFont="1"/>
    <xf borderId="17" fillId="0" fontId="6" numFmtId="0" xfId="0" applyBorder="1" applyFont="1"/>
    <xf borderId="65" fillId="0" fontId="6" numFmtId="0" xfId="0" applyBorder="1" applyFont="1"/>
    <xf borderId="66" fillId="0" fontId="6" numFmtId="0" xfId="0" applyBorder="1" applyFont="1"/>
    <xf borderId="67" fillId="0" fontId="6" numFmtId="0" xfId="0" applyBorder="1" applyFont="1"/>
    <xf borderId="63" fillId="2" fontId="38" numFmtId="10" xfId="0" applyAlignment="1" applyBorder="1" applyFont="1" applyNumberFormat="1">
      <alignment horizontal="center" vertical="center"/>
    </xf>
    <xf borderId="68" fillId="4" fontId="38" numFmtId="0" xfId="0" applyAlignment="1" applyBorder="1" applyFont="1">
      <alignment horizontal="center" shrinkToFit="0" vertical="center" wrapText="1"/>
    </xf>
    <xf borderId="69" fillId="0" fontId="6" numFmtId="0" xfId="0" applyBorder="1" applyFont="1"/>
    <xf borderId="70" fillId="4" fontId="38" numFmtId="166" xfId="0" applyAlignment="1" applyBorder="1" applyFont="1" applyNumberFormat="1">
      <alignment horizontal="center" vertical="center"/>
    </xf>
    <xf borderId="71" fillId="0" fontId="6" numFmtId="0" xfId="0" applyBorder="1" applyFont="1"/>
    <xf borderId="19" fillId="0" fontId="6" numFmtId="0" xfId="0" applyBorder="1" applyFont="1"/>
    <xf borderId="45" fillId="0" fontId="6" numFmtId="0" xfId="0" applyBorder="1" applyFont="1"/>
    <xf borderId="44" fillId="0" fontId="6" numFmtId="0" xfId="0" applyBorder="1" applyFont="1"/>
    <xf borderId="20" fillId="0" fontId="6" numFmtId="0" xfId="0" applyBorder="1" applyFont="1"/>
    <xf borderId="21" fillId="0" fontId="7" numFmtId="0" xfId="0" applyAlignment="1" applyBorder="1" applyFont="1">
      <alignment vertical="center"/>
    </xf>
    <xf borderId="1" fillId="2" fontId="38" numFmtId="0" xfId="0" applyAlignment="1" applyBorder="1" applyFont="1">
      <alignment horizontal="center" shrinkToFit="0" vertical="center" wrapText="1"/>
    </xf>
    <xf borderId="1" fillId="2" fontId="38" numFmtId="10" xfId="0" applyAlignment="1" applyBorder="1" applyFont="1" applyNumberFormat="1">
      <alignment horizontal="center" vertical="center"/>
    </xf>
    <xf borderId="48" fillId="4" fontId="36" numFmtId="10" xfId="0" applyAlignment="1" applyBorder="1" applyFont="1" applyNumberFormat="1">
      <alignment horizontal="center" vertical="center"/>
    </xf>
    <xf borderId="0" fillId="0" fontId="7" numFmtId="10" xfId="0" applyAlignment="1" applyFont="1" applyNumberFormat="1">
      <alignment vertical="center"/>
    </xf>
    <xf borderId="58" fillId="2" fontId="31" numFmtId="166" xfId="0" applyAlignment="1" applyBorder="1" applyFont="1" applyNumberFormat="1">
      <alignment vertical="center"/>
    </xf>
    <xf borderId="40" fillId="2" fontId="31" numFmtId="166" xfId="0" applyAlignment="1" applyBorder="1" applyFont="1" applyNumberFormat="1">
      <alignment vertical="center"/>
    </xf>
    <xf borderId="29" fillId="0" fontId="6" numFmtId="0" xfId="0" applyBorder="1" applyFont="1"/>
    <xf borderId="28" fillId="0" fontId="6" numFmtId="0" xfId="0" applyBorder="1" applyFont="1"/>
    <xf borderId="0" fillId="0" fontId="7" numFmtId="166" xfId="0" applyAlignment="1" applyFont="1" applyNumberFormat="1">
      <alignment horizontal="center" vertical="center"/>
    </xf>
    <xf borderId="3" fillId="2" fontId="31" numFmtId="166" xfId="0" applyAlignment="1" applyBorder="1" applyFont="1" applyNumberFormat="1">
      <alignment shrinkToFit="0" vertical="center" wrapText="1"/>
    </xf>
    <xf borderId="70" fillId="4" fontId="38" numFmtId="10" xfId="0" applyAlignment="1" applyBorder="1" applyFont="1" applyNumberFormat="1">
      <alignment horizontal="center" vertical="center"/>
    </xf>
    <xf borderId="22" fillId="0" fontId="6" numFmtId="0" xfId="0" applyBorder="1" applyFont="1"/>
    <xf borderId="72" fillId="0" fontId="6" numFmtId="0" xfId="0" applyBorder="1" applyFont="1"/>
    <xf borderId="73" fillId="0" fontId="6" numFmtId="0" xfId="0" applyBorder="1" applyFont="1"/>
    <xf borderId="24" fillId="0" fontId="6" numFmtId="0" xfId="0" applyBorder="1" applyFont="1"/>
    <xf borderId="0" fillId="0" fontId="44" numFmtId="167" xfId="0" applyAlignment="1" applyFont="1" applyNumberFormat="1">
      <alignment vertical="center"/>
    </xf>
    <xf borderId="60" fillId="2" fontId="38" numFmtId="0" xfId="0" applyAlignment="1" applyBorder="1" applyFont="1">
      <alignment horizontal="center" shrinkToFit="0" vertical="center" wrapText="1"/>
    </xf>
    <xf borderId="74" fillId="2" fontId="38" numFmtId="0" xfId="0" applyAlignment="1" applyBorder="1" applyFont="1">
      <alignment horizontal="center" shrinkToFit="0" vertical="center" wrapText="1"/>
    </xf>
    <xf borderId="59" fillId="2" fontId="38" numFmtId="166" xfId="0" applyAlignment="1" applyBorder="1" applyFont="1" applyNumberFormat="1">
      <alignment horizontal="center" vertical="center"/>
    </xf>
    <xf borderId="0" fillId="0" fontId="45" numFmtId="0" xfId="0" applyAlignment="1" applyFont="1">
      <alignment vertical="center"/>
    </xf>
    <xf borderId="0" fillId="5" fontId="7" numFmtId="10" xfId="0" applyAlignment="1" applyFill="1" applyFont="1" applyNumberFormat="1">
      <alignment vertical="center"/>
    </xf>
    <xf borderId="75" fillId="0" fontId="6" numFmtId="0" xfId="0" applyBorder="1" applyFont="1"/>
    <xf borderId="0" fillId="0" fontId="46" numFmtId="0" xfId="0" applyAlignment="1" applyFont="1">
      <alignment vertical="center"/>
    </xf>
    <xf borderId="0" fillId="5" fontId="7" numFmtId="167" xfId="0" applyAlignment="1" applyFont="1" applyNumberFormat="1">
      <alignment vertical="center"/>
    </xf>
    <xf borderId="3" fillId="2" fontId="38" numFmtId="0" xfId="0" applyAlignment="1" applyBorder="1" applyFont="1">
      <alignment horizontal="center" shrinkToFit="0" vertical="center" wrapText="1"/>
    </xf>
    <xf borderId="40" fillId="2" fontId="38" numFmtId="0" xfId="0" applyAlignment="1" applyBorder="1" applyFont="1">
      <alignment horizontal="center" shrinkToFit="0" vertical="center" wrapText="1"/>
    </xf>
    <xf borderId="76" fillId="2" fontId="7" numFmtId="10" xfId="0" applyAlignment="1" applyBorder="1" applyFont="1" applyNumberFormat="1">
      <alignment vertical="center"/>
    </xf>
    <xf borderId="0" fillId="2" fontId="38" numFmtId="0" xfId="0" applyAlignment="1" applyFont="1">
      <alignment horizontal="center" shrinkToFit="0" vertical="center" wrapText="1"/>
    </xf>
    <xf borderId="0" fillId="2" fontId="3" numFmtId="0" xfId="0" applyAlignment="1" applyFont="1">
      <alignment horizontal="center" vertical="center"/>
    </xf>
    <xf borderId="40" fillId="2" fontId="3" numFmtId="0" xfId="0" applyAlignment="1" applyBorder="1" applyFont="1">
      <alignment horizontal="center" vertical="center"/>
    </xf>
    <xf borderId="1" fillId="2" fontId="3" numFmtId="0" xfId="0" applyAlignment="1" applyBorder="1" applyFont="1">
      <alignment horizontal="center" readingOrder="0" vertical="center"/>
    </xf>
    <xf borderId="0" fillId="2" fontId="31" numFmtId="0" xfId="0" applyAlignment="1" applyFont="1">
      <alignment horizontal="center" shrinkToFit="0" vertical="center" wrapText="1"/>
    </xf>
    <xf borderId="16" fillId="3" fontId="31" numFmtId="0" xfId="0" applyAlignment="1" applyBorder="1" applyFont="1">
      <alignment horizontal="center" shrinkToFit="0" vertical="center" wrapText="1"/>
    </xf>
    <xf borderId="45" fillId="2" fontId="38" numFmtId="17" xfId="0" applyAlignment="1" applyBorder="1" applyFont="1" applyNumberFormat="1">
      <alignment horizontal="center" vertical="center"/>
    </xf>
    <xf borderId="35" fillId="4" fontId="38" numFmtId="17" xfId="0" applyAlignment="1" applyBorder="1" applyFont="1" applyNumberFormat="1">
      <alignment horizontal="center" vertical="center"/>
    </xf>
    <xf borderId="77" fillId="4" fontId="38" numFmtId="17" xfId="0" applyAlignment="1" applyBorder="1" applyFont="1" applyNumberFormat="1">
      <alignment horizontal="center" vertical="center"/>
    </xf>
    <xf borderId="45" fillId="2" fontId="38" numFmtId="10" xfId="0" applyAlignment="1" applyBorder="1" applyFont="1" applyNumberFormat="1">
      <alignment horizontal="center" vertical="center"/>
    </xf>
    <xf borderId="78" fillId="4" fontId="38" numFmtId="10" xfId="0" applyAlignment="1" applyBorder="1" applyFont="1" applyNumberFormat="1">
      <alignment horizontal="center" vertical="center"/>
    </xf>
    <xf borderId="56" fillId="4" fontId="38" numFmtId="10" xfId="0" applyAlignment="1" applyBorder="1" applyFont="1" applyNumberFormat="1">
      <alignment horizontal="center" vertical="center"/>
    </xf>
    <xf borderId="3" fillId="2" fontId="31" numFmtId="167" xfId="0" applyAlignment="1" applyBorder="1" applyFont="1" applyNumberFormat="1">
      <alignment vertical="center"/>
    </xf>
    <xf borderId="1" fillId="2" fontId="38" numFmtId="167" xfId="0" applyAlignment="1" applyBorder="1" applyFont="1" applyNumberFormat="1">
      <alignment horizontal="center" vertical="center"/>
    </xf>
    <xf borderId="0" fillId="2" fontId="31" numFmtId="0" xfId="0" applyAlignment="1" applyFont="1">
      <alignment horizontal="center" vertical="center"/>
    </xf>
    <xf borderId="16" fillId="3" fontId="31" numFmtId="0" xfId="0" applyAlignment="1" applyBorder="1" applyFont="1">
      <alignment horizontal="center" vertical="center"/>
    </xf>
    <xf borderId="0" fillId="0" fontId="7" numFmtId="10" xfId="0" applyAlignment="1" applyFont="1" applyNumberFormat="1">
      <alignment readingOrder="0" vertical="center"/>
    </xf>
    <xf borderId="23" fillId="0" fontId="6" numFmtId="0" xfId="0" applyBorder="1" applyFont="1"/>
    <xf borderId="45" fillId="2" fontId="38" numFmtId="17" xfId="0" applyAlignment="1" applyBorder="1" applyFont="1" applyNumberFormat="1">
      <alignment horizontal="center" shrinkToFit="0" vertical="center" wrapText="1"/>
    </xf>
    <xf borderId="36" fillId="4" fontId="38" numFmtId="17" xfId="0" applyAlignment="1" applyBorder="1" applyFont="1" applyNumberFormat="1">
      <alignment horizontal="center" shrinkToFit="0" vertical="center" wrapText="1"/>
    </xf>
    <xf borderId="35" fillId="4" fontId="38" numFmtId="17" xfId="0" applyAlignment="1" applyBorder="1" applyFont="1" applyNumberFormat="1">
      <alignment horizontal="center" shrinkToFit="0" vertical="center" wrapText="1"/>
    </xf>
    <xf borderId="35" fillId="4" fontId="38" numFmtId="17" xfId="0" applyAlignment="1" applyBorder="1" applyFont="1" applyNumberFormat="1">
      <alignment horizontal="center" readingOrder="0" shrinkToFit="0" vertical="center" wrapText="1"/>
    </xf>
    <xf borderId="77" fillId="4" fontId="38" numFmtId="17" xfId="0" applyAlignment="1" applyBorder="1" applyFont="1" applyNumberFormat="1">
      <alignment horizontal="center" readingOrder="0" shrinkToFit="0" vertical="center" wrapText="1"/>
    </xf>
    <xf borderId="21" fillId="0" fontId="7" numFmtId="10" xfId="0" applyAlignment="1" applyBorder="1" applyFont="1" applyNumberFormat="1">
      <alignment vertical="center"/>
    </xf>
    <xf borderId="45" fillId="4" fontId="38" numFmtId="17" xfId="0" applyAlignment="1" applyBorder="1" applyFont="1" applyNumberFormat="1">
      <alignment horizontal="center" shrinkToFit="0" vertical="center" wrapText="1"/>
    </xf>
    <xf borderId="79" fillId="4" fontId="38" numFmtId="17" xfId="0" applyAlignment="1" applyBorder="1" applyFont="1" applyNumberFormat="1">
      <alignment horizontal="center" shrinkToFit="0" vertical="center" wrapText="1"/>
    </xf>
    <xf borderId="80" fillId="4" fontId="38" numFmtId="17" xfId="0" applyAlignment="1" applyBorder="1" applyFont="1" applyNumberFormat="1">
      <alignment horizontal="center" shrinkToFit="0" vertical="center" wrapText="1"/>
    </xf>
    <xf borderId="50" fillId="3" fontId="31" numFmtId="17" xfId="0" applyAlignment="1" applyBorder="1" applyFont="1" applyNumberFormat="1">
      <alignment horizontal="center" readingOrder="0" vertical="center"/>
    </xf>
    <xf borderId="81" fillId="2" fontId="7" numFmtId="10" xfId="0" applyAlignment="1" applyBorder="1" applyFont="1" applyNumberFormat="1">
      <alignment vertical="center"/>
    </xf>
    <xf borderId="1" fillId="2" fontId="7" numFmtId="10" xfId="0" applyAlignment="1" applyBorder="1" applyFont="1" applyNumberFormat="1">
      <alignment vertical="center"/>
    </xf>
    <xf borderId="36" fillId="2" fontId="7" numFmtId="0" xfId="0" applyAlignment="1" applyBorder="1" applyFont="1">
      <alignment horizontal="center" readingOrder="0" vertical="center"/>
    </xf>
    <xf borderId="0" fillId="0" fontId="23" numFmtId="0" xfId="0" applyFont="1"/>
    <xf borderId="0" fillId="0" fontId="31" numFmtId="17" xfId="0" applyAlignment="1" applyFont="1" applyNumberFormat="1">
      <alignment shrinkToFit="0" vertical="center" wrapText="1"/>
    </xf>
    <xf borderId="46" fillId="3" fontId="31" numFmtId="0" xfId="0" applyAlignment="1" applyBorder="1" applyFont="1">
      <alignment horizontal="center" shrinkToFit="0" vertical="center" wrapText="1"/>
    </xf>
    <xf borderId="39" fillId="3" fontId="31" numFmtId="0" xfId="0" applyAlignment="1" applyBorder="1" applyFont="1">
      <alignment horizontal="center" shrinkToFit="0" vertical="center" wrapText="1"/>
    </xf>
    <xf borderId="39" fillId="3" fontId="35" numFmtId="0" xfId="0" applyAlignment="1" applyBorder="1" applyFont="1">
      <alignment horizontal="center" shrinkToFit="0" vertical="center" wrapText="1"/>
    </xf>
    <xf borderId="0" fillId="0" fontId="7" numFmtId="17" xfId="0" applyFont="1" applyNumberFormat="1"/>
    <xf borderId="0" fillId="0" fontId="38" numFmtId="17" xfId="0" applyAlignment="1" applyFont="1" applyNumberFormat="1">
      <alignment shrinkToFit="0" vertical="center" wrapText="1"/>
    </xf>
    <xf borderId="36" fillId="4" fontId="38" numFmtId="10" xfId="0" applyAlignment="1" applyBorder="1" applyFont="1" applyNumberFormat="1">
      <alignment horizontal="center" shrinkToFit="0" vertical="center" wrapText="1"/>
    </xf>
    <xf borderId="0" fillId="0" fontId="23" numFmtId="10" xfId="0" applyFont="1" applyNumberFormat="1"/>
    <xf borderId="0" fillId="0" fontId="38" numFmtId="0" xfId="0" applyFont="1"/>
    <xf quotePrefix="1" borderId="0" fillId="0" fontId="7" numFmtId="0" xfId="0" applyAlignment="1" applyFont="1">
      <alignment readingOrder="0"/>
    </xf>
    <xf borderId="0" fillId="2" fontId="47" numFmtId="0" xfId="0" applyFont="1"/>
    <xf borderId="0" fillId="2" fontId="7" numFmtId="0" xfId="0" applyFont="1"/>
    <xf borderId="0" fillId="2" fontId="7" numFmtId="166" xfId="0" applyFont="1" applyNumberFormat="1"/>
    <xf borderId="0" fillId="0" fontId="7" numFmtId="168" xfId="0" applyFont="1" applyNumberFormat="1"/>
    <xf borderId="0" fillId="0" fontId="17" numFmtId="0" xfId="0" applyFont="1"/>
    <xf borderId="0" fillId="0" fontId="26" numFmtId="0" xfId="0" applyFont="1"/>
    <xf borderId="0" fillId="0" fontId="26" numFmtId="167" xfId="0" applyFont="1" applyNumberFormat="1"/>
    <xf borderId="19" fillId="0" fontId="7" numFmtId="167" xfId="0" applyAlignment="1" applyBorder="1" applyFont="1" applyNumberFormat="1">
      <alignment horizontal="left" readingOrder="0"/>
    </xf>
  </cellXfs>
  <cellStyles count="1">
    <cellStyle xfId="0" name="Normal" builtinId="0"/>
  </cellStyles>
  <dxfs count="0"/>
</styleSheet>
</file>

<file path=xl/_rels/comments1.xml.rels><?xml version="1.0" encoding="UTF-8" standalone="yes"?><Relationships xmlns="http://schemas.openxmlformats.org/package/2006/relationships"><Relationship Id="rId1" Type="http://customschemas.google.com/relationships/workbookmetadata" Target="commentsmeta0"/></Relationships>
</file>

<file path=xl/_rels/workbook.xml.rels><?xml version="1.0" encoding="UTF-8" standalone="yes"?><Relationships xmlns="http://schemas.openxmlformats.org/package/2006/relationships"><Relationship Id="rId20" Type="http://customschemas.google.com/relationships/workbookmetadata" Target="metadata"/><Relationship Id="rId11" Type="http://schemas.openxmlformats.org/officeDocument/2006/relationships/worksheet" Target="worksheets/sheet7.xml"/><Relationship Id="rId10" Type="http://schemas.openxmlformats.org/officeDocument/2006/relationships/worksheet" Target="worksheets/sheet6.xml"/><Relationship Id="rId13" Type="http://schemas.openxmlformats.org/officeDocument/2006/relationships/worksheet" Target="worksheets/sheet9.xml"/><Relationship Id="rId12" Type="http://schemas.openxmlformats.org/officeDocument/2006/relationships/worksheet" Target="worksheets/sheet8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9" Type="http://schemas.openxmlformats.org/officeDocument/2006/relationships/worksheet" Target="worksheets/sheet5.xml"/><Relationship Id="rId15" Type="http://schemas.openxmlformats.org/officeDocument/2006/relationships/worksheet" Target="worksheets/sheet11.xml"/><Relationship Id="rId14" Type="http://schemas.openxmlformats.org/officeDocument/2006/relationships/worksheet" Target="worksheets/sheet10.xml"/><Relationship Id="rId17" Type="http://schemas.openxmlformats.org/officeDocument/2006/relationships/worksheet" Target="worksheets/sheet13.xml"/><Relationship Id="rId16" Type="http://schemas.openxmlformats.org/officeDocument/2006/relationships/worksheet" Target="worksheets/sheet12.xml"/><Relationship Id="rId5" Type="http://schemas.openxmlformats.org/officeDocument/2006/relationships/worksheet" Target="worksheets/sheet1.xml"/><Relationship Id="rId19" Type="http://schemas.openxmlformats.org/officeDocument/2006/relationships/worksheet" Target="worksheets/sheet15.xml"/><Relationship Id="rId6" Type="http://schemas.openxmlformats.org/officeDocument/2006/relationships/worksheet" Target="worksheets/sheet2.xml"/><Relationship Id="rId18" Type="http://schemas.openxmlformats.org/officeDocument/2006/relationships/worksheet" Target="worksheets/sheet14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 i="0">
                <a:solidFill>
                  <a:srgbClr val="757575"/>
                </a:solidFill>
                <a:latin typeface="+mn-lt"/>
              </a:defRPr>
            </a:pPr>
            <a:r>
              <a:rPr b="0" i="0">
                <a:solidFill>
                  <a:srgbClr val="757575"/>
                </a:solidFill>
                <a:latin typeface="+mn-lt"/>
              </a:rPr>
              <a:t>Carteira "Nasser Family" </a:t>
            </a:r>
          </a:p>
        </c:rich>
      </c:tx>
      <c:overlay val="0"/>
    </c:title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472C4"/>
              </a:solidFill>
            </c:spPr>
          </c:dPt>
          <c:dPt>
            <c:idx val="1"/>
            <c:spPr>
              <a:solidFill>
                <a:srgbClr val="ED7D31"/>
              </a:solidFill>
            </c:spPr>
          </c:dPt>
          <c:dPt>
            <c:idx val="2"/>
            <c:spPr>
              <a:solidFill>
                <a:srgbClr val="A5A5A5"/>
              </a:solidFill>
            </c:spPr>
          </c:dPt>
          <c:dPt>
            <c:idx val="3"/>
            <c:spPr>
              <a:solidFill>
                <a:srgbClr val="FFC000"/>
              </a:solidFill>
            </c:spPr>
          </c:dPt>
          <c:dPt>
            <c:idx val="4"/>
            <c:spPr>
              <a:solidFill>
                <a:srgbClr val="5B9BD5"/>
              </a:solidFill>
            </c:spPr>
          </c:dPt>
          <c:dPt>
            <c:idx val="5"/>
            <c:spPr>
              <a:solidFill>
                <a:srgbClr val="70AD47"/>
              </a:solidFill>
            </c:spPr>
          </c:dPt>
          <c:dPt>
            <c:idx val="6"/>
            <c:spPr>
              <a:solidFill>
                <a:srgbClr val="7C9CD6"/>
              </a:solidFill>
            </c:spPr>
          </c:dPt>
          <c:dPt>
            <c:idx val="7"/>
            <c:spPr>
              <a:solidFill>
                <a:srgbClr val="F2A46F"/>
              </a:solidFill>
            </c:spPr>
          </c:dPt>
          <c:dPt>
            <c:idx val="8"/>
            <c:spPr>
              <a:solidFill>
                <a:srgbClr val="C0C0C0"/>
              </a:solidFill>
            </c:spPr>
          </c:dPt>
          <c:dPt>
            <c:idx val="9"/>
            <c:spPr>
              <a:solidFill>
                <a:srgbClr val="FFD34D"/>
              </a:solidFill>
            </c:spPr>
          </c:dPt>
          <c:dPt>
            <c:idx val="10"/>
            <c:spPr>
              <a:solidFill>
                <a:srgbClr val="8CB9E2"/>
              </a:solidFill>
            </c:spPr>
          </c:dPt>
          <c:dLbls>
            <c:dLbl>
              <c:idx val="5"/>
              <c:txPr>
                <a:bodyPr/>
                <a:lstStyle/>
                <a:p>
                  <a:pPr lvl="0">
                    <a:defRPr>
                      <a:latin typeface="serif"/>
                    </a:defRPr>
                  </a:pPr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6"/>
              <c:txPr>
                <a:bodyPr/>
                <a:lstStyle/>
                <a:p>
                  <a:pPr lvl="0">
                    <a:defRPr>
                      <a:latin typeface="serif"/>
                    </a:defRPr>
                  </a:pPr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7"/>
              <c:txPr>
                <a:bodyPr/>
                <a:lstStyle/>
                <a:p>
                  <a:pPr lvl="0">
                    <a:defRPr sz="1000">
                      <a:latin typeface="serif"/>
                    </a:defRPr>
                  </a:pPr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8"/>
              <c:txPr>
                <a:bodyPr/>
                <a:lstStyle/>
                <a:p>
                  <a:pPr lvl="0">
                    <a:defRPr sz="800">
                      <a:latin typeface="serif"/>
                    </a:defRPr>
                  </a:pPr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9"/>
              <c:txPr>
                <a:bodyPr/>
                <a:lstStyle/>
                <a:p>
                  <a:pPr lvl="0">
                    <a:defRPr sz="700">
                      <a:latin typeface="serif"/>
                    </a:defRPr>
                  </a:pPr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10"/>
              <c:txPr>
                <a:bodyPr/>
                <a:lstStyle/>
                <a:p>
                  <a:pPr lvl="0">
                    <a:defRPr sz="700">
                      <a:latin typeface="serif"/>
                    </a:defRPr>
                  </a:pPr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</c:dLbl>
            <c:showLegendKey val="0"/>
            <c:showVal val="0"/>
            <c:showCatName val="1"/>
            <c:showSerName val="0"/>
            <c:showPercent val="0"/>
            <c:showBubbleSize val="0"/>
            <c:showLeaderLines val="1"/>
          </c:dLbls>
          <c:cat>
            <c:strRef>
              <c:f>'% de Alocação da Carteira 01_25'!$B$4:$B$14</c:f>
            </c:strRef>
          </c:cat>
          <c:val>
            <c:numRef>
              <c:f>'% de Alocação da Carteira 01_25'!$D$4:$D$14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serif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 i="0" sz="1600">
                <a:solidFill>
                  <a:srgbClr val="757575"/>
                </a:solidFill>
                <a:latin typeface="Arial"/>
              </a:defRPr>
            </a:pPr>
            <a:r>
              <a:rPr b="0" i="0" sz="1600">
                <a:solidFill>
                  <a:srgbClr val="757575"/>
                </a:solidFill>
                <a:latin typeface="Arial"/>
              </a:rPr>
              <a:t>% de Alocações Carteira "Nasser Family" na R. V. por Setor</a:t>
            </a:r>
          </a:p>
        </c:rich>
      </c:tx>
      <c:layout>
        <c:manualLayout>
          <c:xMode val="edge"/>
          <c:yMode val="edge"/>
          <c:x val="0.03356164383561644"/>
          <c:y val="0.06333333333333334"/>
        </c:manualLayout>
      </c:layout>
      <c:overlay val="0"/>
    </c:title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472C4"/>
              </a:solidFill>
            </c:spPr>
          </c:dPt>
          <c:dPt>
            <c:idx val="1"/>
            <c:spPr>
              <a:solidFill>
                <a:srgbClr val="ED7D31"/>
              </a:solidFill>
            </c:spPr>
          </c:dPt>
          <c:dPt>
            <c:idx val="2"/>
            <c:spPr>
              <a:solidFill>
                <a:srgbClr val="A5A5A5"/>
              </a:solidFill>
            </c:spPr>
          </c:dPt>
          <c:dPt>
            <c:idx val="3"/>
            <c:spPr>
              <a:solidFill>
                <a:srgbClr val="FFC000"/>
              </a:solidFill>
            </c:spPr>
          </c:dPt>
          <c:dPt>
            <c:idx val="4"/>
            <c:spPr>
              <a:solidFill>
                <a:srgbClr val="5B9BD5"/>
              </a:solidFill>
            </c:spPr>
          </c:dPt>
          <c:dPt>
            <c:idx val="5"/>
            <c:spPr>
              <a:solidFill>
                <a:srgbClr val="70AD47"/>
              </a:solidFill>
            </c:spPr>
          </c:dPt>
          <c:dPt>
            <c:idx val="6"/>
            <c:spPr>
              <a:solidFill>
                <a:srgbClr val="7C9CD6"/>
              </a:solidFill>
            </c:spPr>
          </c:dPt>
          <c:dPt>
            <c:idx val="7"/>
            <c:spPr>
              <a:solidFill>
                <a:srgbClr val="F2A46F"/>
              </a:solidFill>
            </c:spPr>
          </c:dPt>
          <c:dPt>
            <c:idx val="8"/>
            <c:spPr>
              <a:solidFill>
                <a:srgbClr val="C0C0C0"/>
              </a:solidFill>
            </c:spPr>
          </c:dPt>
          <c:dPt>
            <c:idx val="9"/>
            <c:spPr>
              <a:solidFill>
                <a:srgbClr val="FFD34D"/>
              </a:solidFill>
            </c:spPr>
          </c:dPt>
          <c:dPt>
            <c:idx val="10"/>
            <c:spPr>
              <a:solidFill>
                <a:srgbClr val="8CB9E2"/>
              </a:solidFill>
            </c:spPr>
          </c:dPt>
          <c:dPt>
            <c:idx val="11"/>
            <c:spPr>
              <a:solidFill>
                <a:srgbClr val="9BC67E"/>
              </a:solidFill>
            </c:spPr>
          </c:dPt>
          <c:dPt>
            <c:idx val="12"/>
            <c:spPr>
              <a:solidFill>
                <a:srgbClr val="B4C7E7"/>
              </a:solidFill>
            </c:spPr>
          </c:dPt>
          <c:dLbls>
            <c:dLbl>
              <c:idx val="11"/>
              <c:txPr>
                <a:bodyPr/>
                <a:lstStyle/>
                <a:p>
                  <a:pPr lvl="0">
                    <a:defRPr sz="800"/>
                  </a:pPr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</c:dLbl>
            <c:showLegendKey val="0"/>
            <c:showVal val="0"/>
            <c:showCatName val="1"/>
            <c:showSerName val="0"/>
            <c:showPercent val="0"/>
            <c:showBubbleSize val="0"/>
            <c:showLeaderLines val="1"/>
          </c:dLbls>
          <c:cat>
            <c:strRef>
              <c:f>'% de Alocação da Carteira 01_25'!$D$20:$D$32</c:f>
            </c:strRef>
          </c:cat>
          <c:val>
            <c:numRef>
              <c:f>'% de Alocação da Carteira 01_25'!$B$20:$B$32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 i="0">
                <a:solidFill>
                  <a:srgbClr val="757575"/>
                </a:solidFill>
                <a:latin typeface="+mn-lt"/>
              </a:defRPr>
            </a:pPr>
            <a:r>
              <a:rPr b="0" i="0">
                <a:solidFill>
                  <a:srgbClr val="757575"/>
                </a:solidFill>
                <a:latin typeface="+mn-lt"/>
              </a:rPr>
              <a:t>Carteira "NF" -ALOCAÇÃO % COMPACTA</a:t>
            </a:r>
          </a:p>
        </c:rich>
      </c:tx>
      <c:overlay val="0"/>
    </c:title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472C4"/>
              </a:solidFill>
            </c:spPr>
          </c:dPt>
          <c:dPt>
            <c:idx val="1"/>
            <c:spPr>
              <a:solidFill>
                <a:srgbClr val="ED7D31"/>
              </a:solidFill>
            </c:spPr>
          </c:dPt>
          <c:dPt>
            <c:idx val="2"/>
            <c:spPr>
              <a:solidFill>
                <a:srgbClr val="A5A5A5"/>
              </a:solidFill>
            </c:spPr>
          </c:dPt>
          <c:dPt>
            <c:idx val="3"/>
            <c:spPr>
              <a:solidFill>
                <a:srgbClr val="FFC000"/>
              </a:solidFill>
            </c:spPr>
          </c:dPt>
          <c:dPt>
            <c:idx val="4"/>
            <c:spPr>
              <a:solidFill>
                <a:srgbClr val="5B9BD5"/>
              </a:solidFill>
            </c:spPr>
          </c:dPt>
          <c:dPt>
            <c:idx val="5"/>
            <c:spPr>
              <a:solidFill>
                <a:srgbClr val="70AD47"/>
              </a:solidFill>
            </c:spPr>
          </c:dPt>
          <c:dPt>
            <c:idx val="6"/>
            <c:spPr>
              <a:solidFill>
                <a:srgbClr val="7C9CD6"/>
              </a:solidFill>
            </c:spPr>
          </c:dPt>
          <c:dPt>
            <c:idx val="7"/>
            <c:spPr>
              <a:solidFill>
                <a:srgbClr val="F2A46F"/>
              </a:solidFill>
            </c:spPr>
          </c:dPt>
          <c:dPt>
            <c:idx val="8"/>
            <c:spPr>
              <a:solidFill>
                <a:srgbClr val="C0C0C0"/>
              </a:solidFill>
            </c:spPr>
          </c:dPt>
          <c:dPt>
            <c:idx val="9"/>
          </c:dPt>
          <c:dPt>
            <c:idx val="10"/>
          </c:dPt>
          <c:dLbls>
            <c:dLbl>
              <c:idx val="0"/>
              <c:txPr>
                <a:bodyPr/>
                <a:lstStyle/>
                <a:p>
                  <a:pPr lvl="0">
                    <a:defRPr>
                      <a:latin typeface="serif"/>
                    </a:defRPr>
                  </a:pPr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3"/>
              <c:txPr>
                <a:bodyPr/>
                <a:lstStyle/>
                <a:p>
                  <a:pPr lvl="0">
                    <a:defRPr>
                      <a:latin typeface="serif"/>
                    </a:defRPr>
                  </a:pPr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4"/>
              <c:txPr>
                <a:bodyPr/>
                <a:lstStyle/>
                <a:p>
                  <a:pPr lvl="0">
                    <a:defRPr>
                      <a:latin typeface="serif"/>
                    </a:defRPr>
                  </a:pPr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</c:dLbl>
            <c:showLegendKey val="0"/>
            <c:showVal val="0"/>
            <c:showCatName val="1"/>
            <c:showSerName val="0"/>
            <c:showPercent val="0"/>
            <c:showBubbleSize val="0"/>
            <c:showLeaderLines val="1"/>
          </c:dLbls>
          <c:cat>
            <c:strRef>
              <c:f>'% de Alocação da Carteira 01_25'!$L$4:$L$14</c:f>
            </c:strRef>
          </c:cat>
          <c:val>
            <c:numRef>
              <c:f>'% de Alocação da Carteira 01_25'!$M$4:$M$14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layout>
        <c:manualLayout>
          <c:xMode val="edge"/>
          <c:yMode val="edge"/>
          <c:x val="0.6731727065826331"/>
          <c:y val="0.16152263374485595"/>
        </c:manualLayout>
      </c:layout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 i="0">
                <a:solidFill>
                  <a:srgbClr val="757575"/>
                </a:solidFill>
                <a:latin typeface="+mn-lt"/>
              </a:defRPr>
            </a:pPr>
            <a:r>
              <a:rPr b="0" i="0">
                <a:solidFill>
                  <a:srgbClr val="757575"/>
                </a:solidFill>
                <a:latin typeface="+mn-lt"/>
              </a:rPr>
              <a:t>Carteira "Nasser Family" </a:t>
            </a:r>
          </a:p>
        </c:rich>
      </c:tx>
      <c:overlay val="0"/>
    </c:title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472C4"/>
              </a:solidFill>
            </c:spPr>
          </c:dPt>
          <c:dPt>
            <c:idx val="1"/>
            <c:spPr>
              <a:solidFill>
                <a:srgbClr val="ED7D31"/>
              </a:solidFill>
            </c:spPr>
          </c:dPt>
          <c:dPt>
            <c:idx val="2"/>
            <c:spPr>
              <a:solidFill>
                <a:srgbClr val="A5A5A5"/>
              </a:solidFill>
            </c:spPr>
          </c:dPt>
          <c:dPt>
            <c:idx val="3"/>
            <c:spPr>
              <a:solidFill>
                <a:srgbClr val="FFC000"/>
              </a:solidFill>
            </c:spPr>
          </c:dPt>
          <c:dPt>
            <c:idx val="4"/>
            <c:spPr>
              <a:solidFill>
                <a:srgbClr val="5B9BD5"/>
              </a:solidFill>
            </c:spPr>
          </c:dPt>
          <c:dPt>
            <c:idx val="5"/>
            <c:spPr>
              <a:solidFill>
                <a:srgbClr val="70AD47"/>
              </a:solidFill>
            </c:spPr>
          </c:dPt>
          <c:dPt>
            <c:idx val="6"/>
            <c:spPr>
              <a:solidFill>
                <a:srgbClr val="7C9CD6"/>
              </a:solidFill>
            </c:spPr>
          </c:dPt>
          <c:dPt>
            <c:idx val="7"/>
            <c:spPr>
              <a:solidFill>
                <a:srgbClr val="F2A46F"/>
              </a:solidFill>
            </c:spPr>
          </c:dPt>
          <c:dPt>
            <c:idx val="8"/>
            <c:spPr>
              <a:solidFill>
                <a:srgbClr val="C0C0C0"/>
              </a:solidFill>
            </c:spPr>
          </c:dPt>
          <c:dPt>
            <c:idx val="9"/>
            <c:spPr>
              <a:solidFill>
                <a:srgbClr val="FFD34D"/>
              </a:solidFill>
            </c:spPr>
          </c:dPt>
          <c:dPt>
            <c:idx val="10"/>
            <c:spPr>
              <a:solidFill>
                <a:srgbClr val="8CB9E2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'% de Alocação da Carteira 02_25'!$B$4:$B$14</c:f>
            </c:strRef>
          </c:cat>
          <c:val>
            <c:numRef>
              <c:f>'% de Alocação da Carteira 02_25'!$E$4:$E$14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5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 i="0" sz="1600">
                <a:solidFill>
                  <a:srgbClr val="757575"/>
                </a:solidFill>
                <a:latin typeface="Arial"/>
              </a:defRPr>
            </a:pPr>
            <a:r>
              <a:rPr b="0" i="0" sz="1600">
                <a:solidFill>
                  <a:srgbClr val="757575"/>
                </a:solidFill>
                <a:latin typeface="Arial"/>
              </a:rPr>
              <a:t>% de Alocações Carteira "Nasser Family" na R.V. por Setor</a:t>
            </a:r>
          </a:p>
        </c:rich>
      </c:tx>
      <c:layout>
        <c:manualLayout>
          <c:xMode val="edge"/>
          <c:yMode val="edge"/>
          <c:x val="0.03356164383561644"/>
          <c:y val="0.06333333333333334"/>
        </c:manualLayout>
      </c:layout>
      <c:overlay val="0"/>
    </c:title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472C4"/>
              </a:solidFill>
            </c:spPr>
          </c:dPt>
          <c:dPt>
            <c:idx val="1"/>
            <c:spPr>
              <a:solidFill>
                <a:srgbClr val="ED7D31"/>
              </a:solidFill>
            </c:spPr>
          </c:dPt>
          <c:dPt>
            <c:idx val="2"/>
            <c:spPr>
              <a:solidFill>
                <a:srgbClr val="A5A5A5"/>
              </a:solidFill>
            </c:spPr>
          </c:dPt>
          <c:dPt>
            <c:idx val="3"/>
            <c:spPr>
              <a:solidFill>
                <a:srgbClr val="FFC000"/>
              </a:solidFill>
            </c:spPr>
          </c:dPt>
          <c:dPt>
            <c:idx val="4"/>
            <c:spPr>
              <a:solidFill>
                <a:srgbClr val="5B9BD5"/>
              </a:solidFill>
            </c:spPr>
          </c:dPt>
          <c:dPt>
            <c:idx val="5"/>
            <c:spPr>
              <a:solidFill>
                <a:srgbClr val="70AD47"/>
              </a:solidFill>
            </c:spPr>
          </c:dPt>
          <c:dPt>
            <c:idx val="6"/>
            <c:spPr>
              <a:solidFill>
                <a:srgbClr val="7C9CD6"/>
              </a:solidFill>
            </c:spPr>
          </c:dPt>
          <c:dPt>
            <c:idx val="7"/>
            <c:spPr>
              <a:solidFill>
                <a:srgbClr val="F2A46F"/>
              </a:solidFill>
            </c:spPr>
          </c:dPt>
          <c:dPt>
            <c:idx val="8"/>
            <c:spPr>
              <a:solidFill>
                <a:srgbClr val="C0C0C0"/>
              </a:solidFill>
            </c:spPr>
          </c:dPt>
          <c:dPt>
            <c:idx val="9"/>
            <c:spPr>
              <a:solidFill>
                <a:srgbClr val="FFD34D"/>
              </a:solidFill>
            </c:spPr>
          </c:dPt>
          <c:dPt>
            <c:idx val="10"/>
            <c:spPr>
              <a:solidFill>
                <a:srgbClr val="8CB9E2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'% de Alocação da Carteira 02_25'!$D$20:$D$32</c:f>
            </c:strRef>
          </c:cat>
          <c:val>
            <c:numRef>
              <c:f>'% de Alocação da Carteira 02_25'!$C$20:$C$30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6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 i="0">
                <a:solidFill>
                  <a:srgbClr val="757575"/>
                </a:solidFill>
                <a:latin typeface="+mn-lt"/>
              </a:defRPr>
            </a:pPr>
            <a:r>
              <a:rPr b="0" i="0">
                <a:solidFill>
                  <a:srgbClr val="757575"/>
                </a:solidFill>
                <a:latin typeface="+mn-lt"/>
              </a:rPr>
              <a:t>Carteira "NF" -ALOCAÇÃO % COMPACTA</a:t>
            </a:r>
          </a:p>
        </c:rich>
      </c:tx>
      <c:overlay val="0"/>
    </c:title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472C4"/>
              </a:solidFill>
            </c:spPr>
          </c:dPt>
          <c:dPt>
            <c:idx val="1"/>
            <c:spPr>
              <a:solidFill>
                <a:srgbClr val="ED7D31"/>
              </a:solidFill>
            </c:spPr>
          </c:dPt>
          <c:dPt>
            <c:idx val="2"/>
            <c:spPr>
              <a:solidFill>
                <a:srgbClr val="A5A5A5"/>
              </a:solidFill>
            </c:spPr>
          </c:dPt>
          <c:dPt>
            <c:idx val="3"/>
            <c:spPr>
              <a:solidFill>
                <a:srgbClr val="FFC000"/>
              </a:solidFill>
            </c:spPr>
          </c:dPt>
          <c:dPt>
            <c:idx val="4"/>
            <c:spPr>
              <a:solidFill>
                <a:srgbClr val="5B9BD5"/>
              </a:solidFill>
            </c:spPr>
          </c:dPt>
          <c:dPt>
            <c:idx val="5"/>
            <c:spPr>
              <a:solidFill>
                <a:srgbClr val="70AD47"/>
              </a:solidFill>
            </c:spPr>
          </c:dPt>
          <c:dPt>
            <c:idx val="6"/>
            <c:spPr>
              <a:solidFill>
                <a:srgbClr val="7C9CD6"/>
              </a:solidFill>
            </c:spPr>
          </c:dPt>
          <c:dPt>
            <c:idx val="7"/>
            <c:spPr>
              <a:solidFill>
                <a:srgbClr val="F2A46F"/>
              </a:solidFill>
            </c:spPr>
          </c:dPt>
          <c:dPt>
            <c:idx val="8"/>
            <c:spPr>
              <a:solidFill>
                <a:srgbClr val="C0C0C0"/>
              </a:solidFill>
            </c:spPr>
          </c:dPt>
          <c:dPt>
            <c:idx val="9"/>
            <c:spPr>
              <a:solidFill>
                <a:srgbClr val="FFD34D"/>
              </a:solidFill>
            </c:spPr>
          </c:dPt>
          <c:dPt>
            <c:idx val="10"/>
            <c:spPr>
              <a:solidFill>
                <a:srgbClr val="8CB9E2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'% de Alocação da Carteira 02_25'!$L$4:$L$14</c:f>
            </c:strRef>
          </c:cat>
          <c:val>
            <c:numRef>
              <c:f>'% de Alocação da Carteira 02_25'!$N$4:$N$14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7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 i="0">
                <a:solidFill>
                  <a:srgbClr val="757575"/>
                </a:solidFill>
                <a:latin typeface="+mn-lt"/>
              </a:defRPr>
            </a:pPr>
            <a:r>
              <a:rPr b="0" i="0">
                <a:solidFill>
                  <a:srgbClr val="757575"/>
                </a:solidFill>
                <a:latin typeface="+mn-lt"/>
              </a:rPr>
              <a:t>Carteira "Nasser Family" </a:t>
            </a:r>
          </a:p>
        </c:rich>
      </c:tx>
      <c:overlay val="0"/>
    </c:title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472C4"/>
              </a:solidFill>
            </c:spPr>
          </c:dPt>
          <c:dPt>
            <c:idx val="1"/>
            <c:spPr>
              <a:solidFill>
                <a:srgbClr val="ED7D31"/>
              </a:solidFill>
            </c:spPr>
          </c:dPt>
          <c:dPt>
            <c:idx val="2"/>
            <c:spPr>
              <a:solidFill>
                <a:srgbClr val="A5A5A5"/>
              </a:solidFill>
            </c:spPr>
          </c:dPt>
          <c:dPt>
            <c:idx val="3"/>
            <c:spPr>
              <a:solidFill>
                <a:srgbClr val="FFC000"/>
              </a:solidFill>
            </c:spPr>
          </c:dPt>
          <c:dPt>
            <c:idx val="4"/>
            <c:spPr>
              <a:solidFill>
                <a:srgbClr val="5B9BD5"/>
              </a:solidFill>
            </c:spPr>
          </c:dPt>
          <c:dPt>
            <c:idx val="5"/>
            <c:spPr>
              <a:solidFill>
                <a:srgbClr val="70AD47"/>
              </a:solidFill>
            </c:spPr>
          </c:dPt>
          <c:dPt>
            <c:idx val="6"/>
            <c:spPr>
              <a:solidFill>
                <a:srgbClr val="7C9CD6"/>
              </a:solidFill>
            </c:spPr>
          </c:dPt>
          <c:dPt>
            <c:idx val="7"/>
            <c:spPr>
              <a:solidFill>
                <a:srgbClr val="F2A46F"/>
              </a:solidFill>
            </c:spPr>
          </c:dPt>
          <c:dPt>
            <c:idx val="8"/>
            <c:spPr>
              <a:solidFill>
                <a:srgbClr val="C0C0C0"/>
              </a:solidFill>
            </c:spPr>
          </c:dPt>
          <c:dPt>
            <c:idx val="9"/>
            <c:spPr>
              <a:solidFill>
                <a:srgbClr val="FFD34D"/>
              </a:solidFill>
            </c:spPr>
          </c:dPt>
          <c:dPt>
            <c:idx val="10"/>
            <c:spPr>
              <a:solidFill>
                <a:srgbClr val="8CB9E2"/>
              </a:solidFill>
            </c:spPr>
          </c:dPt>
          <c:dLbls>
            <c:dLbl>
              <c:idx val="7"/>
              <c:txPr>
                <a:bodyPr/>
                <a:lstStyle/>
                <a:p>
                  <a:pPr lvl="0">
                    <a:defRPr b="1" i="0" sz="1000">
                      <a:latin typeface="serif"/>
                    </a:defRPr>
                  </a:pPr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8"/>
              <c:txPr>
                <a:bodyPr/>
                <a:lstStyle/>
                <a:p>
                  <a:pPr lvl="0">
                    <a:defRPr b="1" i="0" sz="800">
                      <a:latin typeface="serif"/>
                    </a:defRPr>
                  </a:pPr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9"/>
              <c:txPr>
                <a:bodyPr/>
                <a:lstStyle/>
                <a:p>
                  <a:pPr lvl="0">
                    <a:defRPr b="1" i="0" sz="700">
                      <a:latin typeface="serif"/>
                    </a:defRPr>
                  </a:pPr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10"/>
              <c:txPr>
                <a:bodyPr/>
                <a:lstStyle/>
                <a:p>
                  <a:pPr lvl="0">
                    <a:defRPr b="1" i="0" sz="700">
                      <a:latin typeface="serif"/>
                    </a:defRPr>
                  </a:pPr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</c:dLbl>
            <c:showLegendKey val="0"/>
            <c:showVal val="0"/>
            <c:showCatName val="1"/>
            <c:showSerName val="0"/>
            <c:showPercent val="0"/>
            <c:showBubbleSize val="0"/>
            <c:showLeaderLines val="1"/>
          </c:dLbls>
          <c:cat>
            <c:strRef>
              <c:f>'Alocação da Carteira 04_25'!$B$4:$B$14</c:f>
            </c:strRef>
          </c:cat>
          <c:val>
            <c:numRef>
              <c:f>'Alocação da Carteira 04_25'!$E$4:$E$14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serif"/>
            </a:defRPr>
          </a:pPr>
        </a:p>
      </c:txPr>
    </c:legend>
    <c:plotVisOnly val="1"/>
  </c:chart>
</c:chartSpace>
</file>

<file path=xl/charts/chart8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 i="0" sz="1600">
                <a:solidFill>
                  <a:srgbClr val="757575"/>
                </a:solidFill>
                <a:latin typeface="Arial"/>
              </a:defRPr>
            </a:pPr>
            <a:r>
              <a:rPr b="0" i="0" sz="1600">
                <a:solidFill>
                  <a:srgbClr val="757575"/>
                </a:solidFill>
                <a:latin typeface="Arial"/>
              </a:rPr>
              <a:t>% de Alocações Carteira "Nasser Family" na R. V. por Setor</a:t>
            </a:r>
          </a:p>
        </c:rich>
      </c:tx>
      <c:layout>
        <c:manualLayout>
          <c:xMode val="edge"/>
          <c:yMode val="edge"/>
          <c:x val="0.03356164383561644"/>
          <c:y val="0.06333333333333334"/>
        </c:manualLayout>
      </c:layout>
      <c:overlay val="0"/>
    </c:title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472C4"/>
              </a:solidFill>
            </c:spPr>
          </c:dPt>
          <c:dPt>
            <c:idx val="1"/>
            <c:spPr>
              <a:solidFill>
                <a:srgbClr val="ED7D31"/>
              </a:solidFill>
            </c:spPr>
          </c:dPt>
          <c:dPt>
            <c:idx val="2"/>
            <c:spPr>
              <a:solidFill>
                <a:srgbClr val="A5A5A5"/>
              </a:solidFill>
            </c:spPr>
          </c:dPt>
          <c:dPt>
            <c:idx val="3"/>
            <c:spPr>
              <a:solidFill>
                <a:srgbClr val="FFC000"/>
              </a:solidFill>
            </c:spPr>
          </c:dPt>
          <c:dPt>
            <c:idx val="4"/>
            <c:spPr>
              <a:solidFill>
                <a:srgbClr val="5B9BD5"/>
              </a:solidFill>
            </c:spPr>
          </c:dPt>
          <c:dPt>
            <c:idx val="5"/>
            <c:spPr>
              <a:solidFill>
                <a:srgbClr val="70AD47"/>
              </a:solidFill>
            </c:spPr>
          </c:dPt>
          <c:dPt>
            <c:idx val="6"/>
            <c:spPr>
              <a:solidFill>
                <a:srgbClr val="7C9CD6"/>
              </a:solidFill>
            </c:spPr>
          </c:dPt>
          <c:dPt>
            <c:idx val="7"/>
            <c:spPr>
              <a:solidFill>
                <a:srgbClr val="F2A46F"/>
              </a:solidFill>
            </c:spPr>
          </c:dPt>
          <c:dPt>
            <c:idx val="8"/>
            <c:spPr>
              <a:solidFill>
                <a:srgbClr val="C0C0C0"/>
              </a:solidFill>
            </c:spPr>
          </c:dPt>
          <c:dPt>
            <c:idx val="9"/>
            <c:spPr>
              <a:solidFill>
                <a:srgbClr val="FFD34D"/>
              </a:solidFill>
            </c:spPr>
          </c:dPt>
          <c:dPt>
            <c:idx val="10"/>
            <c:spPr>
              <a:solidFill>
                <a:srgbClr val="8CB9E2"/>
              </a:solidFill>
            </c:spPr>
          </c:dPt>
          <c:dPt>
            <c:idx val="11"/>
            <c:spPr>
              <a:solidFill>
                <a:srgbClr val="9BC67E"/>
              </a:solidFill>
            </c:spPr>
          </c:dPt>
          <c:dPt>
            <c:idx val="12"/>
            <c:spPr>
              <a:solidFill>
                <a:srgbClr val="B4C7E7"/>
              </a:solidFill>
            </c:spPr>
          </c:dPt>
          <c:dLbls>
            <c:showLegendKey val="0"/>
            <c:showVal val="0"/>
            <c:showCatName val="1"/>
            <c:showSerName val="0"/>
            <c:showPercent val="0"/>
            <c:showBubbleSize val="0"/>
            <c:showLeaderLines val="1"/>
          </c:dLbls>
          <c:cat>
            <c:strRef>
              <c:f>'Alocação da Carteira 04_25'!$D$20:$D$32</c:f>
            </c:strRef>
          </c:cat>
          <c:val>
            <c:numRef>
              <c:f>'Alocação da Carteira 04_25'!$C$20:$C$32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9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 i="0">
                <a:solidFill>
                  <a:srgbClr val="757575"/>
                </a:solidFill>
                <a:latin typeface="+mn-lt"/>
              </a:defRPr>
            </a:pPr>
            <a:r>
              <a:rPr b="0" i="0">
                <a:solidFill>
                  <a:srgbClr val="757575"/>
                </a:solidFill>
                <a:latin typeface="+mn-lt"/>
              </a:rPr>
              <a:t>Carteira "NF" -ALOCAÇÃO % COMPACTA</a:t>
            </a:r>
          </a:p>
        </c:rich>
      </c:tx>
      <c:overlay val="0"/>
    </c:title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472C4"/>
              </a:solidFill>
            </c:spPr>
          </c:dPt>
          <c:dPt>
            <c:idx val="1"/>
            <c:spPr>
              <a:solidFill>
                <a:srgbClr val="ED7D31"/>
              </a:solidFill>
            </c:spPr>
          </c:dPt>
          <c:dPt>
            <c:idx val="2"/>
            <c:spPr>
              <a:solidFill>
                <a:srgbClr val="A5A5A5"/>
              </a:solidFill>
            </c:spPr>
          </c:dPt>
          <c:dPt>
            <c:idx val="3"/>
            <c:spPr>
              <a:solidFill>
                <a:srgbClr val="FFC000"/>
              </a:solidFill>
            </c:spPr>
          </c:dPt>
          <c:dPt>
            <c:idx val="4"/>
            <c:spPr>
              <a:solidFill>
                <a:srgbClr val="5B9BD5"/>
              </a:solidFill>
            </c:spPr>
          </c:dPt>
          <c:dPt>
            <c:idx val="5"/>
            <c:spPr>
              <a:solidFill>
                <a:srgbClr val="70AD47"/>
              </a:solidFill>
            </c:spPr>
          </c:dPt>
          <c:dPt>
            <c:idx val="6"/>
            <c:spPr>
              <a:solidFill>
                <a:srgbClr val="7C9CD6"/>
              </a:solidFill>
            </c:spPr>
          </c:dPt>
          <c:dPt>
            <c:idx val="7"/>
            <c:spPr>
              <a:solidFill>
                <a:srgbClr val="F2A46F"/>
              </a:solidFill>
            </c:spPr>
          </c:dPt>
          <c:dPt>
            <c:idx val="8"/>
            <c:spPr>
              <a:solidFill>
                <a:srgbClr val="C0C0C0"/>
              </a:solidFill>
            </c:spPr>
          </c:dPt>
          <c:dPt>
            <c:idx val="9"/>
            <c:spPr>
              <a:solidFill>
                <a:srgbClr val="FFD34D"/>
              </a:solidFill>
            </c:spPr>
          </c:dPt>
          <c:dPt>
            <c:idx val="10"/>
            <c:spPr>
              <a:solidFill>
                <a:srgbClr val="8CB9E2"/>
              </a:solidFill>
            </c:spPr>
          </c:dPt>
          <c:dLbls>
            <c:dLbl>
              <c:idx val="3"/>
              <c:txPr>
                <a:bodyPr/>
                <a:lstStyle/>
                <a:p>
                  <a:pPr lvl="0">
                    <a:defRPr b="1" i="0">
                      <a:latin typeface="serif"/>
                    </a:defRPr>
                  </a:pPr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4"/>
              <c:txPr>
                <a:bodyPr/>
                <a:lstStyle/>
                <a:p>
                  <a:pPr lvl="0">
                    <a:defRPr b="1" i="0">
                      <a:latin typeface="serif"/>
                    </a:defRPr>
                  </a:pPr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10"/>
              <c:txPr>
                <a:bodyPr/>
                <a:lstStyle/>
                <a:p>
                  <a:pPr lvl="0">
                    <a:defRPr b="1" i="0">
                      <a:latin typeface="serif"/>
                    </a:defRPr>
                  </a:pPr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</c:dLbl>
            <c:showLegendKey val="0"/>
            <c:showVal val="0"/>
            <c:showCatName val="1"/>
            <c:showSerName val="0"/>
            <c:showPercent val="0"/>
            <c:showBubbleSize val="0"/>
            <c:showLeaderLines val="1"/>
          </c:dLbls>
          <c:cat>
            <c:strRef>
              <c:f>'Alocação da Carteira 04_25'!$L$4:$L$14</c:f>
            </c:strRef>
          </c:cat>
          <c:val>
            <c:numRef>
              <c:f>'Alocação da Carteira 04_25'!$N$4:$N$14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10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 i="0">
                <a:solidFill>
                  <a:srgbClr val="757575"/>
                </a:solidFill>
                <a:latin typeface="+mn-lt"/>
              </a:defRPr>
            </a:pPr>
            <a:r>
              <a:rPr b="0" i="0">
                <a:solidFill>
                  <a:srgbClr val="757575"/>
                </a:solidFill>
                <a:latin typeface="+mn-lt"/>
              </a:rPr>
              <a:t>Carteira "Nasser Family" </a:t>
            </a:r>
          </a:p>
        </c:rich>
      </c:tx>
      <c:overlay val="0"/>
    </c:title>
    <c:view3D>
      <c:rotX val="50"/>
      <c:perspective val="0"/>
    </c:view3D>
    <c:plotArea>
      <c:layout>
        <c:manualLayout>
          <c:xMode val="edge"/>
          <c:yMode val="edge"/>
          <c:x val="0.0279352226720648"/>
          <c:y val="0.11413043478260869"/>
          <c:w val="0.6289765203272604"/>
          <c:h val="0.8623188405797102"/>
        </c:manualLayout>
      </c:layout>
      <c:pie3DChart>
        <c:varyColors val="1"/>
        <c:ser>
          <c:idx val="0"/>
          <c:order val="0"/>
          <c:dPt>
            <c:idx val="0"/>
            <c:spPr>
              <a:solidFill>
                <a:srgbClr val="4472C4"/>
              </a:solidFill>
            </c:spPr>
          </c:dPt>
          <c:dPt>
            <c:idx val="1"/>
            <c:spPr>
              <a:solidFill>
                <a:srgbClr val="ED7D31"/>
              </a:solidFill>
            </c:spPr>
          </c:dPt>
          <c:dPt>
            <c:idx val="2"/>
            <c:spPr>
              <a:solidFill>
                <a:srgbClr val="A5A5A5"/>
              </a:solidFill>
            </c:spPr>
          </c:dPt>
          <c:dPt>
            <c:idx val="3"/>
            <c:spPr>
              <a:solidFill>
                <a:srgbClr val="FFC000"/>
              </a:solidFill>
            </c:spPr>
          </c:dPt>
          <c:dPt>
            <c:idx val="4"/>
            <c:spPr>
              <a:solidFill>
                <a:srgbClr val="5B9BD5"/>
              </a:solidFill>
            </c:spPr>
          </c:dPt>
          <c:dPt>
            <c:idx val="5"/>
            <c:spPr>
              <a:solidFill>
                <a:srgbClr val="70AD47"/>
              </a:solidFill>
            </c:spPr>
          </c:dPt>
          <c:dPt>
            <c:idx val="6"/>
            <c:spPr>
              <a:solidFill>
                <a:srgbClr val="7C9CD6"/>
              </a:solidFill>
            </c:spPr>
          </c:dPt>
          <c:dPt>
            <c:idx val="7"/>
            <c:spPr>
              <a:solidFill>
                <a:srgbClr val="F2A46F"/>
              </a:solidFill>
            </c:spPr>
          </c:dPt>
          <c:dPt>
            <c:idx val="8"/>
            <c:spPr>
              <a:solidFill>
                <a:srgbClr val="C0C0C0"/>
              </a:solidFill>
            </c:spPr>
          </c:dPt>
          <c:dPt>
            <c:idx val="9"/>
            <c:spPr>
              <a:solidFill>
                <a:srgbClr val="FFD34D"/>
              </a:solidFill>
            </c:spPr>
          </c:dPt>
          <c:dPt>
            <c:idx val="10"/>
            <c:spPr>
              <a:solidFill>
                <a:srgbClr val="8CB9E2"/>
              </a:solidFill>
            </c:spPr>
          </c:dPt>
          <c:dLbls>
            <c:dLbl>
              <c:idx val="8"/>
              <c:txPr>
                <a:bodyPr/>
                <a:lstStyle/>
                <a:p>
                  <a:pPr lvl="0">
                    <a:defRPr b="1" i="0" sz="1000"/>
                  </a:pPr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</c:dLbl>
            <c:showLegendKey val="0"/>
            <c:showVal val="0"/>
            <c:showCatName val="1"/>
            <c:showSerName val="0"/>
            <c:showPercent val="0"/>
            <c:showBubbleSize val="0"/>
            <c:showLeaderLines val="1"/>
          </c:dLbls>
          <c:cat>
            <c:strRef>
              <c:f>'% de Alocação da Carteira 03_25'!$B$4:$B$14</c:f>
            </c:strRef>
          </c:cat>
          <c:val>
            <c:numRef>
              <c:f>'% de Alocação da Carteira 03_25'!$E$4:$E$14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1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 i="0" sz="1600">
                <a:solidFill>
                  <a:srgbClr val="757575"/>
                </a:solidFill>
                <a:latin typeface="Arial"/>
              </a:defRPr>
            </a:pPr>
            <a:r>
              <a:rPr b="0" i="0" sz="1600">
                <a:solidFill>
                  <a:srgbClr val="757575"/>
                </a:solidFill>
                <a:latin typeface="Arial"/>
              </a:rPr>
              <a:t>% de Alocações Carteira "Nasser Family" na R. V. por Setor</a:t>
            </a:r>
          </a:p>
        </c:rich>
      </c:tx>
      <c:layout>
        <c:manualLayout>
          <c:xMode val="edge"/>
          <c:yMode val="edge"/>
          <c:x val="0.03356164383561644"/>
          <c:y val="0.06333333333333334"/>
        </c:manualLayout>
      </c:layout>
      <c:overlay val="0"/>
    </c:title>
    <c:view3D>
      <c:rotX val="50"/>
      <c:perspective val="0"/>
    </c:view3D>
    <c:plotArea>
      <c:layout>
        <c:manualLayout>
          <c:xMode val="edge"/>
          <c:yMode val="edge"/>
          <c:x val="0.016355140186915893"/>
          <c:y val="0.12857142857142856"/>
          <c:w val="0.5623301187772275"/>
          <c:h val="0.8214285714285714"/>
        </c:manualLayout>
      </c:layout>
      <c:pie3DChart>
        <c:varyColors val="1"/>
        <c:ser>
          <c:idx val="0"/>
          <c:order val="0"/>
          <c:dPt>
            <c:idx val="0"/>
            <c:spPr>
              <a:solidFill>
                <a:srgbClr val="4472C4"/>
              </a:solidFill>
            </c:spPr>
          </c:dPt>
          <c:dPt>
            <c:idx val="1"/>
            <c:spPr>
              <a:solidFill>
                <a:srgbClr val="ED7D31"/>
              </a:solidFill>
            </c:spPr>
          </c:dPt>
          <c:dPt>
            <c:idx val="2"/>
            <c:spPr>
              <a:solidFill>
                <a:srgbClr val="A5A5A5"/>
              </a:solidFill>
            </c:spPr>
          </c:dPt>
          <c:dPt>
            <c:idx val="3"/>
            <c:spPr>
              <a:solidFill>
                <a:srgbClr val="FFC000"/>
              </a:solidFill>
            </c:spPr>
          </c:dPt>
          <c:dPt>
            <c:idx val="4"/>
            <c:spPr>
              <a:solidFill>
                <a:srgbClr val="5B9BD5"/>
              </a:solidFill>
            </c:spPr>
          </c:dPt>
          <c:dPt>
            <c:idx val="5"/>
            <c:spPr>
              <a:solidFill>
                <a:srgbClr val="70AD47"/>
              </a:solidFill>
            </c:spPr>
          </c:dPt>
          <c:dPt>
            <c:idx val="6"/>
            <c:spPr>
              <a:solidFill>
                <a:srgbClr val="7C9CD6"/>
              </a:solidFill>
            </c:spPr>
          </c:dPt>
          <c:dPt>
            <c:idx val="7"/>
            <c:spPr>
              <a:solidFill>
                <a:srgbClr val="F2A46F"/>
              </a:solidFill>
            </c:spPr>
          </c:dPt>
          <c:dPt>
            <c:idx val="8"/>
            <c:spPr>
              <a:solidFill>
                <a:srgbClr val="C0C0C0"/>
              </a:solidFill>
            </c:spPr>
          </c:dPt>
          <c:dPt>
            <c:idx val="9"/>
            <c:spPr>
              <a:solidFill>
                <a:srgbClr val="FFD34D"/>
              </a:solidFill>
            </c:spPr>
          </c:dPt>
          <c:dPt>
            <c:idx val="10"/>
            <c:spPr>
              <a:solidFill>
                <a:srgbClr val="8CB9E2"/>
              </a:solidFill>
            </c:spPr>
          </c:dPt>
          <c:dPt>
            <c:idx val="11"/>
            <c:spPr>
              <a:solidFill>
                <a:srgbClr val="9BC67E"/>
              </a:solidFill>
            </c:spPr>
          </c:dPt>
          <c:dPt>
            <c:idx val="12"/>
            <c:spPr>
              <a:solidFill>
                <a:srgbClr val="B4C7E7"/>
              </a:solidFill>
            </c:spPr>
          </c:dPt>
          <c:dLbls>
            <c:dLbl>
              <c:idx val="0"/>
              <c:txPr>
                <a:bodyPr/>
                <a:lstStyle/>
                <a:p>
                  <a:pPr lvl="0">
                    <a:defRPr b="1" i="0" sz="800"/>
                  </a:pPr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2"/>
              <c:txPr>
                <a:bodyPr/>
                <a:lstStyle/>
                <a:p>
                  <a:pPr lvl="0">
                    <a:defRPr b="1" i="0" sz="800"/>
                  </a:pPr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6"/>
              <c:txPr>
                <a:bodyPr/>
                <a:lstStyle/>
                <a:p>
                  <a:pPr lvl="0">
                    <a:defRPr b="1" i="0" sz="800"/>
                  </a:pPr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</c:dLbl>
            <c:showLegendKey val="0"/>
            <c:showVal val="0"/>
            <c:showCatName val="1"/>
            <c:showSerName val="0"/>
            <c:showPercent val="0"/>
            <c:showBubbleSize val="0"/>
            <c:showLeaderLines val="1"/>
          </c:dLbls>
          <c:cat>
            <c:strRef>
              <c:f>'% de Alocação da Carteira 03_25'!$D$20:$D$32</c:f>
            </c:strRef>
          </c:cat>
          <c:val>
            <c:numRef>
              <c:f>'% de Alocação da Carteira 03_25'!$C$20:$C$32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layout>
        <c:manualLayout>
          <c:xMode val="edge"/>
          <c:yMode val="edge"/>
          <c:x val="0.585402025927768"/>
          <c:y val="0.30873015873015874"/>
        </c:manualLayout>
      </c:layout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Arial"/>
            </a:defRPr>
          </a:pPr>
        </a:p>
      </c:txPr>
    </c:legend>
    <c:plotVisOnly val="1"/>
  </c:chart>
</c:chartSpace>
</file>

<file path=xl/charts/chart1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 i="0">
                <a:solidFill>
                  <a:srgbClr val="757575"/>
                </a:solidFill>
                <a:latin typeface="+mn-lt"/>
              </a:defRPr>
            </a:pPr>
            <a:r>
              <a:rPr b="0" i="0">
                <a:solidFill>
                  <a:srgbClr val="757575"/>
                </a:solidFill>
                <a:latin typeface="+mn-lt"/>
              </a:rPr>
              <a:t>Carteira "NF" -ALOCAÇÃO % COMPACTA</a:t>
            </a:r>
          </a:p>
        </c:rich>
      </c:tx>
      <c:overlay val="0"/>
    </c:title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472C4"/>
              </a:solidFill>
            </c:spPr>
          </c:dPt>
          <c:dPt>
            <c:idx val="1"/>
            <c:spPr>
              <a:solidFill>
                <a:srgbClr val="ED7D31"/>
              </a:solidFill>
            </c:spPr>
          </c:dPt>
          <c:dPt>
            <c:idx val="2"/>
            <c:spPr>
              <a:solidFill>
                <a:srgbClr val="A5A5A5"/>
              </a:solidFill>
            </c:spPr>
          </c:dPt>
          <c:dPt>
            <c:idx val="3"/>
            <c:spPr>
              <a:solidFill>
                <a:srgbClr val="FFC000"/>
              </a:solidFill>
            </c:spPr>
          </c:dPt>
          <c:dPt>
            <c:idx val="4"/>
            <c:spPr>
              <a:solidFill>
                <a:srgbClr val="5B9BD5"/>
              </a:solidFill>
            </c:spPr>
          </c:dPt>
          <c:dPt>
            <c:idx val="5"/>
            <c:spPr>
              <a:solidFill>
                <a:srgbClr val="70AD47"/>
              </a:solidFill>
            </c:spPr>
          </c:dPt>
          <c:dPt>
            <c:idx val="6"/>
            <c:spPr>
              <a:solidFill>
                <a:srgbClr val="7C9CD6"/>
              </a:solidFill>
            </c:spPr>
          </c:dPt>
          <c:dPt>
            <c:idx val="7"/>
            <c:spPr>
              <a:solidFill>
                <a:srgbClr val="F2A46F"/>
              </a:solidFill>
            </c:spPr>
          </c:dPt>
          <c:dPt>
            <c:idx val="8"/>
            <c:spPr>
              <a:solidFill>
                <a:srgbClr val="C0C0C0"/>
              </a:solidFill>
            </c:spPr>
          </c:dPt>
          <c:dPt>
            <c:idx val="9"/>
            <c:spPr>
              <a:solidFill>
                <a:srgbClr val="FFD34D"/>
              </a:solidFill>
            </c:spPr>
          </c:dPt>
          <c:dPt>
            <c:idx val="10"/>
            <c:spPr>
              <a:solidFill>
                <a:srgbClr val="8CB9E2"/>
              </a:solidFill>
            </c:spPr>
          </c:dPt>
          <c:dLbls>
            <c:showLegendKey val="0"/>
            <c:showVal val="0"/>
            <c:showCatName val="1"/>
            <c:showSerName val="0"/>
            <c:showPercent val="0"/>
            <c:showBubbleSize val="0"/>
            <c:showLeaderLines val="1"/>
          </c:dLbls>
          <c:cat>
            <c:strRef>
              <c:f>'% de Alocação da Carteira 03_25'!$L$4:$L$14</c:f>
            </c:strRef>
          </c:cat>
          <c:val>
            <c:numRef>
              <c:f>'% de Alocação da Carteira 03_25'!$N$4:$N$14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1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 i="0">
                <a:solidFill>
                  <a:srgbClr val="757575"/>
                </a:solidFill>
                <a:latin typeface="+mn-lt"/>
              </a:defRPr>
            </a:pPr>
            <a:r>
              <a:rPr b="0" i="0">
                <a:solidFill>
                  <a:srgbClr val="757575"/>
                </a:solidFill>
                <a:latin typeface="+mn-lt"/>
              </a:rPr>
              <a:t>Carteira "Nasser Family" </a:t>
            </a:r>
          </a:p>
        </c:rich>
      </c:tx>
      <c:overlay val="0"/>
    </c:title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472C4"/>
              </a:solidFill>
            </c:spPr>
          </c:dPt>
          <c:dPt>
            <c:idx val="1"/>
            <c:spPr>
              <a:solidFill>
                <a:srgbClr val="ED7D31"/>
              </a:solidFill>
            </c:spPr>
          </c:dPt>
          <c:dPt>
            <c:idx val="2"/>
            <c:spPr>
              <a:solidFill>
                <a:srgbClr val="A5A5A5"/>
              </a:solidFill>
            </c:spPr>
          </c:dPt>
          <c:dPt>
            <c:idx val="3"/>
            <c:spPr>
              <a:solidFill>
                <a:srgbClr val="FFC000"/>
              </a:solidFill>
            </c:spPr>
          </c:dPt>
          <c:dPt>
            <c:idx val="4"/>
            <c:spPr>
              <a:solidFill>
                <a:srgbClr val="5B9BD5"/>
              </a:solidFill>
            </c:spPr>
          </c:dPt>
          <c:dPt>
            <c:idx val="5"/>
            <c:spPr>
              <a:solidFill>
                <a:srgbClr val="70AD47"/>
              </a:solidFill>
            </c:spPr>
          </c:dPt>
          <c:dPt>
            <c:idx val="6"/>
            <c:spPr>
              <a:solidFill>
                <a:srgbClr val="7C9CD6"/>
              </a:solidFill>
            </c:spPr>
          </c:dPt>
          <c:dPt>
            <c:idx val="7"/>
            <c:spPr>
              <a:solidFill>
                <a:srgbClr val="F2A46F"/>
              </a:solidFill>
            </c:spPr>
          </c:dPt>
          <c:dPt>
            <c:idx val="8"/>
            <c:spPr>
              <a:solidFill>
                <a:srgbClr val="C0C0C0"/>
              </a:solidFill>
            </c:spPr>
          </c:dPt>
          <c:dPt>
            <c:idx val="9"/>
            <c:spPr>
              <a:solidFill>
                <a:srgbClr val="FFD34D"/>
              </a:solidFill>
            </c:spPr>
          </c:dPt>
          <c:dPt>
            <c:idx val="10"/>
            <c:spPr>
              <a:solidFill>
                <a:srgbClr val="8CB9E2"/>
              </a:solidFill>
            </c:spPr>
          </c:dPt>
          <c:dLbls>
            <c:dLbl>
              <c:idx val="7"/>
              <c:txPr>
                <a:bodyPr/>
                <a:lstStyle/>
                <a:p>
                  <a:pPr lvl="0">
                    <a:defRPr b="1" i="0" sz="1000">
                      <a:latin typeface="serif"/>
                    </a:defRPr>
                  </a:pPr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8"/>
              <c:txPr>
                <a:bodyPr/>
                <a:lstStyle/>
                <a:p>
                  <a:pPr lvl="0">
                    <a:defRPr b="1" i="0" sz="800">
                      <a:latin typeface="serif"/>
                    </a:defRPr>
                  </a:pPr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</c:dLbl>
            <c:showLegendKey val="0"/>
            <c:showVal val="0"/>
            <c:showCatName val="1"/>
            <c:showSerName val="0"/>
            <c:showPercent val="0"/>
            <c:showBubbleSize val="0"/>
            <c:showLeaderLines val="1"/>
          </c:dLbls>
          <c:cat>
            <c:strRef>
              <c:f>'% de Alocação da Carteira 05_25'!$B$4:$B$14</c:f>
            </c:strRef>
          </c:cat>
          <c:val>
            <c:numRef>
              <c:f>'% de Alocação da Carteira 05_25'!$E$4:$E$14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layout>
        <c:manualLayout>
          <c:xMode val="edge"/>
          <c:yMode val="edge"/>
          <c:x val="0.653883495145631"/>
          <c:y val="0.15"/>
        </c:manualLayout>
      </c:layout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serif"/>
            </a:defRPr>
          </a:pPr>
        </a:p>
      </c:txPr>
    </c:legend>
    <c:plotVisOnly val="1"/>
  </c:chart>
</c:chartSpace>
</file>

<file path=xl/charts/chart1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 i="0" sz="1600">
                <a:solidFill>
                  <a:srgbClr val="757575"/>
                </a:solidFill>
                <a:latin typeface="Arial"/>
              </a:defRPr>
            </a:pPr>
            <a:r>
              <a:rPr b="0" i="0" sz="1600">
                <a:solidFill>
                  <a:srgbClr val="757575"/>
                </a:solidFill>
                <a:latin typeface="Arial"/>
              </a:rPr>
              <a:t>% de Alocações Carteira "Nasser Family" na R. V. por Setor</a:t>
            </a:r>
          </a:p>
        </c:rich>
      </c:tx>
      <c:layout>
        <c:manualLayout>
          <c:xMode val="edge"/>
          <c:yMode val="edge"/>
          <c:x val="0.03356164383561644"/>
          <c:y val="0.06333333333333334"/>
        </c:manualLayout>
      </c:layout>
      <c:overlay val="0"/>
    </c:title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472C4"/>
              </a:solidFill>
            </c:spPr>
          </c:dPt>
          <c:dPt>
            <c:idx val="1"/>
            <c:spPr>
              <a:solidFill>
                <a:srgbClr val="ED7D31"/>
              </a:solidFill>
            </c:spPr>
          </c:dPt>
          <c:dPt>
            <c:idx val="2"/>
            <c:spPr>
              <a:solidFill>
                <a:srgbClr val="A5A5A5"/>
              </a:solidFill>
            </c:spPr>
          </c:dPt>
          <c:dPt>
            <c:idx val="3"/>
            <c:spPr>
              <a:solidFill>
                <a:srgbClr val="FFC000"/>
              </a:solidFill>
            </c:spPr>
          </c:dPt>
          <c:dPt>
            <c:idx val="4"/>
            <c:spPr>
              <a:solidFill>
                <a:srgbClr val="5B9BD5"/>
              </a:solidFill>
            </c:spPr>
          </c:dPt>
          <c:dPt>
            <c:idx val="5"/>
            <c:spPr>
              <a:solidFill>
                <a:srgbClr val="70AD47"/>
              </a:solidFill>
            </c:spPr>
          </c:dPt>
          <c:dPt>
            <c:idx val="6"/>
            <c:spPr>
              <a:solidFill>
                <a:srgbClr val="7C9CD6"/>
              </a:solidFill>
            </c:spPr>
          </c:dPt>
          <c:dPt>
            <c:idx val="7"/>
            <c:spPr>
              <a:solidFill>
                <a:srgbClr val="F2A46F"/>
              </a:solidFill>
            </c:spPr>
          </c:dPt>
          <c:dPt>
            <c:idx val="8"/>
            <c:spPr>
              <a:solidFill>
                <a:srgbClr val="C0C0C0"/>
              </a:solidFill>
            </c:spPr>
          </c:dPt>
          <c:dPt>
            <c:idx val="9"/>
            <c:spPr>
              <a:solidFill>
                <a:srgbClr val="FFD34D"/>
              </a:solidFill>
            </c:spPr>
          </c:dPt>
          <c:dPt>
            <c:idx val="10"/>
            <c:spPr>
              <a:solidFill>
                <a:srgbClr val="8CB9E2"/>
              </a:solidFill>
            </c:spPr>
          </c:dPt>
          <c:dPt>
            <c:idx val="11"/>
            <c:spPr>
              <a:solidFill>
                <a:srgbClr val="9BC67E"/>
              </a:solidFill>
            </c:spPr>
          </c:dPt>
          <c:dPt>
            <c:idx val="12"/>
            <c:spPr>
              <a:solidFill>
                <a:srgbClr val="B4C7E7"/>
              </a:solidFill>
            </c:spPr>
          </c:dPt>
          <c:dLbls>
            <c:showLegendKey val="0"/>
            <c:showVal val="0"/>
            <c:showCatName val="1"/>
            <c:showSerName val="0"/>
            <c:showPercent val="0"/>
            <c:showBubbleSize val="0"/>
            <c:showLeaderLines val="1"/>
          </c:dLbls>
          <c:cat>
            <c:strRef>
              <c:f>'% de Alocação da Carteira 05_25'!$D$20:$D$32</c:f>
            </c:strRef>
          </c:cat>
          <c:val>
            <c:numRef>
              <c:f>'% de Alocação da Carteira 05_25'!$C$20:$C$32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15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 i="0">
                <a:solidFill>
                  <a:srgbClr val="757575"/>
                </a:solidFill>
                <a:latin typeface="+mn-lt"/>
              </a:defRPr>
            </a:pPr>
            <a:r>
              <a:rPr b="0" i="0">
                <a:solidFill>
                  <a:srgbClr val="757575"/>
                </a:solidFill>
                <a:latin typeface="+mn-lt"/>
              </a:rPr>
              <a:t>Carteira "NF" -ALOCAÇÃO % COMPACTA</a:t>
            </a:r>
          </a:p>
        </c:rich>
      </c:tx>
      <c:overlay val="0"/>
    </c:title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472C4"/>
              </a:solidFill>
            </c:spPr>
          </c:dPt>
          <c:dPt>
            <c:idx val="1"/>
            <c:spPr>
              <a:solidFill>
                <a:srgbClr val="ED7D31"/>
              </a:solidFill>
            </c:spPr>
          </c:dPt>
          <c:dPt>
            <c:idx val="2"/>
            <c:spPr>
              <a:solidFill>
                <a:srgbClr val="A5A5A5"/>
              </a:solidFill>
            </c:spPr>
          </c:dPt>
          <c:dPt>
            <c:idx val="3"/>
            <c:spPr>
              <a:solidFill>
                <a:srgbClr val="FFC000"/>
              </a:solidFill>
            </c:spPr>
          </c:dPt>
          <c:dPt>
            <c:idx val="4"/>
            <c:spPr>
              <a:solidFill>
                <a:srgbClr val="5B9BD5"/>
              </a:solidFill>
            </c:spPr>
          </c:dPt>
          <c:dPt>
            <c:idx val="5"/>
            <c:spPr>
              <a:solidFill>
                <a:srgbClr val="70AD47"/>
              </a:solidFill>
            </c:spPr>
          </c:dPt>
          <c:dPt>
            <c:idx val="6"/>
          </c:dPt>
          <c:dPt>
            <c:idx val="7"/>
          </c:dPt>
          <c:dPt>
            <c:idx val="8"/>
          </c:dPt>
          <c:dPt>
            <c:idx val="9"/>
          </c:dPt>
          <c:dPt>
            <c:idx val="10"/>
          </c:dPt>
          <c:dLbls>
            <c:dLbl>
              <c:idx val="3"/>
              <c:txPr>
                <a:bodyPr/>
                <a:lstStyle/>
                <a:p>
                  <a:pPr lvl="0">
                    <a:defRPr b="1" i="0">
                      <a:latin typeface="serif"/>
                    </a:defRPr>
                  </a:pPr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</c:dLbl>
            <c:showLegendKey val="0"/>
            <c:showVal val="0"/>
            <c:showCatName val="1"/>
            <c:showSerName val="0"/>
            <c:showPercent val="0"/>
            <c:showBubbleSize val="0"/>
            <c:showLeaderLines val="1"/>
          </c:dLbls>
          <c:cat>
            <c:strRef>
              <c:f>'% de Alocação da Carteira 05_25'!$L$4:$L$14</c:f>
            </c:strRef>
          </c:cat>
          <c:val>
            <c:numRef>
              <c:f>'% de Alocação da Carteira 05_25'!$N$4:$N$14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layout>
        <c:manualLayout>
          <c:xMode val="edge"/>
          <c:yMode val="edge"/>
          <c:x val="0.6731727065826331"/>
          <c:y val="0.16152263374485595"/>
        </c:manualLayout>
      </c:layout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16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 i="0">
                <a:solidFill>
                  <a:srgbClr val="757575"/>
                </a:solidFill>
                <a:latin typeface="+mn-lt"/>
              </a:defRPr>
            </a:pPr>
            <a:r>
              <a:rPr b="0" i="0">
                <a:solidFill>
                  <a:srgbClr val="757575"/>
                </a:solidFill>
                <a:latin typeface="+mn-lt"/>
              </a:rPr>
              <a:t>Carteira "Nasser Family" </a:t>
            </a:r>
          </a:p>
        </c:rich>
      </c:tx>
      <c:overlay val="0"/>
    </c:title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472C4"/>
              </a:solidFill>
            </c:spPr>
          </c:dPt>
          <c:dPt>
            <c:idx val="1"/>
            <c:spPr>
              <a:solidFill>
                <a:srgbClr val="ED7D31"/>
              </a:solidFill>
            </c:spPr>
          </c:dPt>
          <c:dPt>
            <c:idx val="2"/>
            <c:spPr>
              <a:solidFill>
                <a:srgbClr val="A5A5A5"/>
              </a:solidFill>
            </c:spPr>
          </c:dPt>
          <c:dPt>
            <c:idx val="3"/>
            <c:spPr>
              <a:solidFill>
                <a:srgbClr val="FFC000"/>
              </a:solidFill>
            </c:spPr>
          </c:dPt>
          <c:dPt>
            <c:idx val="4"/>
            <c:spPr>
              <a:solidFill>
                <a:srgbClr val="5B9BD5"/>
              </a:solidFill>
            </c:spPr>
          </c:dPt>
          <c:dPt>
            <c:idx val="5"/>
            <c:spPr>
              <a:solidFill>
                <a:srgbClr val="70AD47"/>
              </a:solidFill>
            </c:spPr>
          </c:dPt>
          <c:dPt>
            <c:idx val="6"/>
            <c:spPr>
              <a:solidFill>
                <a:srgbClr val="7C9CD6"/>
              </a:solidFill>
            </c:spPr>
          </c:dPt>
          <c:dPt>
            <c:idx val="7"/>
            <c:spPr>
              <a:solidFill>
                <a:srgbClr val="F2A46F"/>
              </a:solidFill>
            </c:spPr>
          </c:dPt>
          <c:dPt>
            <c:idx val="8"/>
            <c:spPr>
              <a:solidFill>
                <a:srgbClr val="C0C0C0"/>
              </a:solidFill>
            </c:spPr>
          </c:dPt>
          <c:dPt>
            <c:idx val="9"/>
            <c:spPr>
              <a:solidFill>
                <a:srgbClr val="FFD34D"/>
              </a:solidFill>
            </c:spPr>
          </c:dPt>
          <c:dPt>
            <c:idx val="10"/>
            <c:spPr>
              <a:solidFill>
                <a:srgbClr val="8CB9E2"/>
              </a:solidFill>
            </c:spPr>
          </c:dPt>
          <c:dLbls>
            <c:dLbl>
              <c:idx val="7"/>
              <c:txPr>
                <a:bodyPr/>
                <a:lstStyle/>
                <a:p>
                  <a:pPr lvl="0">
                    <a:defRPr b="1" i="0" sz="1000">
                      <a:latin typeface="serif"/>
                    </a:defRPr>
                  </a:pPr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8"/>
              <c:txPr>
                <a:bodyPr/>
                <a:lstStyle/>
                <a:p>
                  <a:pPr lvl="0">
                    <a:defRPr b="1" i="0" sz="800">
                      <a:latin typeface="serif"/>
                    </a:defRPr>
                  </a:pPr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</c:dLbl>
            <c:showLegendKey val="0"/>
            <c:showVal val="0"/>
            <c:showCatName val="1"/>
            <c:showSerName val="0"/>
            <c:showPercent val="0"/>
            <c:showBubbleSize val="0"/>
            <c:showLeaderLines val="1"/>
          </c:dLbls>
          <c:cat>
            <c:strRef>
              <c:f>'% de Alocação da Carteira 06_25'!$B$4:$B$14</c:f>
            </c:strRef>
          </c:cat>
          <c:val>
            <c:numRef>
              <c:f>'% de Alocação da Carteira 06_25'!$E$4:$E$14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layout>
        <c:manualLayout>
          <c:xMode val="edge"/>
          <c:yMode val="edge"/>
          <c:x val="0.653883495145631"/>
          <c:y val="0.15"/>
        </c:manualLayout>
      </c:layout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serif"/>
            </a:defRPr>
          </a:pPr>
        </a:p>
      </c:txPr>
    </c:legend>
    <c:plotVisOnly val="1"/>
  </c:chart>
</c:chartSpace>
</file>

<file path=xl/charts/chart17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 i="0">
                <a:solidFill>
                  <a:srgbClr val="757575"/>
                </a:solidFill>
                <a:latin typeface="+mn-lt"/>
              </a:defRPr>
            </a:pPr>
            <a:r>
              <a:rPr b="0" i="0">
                <a:solidFill>
                  <a:srgbClr val="757575"/>
                </a:solidFill>
                <a:latin typeface="+mn-lt"/>
              </a:rPr>
              <a:t>Carteira "NF" -ALOCAÇÃO % COMPACTA</a:t>
            </a:r>
          </a:p>
        </c:rich>
      </c:tx>
      <c:overlay val="0"/>
    </c:title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472C4"/>
              </a:solidFill>
            </c:spPr>
          </c:dPt>
          <c:dPt>
            <c:idx val="1"/>
            <c:spPr>
              <a:solidFill>
                <a:srgbClr val="ED7D31"/>
              </a:solidFill>
            </c:spPr>
          </c:dPt>
          <c:dPt>
            <c:idx val="2"/>
            <c:spPr>
              <a:solidFill>
                <a:srgbClr val="A5A5A5"/>
              </a:solidFill>
            </c:spPr>
          </c:dPt>
          <c:dPt>
            <c:idx val="3"/>
            <c:spPr>
              <a:solidFill>
                <a:srgbClr val="FFC000"/>
              </a:solidFill>
            </c:spPr>
          </c:dPt>
          <c:dPt>
            <c:idx val="4"/>
            <c:spPr>
              <a:solidFill>
                <a:srgbClr val="5B9BD5"/>
              </a:solidFill>
            </c:spPr>
          </c:dPt>
          <c:dPt>
            <c:idx val="5"/>
            <c:spPr>
              <a:solidFill>
                <a:srgbClr val="70AD47"/>
              </a:solidFill>
            </c:spPr>
          </c:dPt>
          <c:dPt>
            <c:idx val="6"/>
            <c:spPr>
              <a:solidFill>
                <a:srgbClr val="7C9CD6"/>
              </a:solidFill>
            </c:spPr>
          </c:dPt>
          <c:dPt>
            <c:idx val="7"/>
            <c:spPr>
              <a:solidFill>
                <a:srgbClr val="F2A46F"/>
              </a:solidFill>
            </c:spPr>
          </c:dPt>
          <c:dPt>
            <c:idx val="8"/>
            <c:spPr>
              <a:solidFill>
                <a:srgbClr val="C0C0C0"/>
              </a:solidFill>
            </c:spPr>
          </c:dPt>
          <c:dPt>
            <c:idx val="9"/>
            <c:spPr>
              <a:solidFill>
                <a:srgbClr val="FFD34D"/>
              </a:solidFill>
            </c:spPr>
          </c:dPt>
          <c:dPt>
            <c:idx val="10"/>
            <c:spPr>
              <a:solidFill>
                <a:srgbClr val="8CB9E2"/>
              </a:solidFill>
            </c:spPr>
          </c:dPt>
          <c:dLbls>
            <c:dLbl>
              <c:idx val="3"/>
              <c:txPr>
                <a:bodyPr/>
                <a:lstStyle/>
                <a:p>
                  <a:pPr lvl="0">
                    <a:defRPr b="1" i="0">
                      <a:latin typeface="serif"/>
                    </a:defRPr>
                  </a:pPr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</c:dLbl>
            <c:showLegendKey val="0"/>
            <c:showVal val="0"/>
            <c:showCatName val="1"/>
            <c:showSerName val="0"/>
            <c:showPercent val="0"/>
            <c:showBubbleSize val="0"/>
            <c:showLeaderLines val="1"/>
          </c:dLbls>
          <c:cat>
            <c:strRef>
              <c:f>'% de Alocação da Carteira 06_25'!$L$4:$L$14</c:f>
            </c:strRef>
          </c:cat>
          <c:val>
            <c:numRef>
              <c:f>'% de Alocação da Carteira 06_25'!$N$4:$N$14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layout>
        <c:manualLayout>
          <c:xMode val="edge"/>
          <c:yMode val="edge"/>
          <c:x val="0.6731727065826331"/>
          <c:y val="0.16152263374485595"/>
        </c:manualLayout>
      </c:layout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18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 i="0" sz="1600">
                <a:solidFill>
                  <a:srgbClr val="757575"/>
                </a:solidFill>
                <a:latin typeface="Arial"/>
              </a:defRPr>
            </a:pPr>
            <a:r>
              <a:rPr b="0" i="0" sz="1600">
                <a:solidFill>
                  <a:srgbClr val="757575"/>
                </a:solidFill>
                <a:latin typeface="Arial"/>
              </a:rPr>
              <a:t>% de Alocações Carteira "Nasser Family" na R. V. por Setor</a:t>
            </a:r>
          </a:p>
        </c:rich>
      </c:tx>
      <c:layout>
        <c:manualLayout>
          <c:xMode val="edge"/>
          <c:yMode val="edge"/>
          <c:x val="0.03356164383561644"/>
          <c:y val="0.06333333333333334"/>
        </c:manualLayout>
      </c:layout>
      <c:overlay val="0"/>
    </c:title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472C4"/>
              </a:solidFill>
            </c:spPr>
          </c:dPt>
          <c:dPt>
            <c:idx val="1"/>
            <c:spPr>
              <a:solidFill>
                <a:srgbClr val="ED7D31"/>
              </a:solidFill>
            </c:spPr>
          </c:dPt>
          <c:dPt>
            <c:idx val="2"/>
            <c:spPr>
              <a:solidFill>
                <a:srgbClr val="A5A5A5"/>
              </a:solidFill>
            </c:spPr>
          </c:dPt>
          <c:dPt>
            <c:idx val="3"/>
            <c:spPr>
              <a:solidFill>
                <a:srgbClr val="FFC000"/>
              </a:solidFill>
            </c:spPr>
          </c:dPt>
          <c:dPt>
            <c:idx val="4"/>
            <c:spPr>
              <a:solidFill>
                <a:srgbClr val="5B9BD5"/>
              </a:solidFill>
            </c:spPr>
          </c:dPt>
          <c:dPt>
            <c:idx val="5"/>
            <c:spPr>
              <a:solidFill>
                <a:srgbClr val="70AD47"/>
              </a:solidFill>
            </c:spPr>
          </c:dPt>
          <c:dPt>
            <c:idx val="6"/>
            <c:spPr>
              <a:solidFill>
                <a:srgbClr val="7C9CD6"/>
              </a:solidFill>
            </c:spPr>
          </c:dPt>
          <c:dPt>
            <c:idx val="7"/>
            <c:spPr>
              <a:solidFill>
                <a:srgbClr val="F2A46F"/>
              </a:solidFill>
            </c:spPr>
          </c:dPt>
          <c:dPt>
            <c:idx val="8"/>
            <c:spPr>
              <a:solidFill>
                <a:srgbClr val="C0C0C0"/>
              </a:solidFill>
            </c:spPr>
          </c:dPt>
          <c:dPt>
            <c:idx val="9"/>
            <c:spPr>
              <a:solidFill>
                <a:srgbClr val="FFD34D"/>
              </a:solidFill>
            </c:spPr>
          </c:dPt>
          <c:dPt>
            <c:idx val="10"/>
            <c:spPr>
              <a:solidFill>
                <a:srgbClr val="8CB9E2"/>
              </a:solidFill>
            </c:spPr>
          </c:dPt>
          <c:dPt>
            <c:idx val="11"/>
            <c:spPr>
              <a:solidFill>
                <a:srgbClr val="9BC67E"/>
              </a:solidFill>
            </c:spPr>
          </c:dPt>
          <c:dPt>
            <c:idx val="12"/>
            <c:spPr>
              <a:solidFill>
                <a:srgbClr val="B4C7E7"/>
              </a:solidFill>
            </c:spPr>
          </c:dPt>
          <c:dLbls>
            <c:showLegendKey val="0"/>
            <c:showVal val="0"/>
            <c:showCatName val="1"/>
            <c:showSerName val="0"/>
            <c:showPercent val="0"/>
            <c:showBubbleSize val="0"/>
            <c:showLeaderLines val="1"/>
          </c:dLbls>
          <c:cat>
            <c:strRef>
              <c:f>'% de Alocação da Carteira 06_25'!$D$20:$D$32</c:f>
            </c:strRef>
          </c:cat>
          <c:val>
            <c:numRef>
              <c:f>'% de Alocação da Carteira 06_25'!$C$20:$C$32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19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 i="0">
                <a:solidFill>
                  <a:srgbClr val="757575"/>
                </a:solidFill>
                <a:latin typeface="+mn-lt"/>
              </a:defRPr>
            </a:pPr>
            <a:r>
              <a:rPr b="0" i="0">
                <a:solidFill>
                  <a:srgbClr val="757575"/>
                </a:solidFill>
                <a:latin typeface="+mn-lt"/>
              </a:rPr>
              <a:t>Carteira "Nasser Family" </a:t>
            </a:r>
          </a:p>
        </c:rich>
      </c:tx>
      <c:overlay val="0"/>
    </c:title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472C4"/>
              </a:solidFill>
            </c:spPr>
          </c:dPt>
          <c:dPt>
            <c:idx val="1"/>
            <c:spPr>
              <a:solidFill>
                <a:srgbClr val="ED7D31"/>
              </a:solidFill>
            </c:spPr>
          </c:dPt>
          <c:dPt>
            <c:idx val="2"/>
            <c:spPr>
              <a:solidFill>
                <a:srgbClr val="A5A5A5"/>
              </a:solidFill>
            </c:spPr>
          </c:dPt>
          <c:dPt>
            <c:idx val="3"/>
            <c:spPr>
              <a:solidFill>
                <a:srgbClr val="FFC000"/>
              </a:solidFill>
            </c:spPr>
          </c:dPt>
          <c:dPt>
            <c:idx val="4"/>
            <c:spPr>
              <a:solidFill>
                <a:srgbClr val="5B9BD5"/>
              </a:solidFill>
            </c:spPr>
          </c:dPt>
          <c:dPt>
            <c:idx val="5"/>
            <c:spPr>
              <a:solidFill>
                <a:srgbClr val="70AD47"/>
              </a:solidFill>
            </c:spPr>
          </c:dPt>
          <c:dPt>
            <c:idx val="6"/>
            <c:spPr>
              <a:solidFill>
                <a:srgbClr val="7C9CD6"/>
              </a:solidFill>
            </c:spPr>
          </c:dPt>
          <c:dPt>
            <c:idx val="7"/>
            <c:spPr>
              <a:solidFill>
                <a:srgbClr val="F2A46F"/>
              </a:solidFill>
            </c:spPr>
          </c:dPt>
          <c:dPt>
            <c:idx val="8"/>
            <c:spPr>
              <a:solidFill>
                <a:srgbClr val="C0C0C0"/>
              </a:solidFill>
            </c:spPr>
          </c:dPt>
          <c:dLbls>
            <c:dLbl>
              <c:idx val="5"/>
              <c:txPr>
                <a:bodyPr/>
                <a:lstStyle/>
                <a:p>
                  <a:pPr lvl="0">
                    <a:defRPr b="1" i="0">
                      <a:latin typeface="serif"/>
                    </a:defRPr>
                  </a:pPr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6"/>
              <c:txPr>
                <a:bodyPr/>
                <a:lstStyle/>
                <a:p>
                  <a:pPr lvl="0">
                    <a:defRPr b="1" i="0">
                      <a:latin typeface="serif"/>
                    </a:defRPr>
                  </a:pPr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7"/>
              <c:txPr>
                <a:bodyPr/>
                <a:lstStyle/>
                <a:p>
                  <a:pPr lvl="0">
                    <a:defRPr b="1" i="0" sz="1000">
                      <a:latin typeface="serif"/>
                    </a:defRPr>
                  </a:pPr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8"/>
              <c:txPr>
                <a:bodyPr/>
                <a:lstStyle/>
                <a:p>
                  <a:pPr lvl="0">
                    <a:defRPr b="1" i="0" sz="800">
                      <a:latin typeface="serif"/>
                    </a:defRPr>
                  </a:pPr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</c:dLbl>
            <c:showLegendKey val="0"/>
            <c:showVal val="0"/>
            <c:showCatName val="1"/>
            <c:showSerName val="0"/>
            <c:showPercent val="0"/>
            <c:showBubbleSize val="0"/>
            <c:showLeaderLines val="1"/>
          </c:dLbls>
          <c:cat>
            <c:strRef>
              <c:f>'% de Alocação da Carteira 07_25'!$B$4:$B$15</c:f>
            </c:strRef>
          </c:cat>
          <c:val>
            <c:numRef>
              <c:f>'% de Alocação da Carteira 07_25'!$E$4:$E$12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 sz="1000">
              <a:solidFill>
                <a:srgbClr val="1A1A1A"/>
              </a:solidFill>
              <a:latin typeface="serif"/>
            </a:defRPr>
          </a:pPr>
        </a:p>
      </c:txPr>
    </c:legend>
    <c:plotVisOnly val="1"/>
  </c:chart>
</c:chartSpace>
</file>

<file path=xl/charts/chart20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 i="0" sz="1600">
                <a:solidFill>
                  <a:srgbClr val="757575"/>
                </a:solidFill>
                <a:latin typeface="Arial"/>
              </a:defRPr>
            </a:pPr>
            <a:r>
              <a:rPr b="0" i="0" sz="1600">
                <a:solidFill>
                  <a:srgbClr val="757575"/>
                </a:solidFill>
                <a:latin typeface="Arial"/>
              </a:rPr>
              <a:t>% de Alocações Carteira "Nasser Family" na R. V. por Setor</a:t>
            </a:r>
          </a:p>
        </c:rich>
      </c:tx>
      <c:layout>
        <c:manualLayout>
          <c:xMode val="edge"/>
          <c:yMode val="edge"/>
          <c:x val="0.03356164383561644"/>
          <c:y val="0.06333333333333334"/>
        </c:manualLayout>
      </c:layout>
      <c:overlay val="0"/>
    </c:title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472C4"/>
              </a:solidFill>
            </c:spPr>
          </c:dPt>
          <c:dPt>
            <c:idx val="1"/>
            <c:spPr>
              <a:solidFill>
                <a:srgbClr val="ED7D31"/>
              </a:solidFill>
            </c:spPr>
          </c:dPt>
          <c:dPt>
            <c:idx val="2"/>
            <c:spPr>
              <a:solidFill>
                <a:srgbClr val="A5A5A5"/>
              </a:solidFill>
            </c:spPr>
          </c:dPt>
          <c:dPt>
            <c:idx val="3"/>
            <c:spPr>
              <a:solidFill>
                <a:srgbClr val="FFC000"/>
              </a:solidFill>
            </c:spPr>
          </c:dPt>
          <c:dPt>
            <c:idx val="4"/>
            <c:spPr>
              <a:solidFill>
                <a:srgbClr val="5B9BD5"/>
              </a:solidFill>
            </c:spPr>
          </c:dPt>
          <c:dPt>
            <c:idx val="5"/>
            <c:spPr>
              <a:solidFill>
                <a:srgbClr val="70AD47"/>
              </a:solidFill>
            </c:spPr>
          </c:dPt>
          <c:dPt>
            <c:idx val="6"/>
            <c:spPr>
              <a:solidFill>
                <a:srgbClr val="7C9CD6"/>
              </a:solidFill>
            </c:spPr>
          </c:dPt>
          <c:dPt>
            <c:idx val="7"/>
            <c:spPr>
              <a:solidFill>
                <a:srgbClr val="F2A46F"/>
              </a:solidFill>
            </c:spPr>
          </c:dPt>
          <c:dPt>
            <c:idx val="8"/>
            <c:spPr>
              <a:solidFill>
                <a:srgbClr val="C0C0C0"/>
              </a:solidFill>
            </c:spPr>
          </c:dPt>
          <c:dPt>
            <c:idx val="9"/>
            <c:spPr>
              <a:solidFill>
                <a:srgbClr val="FFD34D"/>
              </a:solidFill>
            </c:spPr>
          </c:dPt>
          <c:dPt>
            <c:idx val="10"/>
            <c:spPr>
              <a:solidFill>
                <a:srgbClr val="8CB9E2"/>
              </a:solidFill>
            </c:spPr>
          </c:dPt>
          <c:dPt>
            <c:idx val="11"/>
            <c:spPr>
              <a:solidFill>
                <a:srgbClr val="9BC67E"/>
              </a:solidFill>
            </c:spPr>
          </c:dPt>
          <c:dPt>
            <c:idx val="12"/>
            <c:spPr>
              <a:solidFill>
                <a:srgbClr val="B4C7E7"/>
              </a:solidFill>
            </c:spPr>
          </c:dPt>
          <c:dLbls>
            <c:dLbl>
              <c:idx val="11"/>
              <c:txPr>
                <a:bodyPr/>
                <a:lstStyle/>
                <a:p>
                  <a:pPr lvl="0">
                    <a:defRPr sz="1000"/>
                  </a:pPr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</c:dLbl>
            <c:showLegendKey val="0"/>
            <c:showVal val="0"/>
            <c:showCatName val="1"/>
            <c:showSerName val="0"/>
            <c:showPercent val="0"/>
            <c:showBubbleSize val="0"/>
            <c:showLeaderLines val="1"/>
          </c:dLbls>
          <c:cat>
            <c:strRef>
              <c:f>'% de Alocação da Carteira 07_25'!$D$20:$D$32</c:f>
            </c:strRef>
          </c:cat>
          <c:val>
            <c:numRef>
              <c:f>'% de Alocação da Carteira 07_25'!$C$20:$C$32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 sz="100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2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 i="0">
                <a:solidFill>
                  <a:srgbClr val="757575"/>
                </a:solidFill>
                <a:latin typeface="+mn-lt"/>
              </a:defRPr>
            </a:pPr>
            <a:r>
              <a:rPr b="0" i="0">
                <a:solidFill>
                  <a:srgbClr val="757575"/>
                </a:solidFill>
                <a:latin typeface="+mn-lt"/>
              </a:rPr>
              <a:t>Carteira "NF" -ALOCAÇÃO % COMPACTA</a:t>
            </a:r>
          </a:p>
        </c:rich>
      </c:tx>
      <c:overlay val="0"/>
    </c:title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472C4"/>
              </a:solidFill>
            </c:spPr>
          </c:dPt>
          <c:dPt>
            <c:idx val="1"/>
            <c:spPr>
              <a:solidFill>
                <a:srgbClr val="ED7D31"/>
              </a:solidFill>
            </c:spPr>
          </c:dPt>
          <c:dPt>
            <c:idx val="2"/>
            <c:spPr>
              <a:solidFill>
                <a:srgbClr val="A5A5A5"/>
              </a:solidFill>
            </c:spPr>
          </c:dPt>
          <c:dPt>
            <c:idx val="3"/>
            <c:spPr>
              <a:solidFill>
                <a:srgbClr val="FFC000"/>
              </a:solidFill>
            </c:spPr>
          </c:dPt>
          <c:dPt>
            <c:idx val="4"/>
            <c:spPr>
              <a:solidFill>
                <a:srgbClr val="5B9BD5"/>
              </a:solidFill>
            </c:spPr>
          </c:dPt>
          <c:dPt>
            <c:idx val="5"/>
            <c:spPr>
              <a:solidFill>
                <a:srgbClr val="70AD47"/>
              </a:solidFill>
            </c:spPr>
          </c:dPt>
          <c:dPt>
            <c:idx val="6"/>
            <c:spPr>
              <a:solidFill>
                <a:srgbClr val="7C9CD6"/>
              </a:solidFill>
            </c:spPr>
          </c:dPt>
          <c:dPt>
            <c:idx val="7"/>
            <c:spPr>
              <a:solidFill>
                <a:srgbClr val="F2A46F"/>
              </a:solidFill>
            </c:spPr>
          </c:dPt>
          <c:dPt>
            <c:idx val="8"/>
            <c:spPr>
              <a:solidFill>
                <a:srgbClr val="C0C0C0"/>
              </a:solidFill>
            </c:spPr>
          </c:dPt>
          <c:dPt>
            <c:idx val="9"/>
            <c:spPr>
              <a:solidFill>
                <a:srgbClr val="FFD34D"/>
              </a:solidFill>
            </c:spPr>
          </c:dPt>
          <c:dPt>
            <c:idx val="10"/>
            <c:spPr>
              <a:solidFill>
                <a:srgbClr val="8CB9E2"/>
              </a:solidFill>
            </c:spPr>
          </c:dPt>
          <c:dLbls>
            <c:dLbl>
              <c:idx val="3"/>
              <c:txPr>
                <a:bodyPr/>
                <a:lstStyle/>
                <a:p>
                  <a:pPr lvl="0">
                    <a:defRPr b="1" i="0">
                      <a:latin typeface="serif"/>
                    </a:defRPr>
                  </a:pPr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</c:dLbl>
            <c:showLegendKey val="0"/>
            <c:showVal val="0"/>
            <c:showCatName val="1"/>
            <c:showSerName val="0"/>
            <c:showPercent val="0"/>
            <c:showBubbleSize val="0"/>
            <c:showLeaderLines val="1"/>
          </c:dLbls>
          <c:cat>
            <c:strRef>
              <c:f>'% de Alocação da Carteira 07_25'!$L$4:$L$14</c:f>
            </c:strRef>
          </c:cat>
          <c:val>
            <c:numRef>
              <c:f>'% de Alocação da Carteira 07_25'!$N$4:$N$14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layout>
        <c:manualLayout>
          <c:xMode val="edge"/>
          <c:yMode val="edge"/>
          <c:x val="0.6731727065826331"/>
          <c:y val="0.16152263374485595"/>
        </c:manualLayout>
      </c:layout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2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 i="0">
                <a:solidFill>
                  <a:srgbClr val="757575"/>
                </a:solidFill>
                <a:latin typeface="+mn-lt"/>
              </a:defRPr>
            </a:pPr>
            <a:r>
              <a:rPr b="0" i="0">
                <a:solidFill>
                  <a:srgbClr val="757575"/>
                </a:solidFill>
                <a:latin typeface="+mn-lt"/>
              </a:rPr>
              <a:t>Carteira "Nasser Family" </a:t>
            </a:r>
          </a:p>
        </c:rich>
      </c:tx>
      <c:overlay val="0"/>
    </c:title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472C4"/>
              </a:solidFill>
            </c:spPr>
          </c:dPt>
          <c:dPt>
            <c:idx val="1"/>
            <c:spPr>
              <a:solidFill>
                <a:srgbClr val="ED7D31"/>
              </a:solidFill>
            </c:spPr>
          </c:dPt>
          <c:dPt>
            <c:idx val="2"/>
            <c:spPr>
              <a:solidFill>
                <a:srgbClr val="A5A5A5"/>
              </a:solidFill>
            </c:spPr>
          </c:dPt>
          <c:dPt>
            <c:idx val="3"/>
            <c:spPr>
              <a:solidFill>
                <a:srgbClr val="FFC000"/>
              </a:solidFill>
            </c:spPr>
          </c:dPt>
          <c:dPt>
            <c:idx val="4"/>
            <c:spPr>
              <a:solidFill>
                <a:srgbClr val="5B9BD5"/>
              </a:solidFill>
            </c:spPr>
          </c:dPt>
          <c:dPt>
            <c:idx val="5"/>
            <c:spPr>
              <a:solidFill>
                <a:srgbClr val="70AD47"/>
              </a:solidFill>
            </c:spPr>
          </c:dPt>
          <c:dPt>
            <c:idx val="6"/>
            <c:spPr>
              <a:solidFill>
                <a:srgbClr val="7C9CD6"/>
              </a:solidFill>
            </c:spPr>
          </c:dPt>
          <c:dPt>
            <c:idx val="7"/>
            <c:spPr>
              <a:solidFill>
                <a:srgbClr val="F2A46F"/>
              </a:solidFill>
            </c:spPr>
          </c:dPt>
          <c:dPt>
            <c:idx val="8"/>
            <c:spPr>
              <a:solidFill>
                <a:srgbClr val="C0C0C0"/>
              </a:solidFill>
            </c:spPr>
          </c:dPt>
          <c:dPt>
            <c:idx val="9"/>
            <c:spPr>
              <a:solidFill>
                <a:srgbClr val="FFD34D"/>
              </a:solidFill>
            </c:spPr>
          </c:dPt>
          <c:dPt>
            <c:idx val="10"/>
            <c:spPr>
              <a:solidFill>
                <a:srgbClr val="8CB9E2"/>
              </a:solidFill>
            </c:spPr>
          </c:dPt>
          <c:dLbls>
            <c:dLbl>
              <c:idx val="5"/>
              <c:txPr>
                <a:bodyPr/>
                <a:lstStyle/>
                <a:p>
                  <a:pPr lvl="0">
                    <a:defRPr b="1" i="0">
                      <a:latin typeface="serif"/>
                    </a:defRPr>
                  </a:pPr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6"/>
              <c:txPr>
                <a:bodyPr/>
                <a:lstStyle/>
                <a:p>
                  <a:pPr lvl="0">
                    <a:defRPr b="1" i="0">
                      <a:latin typeface="serif"/>
                    </a:defRPr>
                  </a:pPr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7"/>
              <c:txPr>
                <a:bodyPr/>
                <a:lstStyle/>
                <a:p>
                  <a:pPr lvl="0">
                    <a:defRPr b="1" i="0" sz="1000">
                      <a:latin typeface="serif"/>
                    </a:defRPr>
                  </a:pPr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8"/>
              <c:txPr>
                <a:bodyPr/>
                <a:lstStyle/>
                <a:p>
                  <a:pPr lvl="0">
                    <a:defRPr b="1" i="0" sz="800">
                      <a:latin typeface="serif"/>
                    </a:defRPr>
                  </a:pPr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9"/>
              <c:txPr>
                <a:bodyPr/>
                <a:lstStyle/>
                <a:p>
                  <a:pPr lvl="0">
                    <a:defRPr b="1" i="0" sz="700">
                      <a:latin typeface="serif"/>
                    </a:defRPr>
                  </a:pPr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10"/>
              <c:txPr>
                <a:bodyPr/>
                <a:lstStyle/>
                <a:p>
                  <a:pPr lvl="0">
                    <a:defRPr b="1" i="0" sz="700">
                      <a:latin typeface="serif"/>
                    </a:defRPr>
                  </a:pPr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</c:dLbl>
            <c:showLegendKey val="0"/>
            <c:showVal val="0"/>
            <c:showCatName val="1"/>
            <c:showSerName val="0"/>
            <c:showPercent val="0"/>
            <c:showBubbleSize val="0"/>
            <c:showLeaderLines val="1"/>
          </c:dLbls>
          <c:cat>
            <c:strRef>
              <c:f>'% de Alocação da Carteira 08_25'!$B$4:$B$14</c:f>
            </c:strRef>
          </c:cat>
          <c:val>
            <c:numRef>
              <c:f>'% de Alocação da Carteira 08_25'!$E$4:$E$14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serif"/>
            </a:defRPr>
          </a:pPr>
        </a:p>
      </c:txPr>
    </c:legend>
    <c:plotVisOnly val="1"/>
  </c:chart>
</c:chartSpace>
</file>

<file path=xl/charts/chart2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 i="0" sz="1600">
                <a:solidFill>
                  <a:srgbClr val="757575"/>
                </a:solidFill>
                <a:latin typeface="Arial"/>
              </a:defRPr>
            </a:pPr>
            <a:r>
              <a:rPr b="0" i="0" sz="1600">
                <a:solidFill>
                  <a:srgbClr val="757575"/>
                </a:solidFill>
                <a:latin typeface="Arial"/>
              </a:rPr>
              <a:t>% de Alocações Carteira "Nasser Family" na R. V. por Setor</a:t>
            </a:r>
          </a:p>
        </c:rich>
      </c:tx>
      <c:layout>
        <c:manualLayout>
          <c:xMode val="edge"/>
          <c:yMode val="edge"/>
          <c:x val="0.03356164383561644"/>
          <c:y val="0.06333333333333334"/>
        </c:manualLayout>
      </c:layout>
      <c:overlay val="0"/>
    </c:title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472C4"/>
              </a:solidFill>
            </c:spPr>
          </c:dPt>
          <c:dPt>
            <c:idx val="1"/>
            <c:spPr>
              <a:solidFill>
                <a:srgbClr val="ED7D31"/>
              </a:solidFill>
            </c:spPr>
          </c:dPt>
          <c:dPt>
            <c:idx val="2"/>
            <c:spPr>
              <a:solidFill>
                <a:srgbClr val="A5A5A5"/>
              </a:solidFill>
            </c:spPr>
          </c:dPt>
          <c:dPt>
            <c:idx val="3"/>
            <c:spPr>
              <a:solidFill>
                <a:srgbClr val="FFC000"/>
              </a:solidFill>
            </c:spPr>
          </c:dPt>
          <c:dPt>
            <c:idx val="4"/>
            <c:spPr>
              <a:solidFill>
                <a:srgbClr val="5B9BD5"/>
              </a:solidFill>
            </c:spPr>
          </c:dPt>
          <c:dPt>
            <c:idx val="5"/>
            <c:spPr>
              <a:solidFill>
                <a:srgbClr val="70AD47"/>
              </a:solidFill>
            </c:spPr>
          </c:dPt>
          <c:dPt>
            <c:idx val="6"/>
            <c:spPr>
              <a:solidFill>
                <a:srgbClr val="7C9CD6"/>
              </a:solidFill>
            </c:spPr>
          </c:dPt>
          <c:dPt>
            <c:idx val="7"/>
            <c:spPr>
              <a:solidFill>
                <a:srgbClr val="F2A46F"/>
              </a:solidFill>
            </c:spPr>
          </c:dPt>
          <c:dPt>
            <c:idx val="8"/>
            <c:spPr>
              <a:solidFill>
                <a:srgbClr val="C0C0C0"/>
              </a:solidFill>
            </c:spPr>
          </c:dPt>
          <c:dPt>
            <c:idx val="9"/>
            <c:spPr>
              <a:solidFill>
                <a:srgbClr val="FFD34D"/>
              </a:solidFill>
            </c:spPr>
          </c:dPt>
          <c:dPt>
            <c:idx val="10"/>
            <c:spPr>
              <a:solidFill>
                <a:srgbClr val="8CB9E2"/>
              </a:solidFill>
            </c:spPr>
          </c:dPt>
          <c:dPt>
            <c:idx val="11"/>
            <c:spPr>
              <a:solidFill>
                <a:srgbClr val="9BC67E"/>
              </a:solidFill>
            </c:spPr>
          </c:dPt>
          <c:dPt>
            <c:idx val="12"/>
            <c:spPr>
              <a:solidFill>
                <a:srgbClr val="B4C7E7"/>
              </a:solidFill>
            </c:spPr>
          </c:dPt>
          <c:dLbls>
            <c:showLegendKey val="0"/>
            <c:showVal val="0"/>
            <c:showCatName val="1"/>
            <c:showSerName val="0"/>
            <c:showPercent val="0"/>
            <c:showBubbleSize val="0"/>
            <c:showLeaderLines val="1"/>
          </c:dLbls>
          <c:cat>
            <c:strRef>
              <c:f>'% de Alocação da Carteira 08_25'!$D$20:$D$32</c:f>
            </c:strRef>
          </c:cat>
          <c:val>
            <c:numRef>
              <c:f>'% de Alocação da Carteira 08_25'!$C$20:$C$32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2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 i="0">
                <a:solidFill>
                  <a:srgbClr val="757575"/>
                </a:solidFill>
                <a:latin typeface="+mn-lt"/>
              </a:defRPr>
            </a:pPr>
            <a:r>
              <a:rPr b="0" i="0">
                <a:solidFill>
                  <a:srgbClr val="757575"/>
                </a:solidFill>
                <a:latin typeface="+mn-lt"/>
              </a:rPr>
              <a:t>Carteira "NF" -ALOCAÇÃO % COMPACTA</a:t>
            </a:r>
          </a:p>
        </c:rich>
      </c:tx>
      <c:overlay val="0"/>
    </c:title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472C4"/>
              </a:solidFill>
            </c:spPr>
          </c:dPt>
          <c:dPt>
            <c:idx val="1"/>
            <c:spPr>
              <a:solidFill>
                <a:srgbClr val="ED7D31"/>
              </a:solidFill>
            </c:spPr>
          </c:dPt>
          <c:dPt>
            <c:idx val="2"/>
            <c:spPr>
              <a:solidFill>
                <a:srgbClr val="A5A5A5"/>
              </a:solidFill>
            </c:spPr>
          </c:dPt>
          <c:dPt>
            <c:idx val="3"/>
            <c:spPr>
              <a:solidFill>
                <a:srgbClr val="FFC000"/>
              </a:solidFill>
            </c:spPr>
          </c:dPt>
          <c:dPt>
            <c:idx val="4"/>
            <c:spPr>
              <a:solidFill>
                <a:srgbClr val="5B9BD5"/>
              </a:solidFill>
            </c:spPr>
          </c:dPt>
          <c:dPt>
            <c:idx val="5"/>
            <c:spPr>
              <a:solidFill>
                <a:srgbClr val="70AD47"/>
              </a:solidFill>
            </c:spPr>
          </c:dPt>
          <c:dPt>
            <c:idx val="6"/>
            <c:spPr>
              <a:solidFill>
                <a:srgbClr val="7C9CD6"/>
              </a:solidFill>
            </c:spPr>
          </c:dPt>
          <c:dPt>
            <c:idx val="7"/>
            <c:spPr>
              <a:solidFill>
                <a:srgbClr val="F2A46F"/>
              </a:solidFill>
            </c:spPr>
          </c:dPt>
          <c:dPt>
            <c:idx val="8"/>
            <c:spPr>
              <a:solidFill>
                <a:srgbClr val="C0C0C0"/>
              </a:solidFill>
            </c:spPr>
          </c:dPt>
          <c:dPt>
            <c:idx val="9"/>
            <c:spPr>
              <a:solidFill>
                <a:srgbClr val="FFD34D"/>
              </a:solidFill>
            </c:spPr>
          </c:dPt>
          <c:dPt>
            <c:idx val="10"/>
            <c:spPr>
              <a:solidFill>
                <a:srgbClr val="8CB9E2"/>
              </a:solidFill>
            </c:spPr>
          </c:dPt>
          <c:dLbls>
            <c:dLbl>
              <c:idx val="0"/>
              <c:txPr>
                <a:bodyPr/>
                <a:lstStyle/>
                <a:p>
                  <a:pPr lvl="0">
                    <a:defRPr b="1" i="0">
                      <a:latin typeface="serif"/>
                    </a:defRPr>
                  </a:pPr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3"/>
              <c:txPr>
                <a:bodyPr/>
                <a:lstStyle/>
                <a:p>
                  <a:pPr lvl="0">
                    <a:defRPr b="1" i="0">
                      <a:latin typeface="serif"/>
                    </a:defRPr>
                  </a:pPr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4"/>
              <c:txPr>
                <a:bodyPr/>
                <a:lstStyle/>
                <a:p>
                  <a:pPr lvl="0">
                    <a:defRPr b="1" i="0">
                      <a:latin typeface="serif"/>
                    </a:defRPr>
                  </a:pPr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10"/>
              <c:txPr>
                <a:bodyPr/>
                <a:lstStyle/>
                <a:p>
                  <a:pPr lvl="0">
                    <a:defRPr b="1" i="0">
                      <a:latin typeface="serif"/>
                    </a:defRPr>
                  </a:pPr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</c:dLbl>
            <c:showLegendKey val="0"/>
            <c:showVal val="0"/>
            <c:showCatName val="1"/>
            <c:showSerName val="0"/>
            <c:showPercent val="0"/>
            <c:showBubbleSize val="0"/>
            <c:showLeaderLines val="1"/>
          </c:dLbls>
          <c:cat>
            <c:strRef>
              <c:f>'% de Alocação da Carteira 08_25'!$L$4:$L$14</c:f>
            </c:strRef>
          </c:cat>
          <c:val>
            <c:numRef>
              <c:f>'% de Alocação da Carteira 08_25'!$N$4:$N$14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layout>
        <c:manualLayout>
          <c:xMode val="edge"/>
          <c:yMode val="edge"/>
          <c:x val="0.6731727065826331"/>
          <c:y val="0.16152263374485595"/>
        </c:manualLayout>
      </c:layout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25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 i="0" sz="1600">
                <a:solidFill>
                  <a:srgbClr val="757575"/>
                </a:solidFill>
                <a:latin typeface="Arial"/>
              </a:defRPr>
            </a:pPr>
            <a:r>
              <a:rPr b="0" i="0" sz="1600">
                <a:solidFill>
                  <a:srgbClr val="757575"/>
                </a:solidFill>
                <a:latin typeface="Arial"/>
              </a:rPr>
              <a:t>% de Alocações Carteira "Nasser Family" na R. V. por Setor</a:t>
            </a:r>
          </a:p>
        </c:rich>
      </c:tx>
      <c:layout>
        <c:manualLayout>
          <c:xMode val="edge"/>
          <c:yMode val="edge"/>
          <c:x val="0.03356164383561644"/>
          <c:y val="0.06333333333333334"/>
        </c:manualLayout>
      </c:layout>
      <c:overlay val="0"/>
    </c:title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472C4"/>
              </a:solidFill>
            </c:spPr>
          </c:dPt>
          <c:dPt>
            <c:idx val="1"/>
            <c:spPr>
              <a:solidFill>
                <a:srgbClr val="ED7D31"/>
              </a:solidFill>
            </c:spPr>
          </c:dPt>
          <c:dPt>
            <c:idx val="2"/>
            <c:spPr>
              <a:solidFill>
                <a:srgbClr val="A5A5A5"/>
              </a:solidFill>
            </c:spPr>
          </c:dPt>
          <c:dPt>
            <c:idx val="3"/>
            <c:spPr>
              <a:solidFill>
                <a:srgbClr val="FFC000"/>
              </a:solidFill>
            </c:spPr>
          </c:dPt>
          <c:dPt>
            <c:idx val="4"/>
            <c:spPr>
              <a:solidFill>
                <a:srgbClr val="5B9BD5"/>
              </a:solidFill>
            </c:spPr>
          </c:dPt>
          <c:dPt>
            <c:idx val="5"/>
            <c:spPr>
              <a:solidFill>
                <a:srgbClr val="70AD47"/>
              </a:solidFill>
            </c:spPr>
          </c:dPt>
          <c:dPt>
            <c:idx val="6"/>
            <c:spPr>
              <a:solidFill>
                <a:srgbClr val="7C9CD6"/>
              </a:solidFill>
            </c:spPr>
          </c:dPt>
          <c:dPt>
            <c:idx val="7"/>
            <c:spPr>
              <a:solidFill>
                <a:srgbClr val="F2A46F"/>
              </a:solidFill>
            </c:spPr>
          </c:dPt>
          <c:dPt>
            <c:idx val="8"/>
            <c:spPr>
              <a:solidFill>
                <a:srgbClr val="C0C0C0"/>
              </a:solidFill>
            </c:spPr>
          </c:dPt>
          <c:dPt>
            <c:idx val="9"/>
            <c:spPr>
              <a:solidFill>
                <a:srgbClr val="FFD34D"/>
              </a:solidFill>
            </c:spPr>
          </c:dPt>
          <c:dPt>
            <c:idx val="10"/>
            <c:spPr>
              <a:solidFill>
                <a:srgbClr val="8CB9E2"/>
              </a:solidFill>
            </c:spPr>
          </c:dPt>
          <c:dPt>
            <c:idx val="11"/>
            <c:spPr>
              <a:solidFill>
                <a:srgbClr val="9BC67E"/>
              </a:solidFill>
            </c:spPr>
          </c:dPt>
          <c:dPt>
            <c:idx val="12"/>
            <c:spPr>
              <a:solidFill>
                <a:srgbClr val="B4C7E7"/>
              </a:solidFill>
            </c:spPr>
          </c:dPt>
          <c:dLbls>
            <c:showLegendKey val="0"/>
            <c:showVal val="0"/>
            <c:showCatName val="1"/>
            <c:showSerName val="0"/>
            <c:showPercent val="0"/>
            <c:showBubbleSize val="0"/>
            <c:showLeaderLines val="1"/>
          </c:dLbls>
          <c:cat>
            <c:strRef>
              <c:f>'% de Alocação da Carteira 09_25'!$D$20:$D$32</c:f>
            </c:strRef>
          </c:cat>
          <c:val>
            <c:numRef>
              <c:f>'% de Alocação da Carteira 09_25'!$C$20:$C$32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26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 i="0">
                <a:solidFill>
                  <a:srgbClr val="757575"/>
                </a:solidFill>
                <a:latin typeface="+mn-lt"/>
              </a:defRPr>
            </a:pPr>
            <a:r>
              <a:rPr b="0" i="0">
                <a:solidFill>
                  <a:srgbClr val="757575"/>
                </a:solidFill>
                <a:latin typeface="+mn-lt"/>
              </a:rPr>
              <a:t>Carteira "Nasser Family" </a:t>
            </a:r>
          </a:p>
        </c:rich>
      </c:tx>
      <c:overlay val="0"/>
    </c:title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472C4"/>
              </a:solidFill>
            </c:spPr>
          </c:dPt>
          <c:dPt>
            <c:idx val="1"/>
            <c:spPr>
              <a:solidFill>
                <a:srgbClr val="ED7D31"/>
              </a:solidFill>
            </c:spPr>
          </c:dPt>
          <c:dPt>
            <c:idx val="2"/>
            <c:spPr>
              <a:solidFill>
                <a:srgbClr val="A5A5A5"/>
              </a:solidFill>
            </c:spPr>
          </c:dPt>
          <c:dPt>
            <c:idx val="3"/>
            <c:spPr>
              <a:solidFill>
                <a:srgbClr val="FFC000"/>
              </a:solidFill>
            </c:spPr>
          </c:dPt>
          <c:dPt>
            <c:idx val="4"/>
            <c:spPr>
              <a:solidFill>
                <a:srgbClr val="5B9BD5"/>
              </a:solidFill>
            </c:spPr>
          </c:dPt>
          <c:dPt>
            <c:idx val="5"/>
            <c:spPr>
              <a:solidFill>
                <a:srgbClr val="70AD47"/>
              </a:solidFill>
            </c:spPr>
          </c:dPt>
          <c:dPt>
            <c:idx val="6"/>
            <c:spPr>
              <a:solidFill>
                <a:srgbClr val="7C9CD6"/>
              </a:solidFill>
            </c:spPr>
          </c:dPt>
          <c:dPt>
            <c:idx val="7"/>
            <c:spPr>
              <a:solidFill>
                <a:srgbClr val="F2A46F"/>
              </a:solidFill>
            </c:spPr>
          </c:dPt>
          <c:dPt>
            <c:idx val="8"/>
            <c:spPr>
              <a:solidFill>
                <a:srgbClr val="C0C0C0"/>
              </a:solidFill>
            </c:spPr>
          </c:dPt>
          <c:dPt>
            <c:idx val="9"/>
            <c:spPr>
              <a:solidFill>
                <a:srgbClr val="FFD34D"/>
              </a:solidFill>
            </c:spPr>
          </c:dPt>
          <c:dPt>
            <c:idx val="10"/>
            <c:spPr>
              <a:solidFill>
                <a:srgbClr val="8CB9E2"/>
              </a:solidFill>
            </c:spPr>
          </c:dPt>
          <c:dLbls>
            <c:dLbl>
              <c:idx val="5"/>
              <c:txPr>
                <a:bodyPr/>
                <a:lstStyle/>
                <a:p>
                  <a:pPr lvl="0">
                    <a:defRPr b="1" i="0">
                      <a:latin typeface="serif"/>
                    </a:defRPr>
                  </a:pPr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6"/>
              <c:txPr>
                <a:bodyPr/>
                <a:lstStyle/>
                <a:p>
                  <a:pPr lvl="0">
                    <a:defRPr b="1" i="0">
                      <a:latin typeface="serif"/>
                    </a:defRPr>
                  </a:pPr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7"/>
              <c:txPr>
                <a:bodyPr/>
                <a:lstStyle/>
                <a:p>
                  <a:pPr lvl="0">
                    <a:defRPr b="1" i="0" sz="1000">
                      <a:latin typeface="serif"/>
                    </a:defRPr>
                  </a:pPr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8"/>
              <c:txPr>
                <a:bodyPr/>
                <a:lstStyle/>
                <a:p>
                  <a:pPr lvl="0">
                    <a:defRPr b="1" i="0" sz="800">
                      <a:latin typeface="serif"/>
                    </a:defRPr>
                  </a:pPr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9"/>
              <c:txPr>
                <a:bodyPr/>
                <a:lstStyle/>
                <a:p>
                  <a:pPr lvl="0">
                    <a:defRPr b="1" i="0" sz="700">
                      <a:latin typeface="serif"/>
                    </a:defRPr>
                  </a:pPr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10"/>
              <c:txPr>
                <a:bodyPr/>
                <a:lstStyle/>
                <a:p>
                  <a:pPr lvl="0">
                    <a:defRPr b="1" i="0" sz="700">
                      <a:latin typeface="serif"/>
                    </a:defRPr>
                  </a:pPr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</c:dLbl>
            <c:showLegendKey val="0"/>
            <c:showVal val="0"/>
            <c:showCatName val="1"/>
            <c:showSerName val="0"/>
            <c:showPercent val="0"/>
            <c:showBubbleSize val="0"/>
            <c:showLeaderLines val="1"/>
          </c:dLbls>
          <c:cat>
            <c:strRef>
              <c:f>'% de Alocação da Carteira 09_25'!$B$4:$B$14</c:f>
            </c:strRef>
          </c:cat>
          <c:val>
            <c:numRef>
              <c:f>'% de Alocação da Carteira 09_25'!$E$4:$E$14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serif"/>
            </a:defRPr>
          </a:pPr>
        </a:p>
      </c:txPr>
    </c:legend>
    <c:plotVisOnly val="1"/>
  </c:chart>
</c:chartSpace>
</file>

<file path=xl/charts/chart27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 i="0">
                <a:solidFill>
                  <a:srgbClr val="757575"/>
                </a:solidFill>
                <a:latin typeface="+mn-lt"/>
              </a:defRPr>
            </a:pPr>
            <a:r>
              <a:rPr b="0" i="0">
                <a:solidFill>
                  <a:srgbClr val="757575"/>
                </a:solidFill>
                <a:latin typeface="+mn-lt"/>
              </a:rPr>
              <a:t>Carteira "NF" -ALOCAÇÃO % COMPACTA</a:t>
            </a:r>
          </a:p>
        </c:rich>
      </c:tx>
      <c:overlay val="0"/>
    </c:title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472C4"/>
              </a:solidFill>
            </c:spPr>
          </c:dPt>
          <c:dPt>
            <c:idx val="1"/>
            <c:spPr>
              <a:solidFill>
                <a:srgbClr val="ED7D31"/>
              </a:solidFill>
            </c:spPr>
          </c:dPt>
          <c:dPt>
            <c:idx val="2"/>
            <c:spPr>
              <a:solidFill>
                <a:srgbClr val="A5A5A5"/>
              </a:solidFill>
            </c:spPr>
          </c:dPt>
          <c:dPt>
            <c:idx val="3"/>
            <c:spPr>
              <a:solidFill>
                <a:srgbClr val="FFC000"/>
              </a:solidFill>
            </c:spPr>
          </c:dPt>
          <c:dPt>
            <c:idx val="4"/>
            <c:spPr>
              <a:solidFill>
                <a:srgbClr val="5B9BD5"/>
              </a:solidFill>
            </c:spPr>
          </c:dPt>
          <c:dPt>
            <c:idx val="5"/>
            <c:spPr>
              <a:solidFill>
                <a:srgbClr val="70AD47"/>
              </a:solidFill>
            </c:spPr>
          </c:dPt>
          <c:dPt>
            <c:idx val="6"/>
            <c:spPr>
              <a:solidFill>
                <a:srgbClr val="7C9CD6"/>
              </a:solidFill>
            </c:spPr>
          </c:dPt>
          <c:dPt>
            <c:idx val="7"/>
            <c:spPr>
              <a:solidFill>
                <a:srgbClr val="F2A46F"/>
              </a:solidFill>
            </c:spPr>
          </c:dPt>
          <c:dPt>
            <c:idx val="8"/>
            <c:spPr>
              <a:solidFill>
                <a:srgbClr val="C0C0C0"/>
              </a:solidFill>
            </c:spPr>
          </c:dPt>
          <c:dPt>
            <c:idx val="9"/>
            <c:spPr>
              <a:solidFill>
                <a:srgbClr val="FFD34D"/>
              </a:solidFill>
            </c:spPr>
          </c:dPt>
          <c:dPt>
            <c:idx val="10"/>
            <c:spPr>
              <a:solidFill>
                <a:srgbClr val="8CB9E2"/>
              </a:solidFill>
            </c:spPr>
          </c:dPt>
          <c:dLbls>
            <c:dLbl>
              <c:idx val="0"/>
              <c:txPr>
                <a:bodyPr/>
                <a:lstStyle/>
                <a:p>
                  <a:pPr lvl="0">
                    <a:defRPr b="1" i="0">
                      <a:latin typeface="serif"/>
                    </a:defRPr>
                  </a:pPr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3"/>
              <c:txPr>
                <a:bodyPr/>
                <a:lstStyle/>
                <a:p>
                  <a:pPr lvl="0">
                    <a:defRPr b="1" i="0">
                      <a:latin typeface="serif"/>
                    </a:defRPr>
                  </a:pPr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4"/>
              <c:txPr>
                <a:bodyPr/>
                <a:lstStyle/>
                <a:p>
                  <a:pPr lvl="0">
                    <a:defRPr b="1" i="0">
                      <a:latin typeface="serif"/>
                    </a:defRPr>
                  </a:pPr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10"/>
              <c:txPr>
                <a:bodyPr/>
                <a:lstStyle/>
                <a:p>
                  <a:pPr lvl="0">
                    <a:defRPr b="1" i="0">
                      <a:latin typeface="serif"/>
                    </a:defRPr>
                  </a:pPr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</c:dLbl>
            <c:showLegendKey val="0"/>
            <c:showVal val="0"/>
            <c:showCatName val="1"/>
            <c:showSerName val="0"/>
            <c:showPercent val="0"/>
            <c:showBubbleSize val="0"/>
            <c:showLeaderLines val="1"/>
          </c:dLbls>
          <c:cat>
            <c:strRef>
              <c:f>'% de Alocação da Carteira 09_25'!$L$4:$L$14</c:f>
            </c:strRef>
          </c:cat>
          <c:val>
            <c:numRef>
              <c:f>'% de Alocação da Carteira 09_25'!$N$4:$N$14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layout>
        <c:manualLayout>
          <c:xMode val="edge"/>
          <c:yMode val="edge"/>
          <c:x val="0.6731727065826331"/>
          <c:y val="0.16152263374485595"/>
        </c:manualLayout>
      </c:layout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28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 i="0">
                <a:solidFill>
                  <a:srgbClr val="757575"/>
                </a:solidFill>
                <a:latin typeface="+mn-lt"/>
              </a:defRPr>
            </a:pPr>
            <a:r>
              <a:rPr b="0" i="0">
                <a:solidFill>
                  <a:srgbClr val="757575"/>
                </a:solidFill>
                <a:latin typeface="+mn-lt"/>
              </a:rPr>
              <a:t>Carteira "Nasser Family" </a:t>
            </a:r>
          </a:p>
        </c:rich>
      </c:tx>
      <c:overlay val="0"/>
    </c:title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472C4"/>
              </a:solidFill>
            </c:spPr>
          </c:dPt>
          <c:dPt>
            <c:idx val="1"/>
            <c:spPr>
              <a:solidFill>
                <a:srgbClr val="ED7D31"/>
              </a:solidFill>
            </c:spPr>
          </c:dPt>
          <c:dPt>
            <c:idx val="2"/>
            <c:spPr>
              <a:solidFill>
                <a:srgbClr val="A5A5A5"/>
              </a:solidFill>
            </c:spPr>
          </c:dPt>
          <c:dPt>
            <c:idx val="3"/>
            <c:spPr>
              <a:solidFill>
                <a:srgbClr val="FFC000"/>
              </a:solidFill>
            </c:spPr>
          </c:dPt>
          <c:dPt>
            <c:idx val="4"/>
            <c:spPr>
              <a:solidFill>
                <a:srgbClr val="5B9BD5"/>
              </a:solidFill>
            </c:spPr>
          </c:dPt>
          <c:dPt>
            <c:idx val="5"/>
            <c:spPr>
              <a:solidFill>
                <a:srgbClr val="70AD47"/>
              </a:solidFill>
            </c:spPr>
          </c:dPt>
          <c:dPt>
            <c:idx val="6"/>
            <c:spPr>
              <a:solidFill>
                <a:srgbClr val="7C9CD6"/>
              </a:solidFill>
            </c:spPr>
          </c:dPt>
          <c:dPt>
            <c:idx val="7"/>
            <c:spPr>
              <a:solidFill>
                <a:srgbClr val="F2A46F"/>
              </a:solidFill>
            </c:spPr>
          </c:dPt>
          <c:dPt>
            <c:idx val="8"/>
            <c:spPr>
              <a:solidFill>
                <a:srgbClr val="C0C0C0"/>
              </a:solidFill>
            </c:spPr>
          </c:dPt>
          <c:dPt>
            <c:idx val="9"/>
            <c:spPr>
              <a:solidFill>
                <a:srgbClr val="FFD34D"/>
              </a:solidFill>
            </c:spPr>
          </c:dPt>
          <c:dPt>
            <c:idx val="10"/>
            <c:spPr>
              <a:solidFill>
                <a:srgbClr val="8CB9E2"/>
              </a:solidFill>
            </c:spPr>
          </c:dPt>
          <c:dLbls>
            <c:dLbl>
              <c:idx val="5"/>
              <c:txPr>
                <a:bodyPr/>
                <a:lstStyle/>
                <a:p>
                  <a:pPr lvl="0">
                    <a:defRPr b="1" i="0">
                      <a:latin typeface="serif"/>
                    </a:defRPr>
                  </a:pPr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6"/>
              <c:txPr>
                <a:bodyPr/>
                <a:lstStyle/>
                <a:p>
                  <a:pPr lvl="0">
                    <a:defRPr b="1" i="0">
                      <a:latin typeface="serif"/>
                    </a:defRPr>
                  </a:pPr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7"/>
              <c:txPr>
                <a:bodyPr/>
                <a:lstStyle/>
                <a:p>
                  <a:pPr lvl="0">
                    <a:defRPr b="1" i="0" sz="1000">
                      <a:latin typeface="serif"/>
                    </a:defRPr>
                  </a:pPr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8"/>
              <c:txPr>
                <a:bodyPr/>
                <a:lstStyle/>
                <a:p>
                  <a:pPr lvl="0">
                    <a:defRPr b="1" i="0" sz="800">
                      <a:latin typeface="serif"/>
                    </a:defRPr>
                  </a:pPr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9"/>
              <c:txPr>
                <a:bodyPr/>
                <a:lstStyle/>
                <a:p>
                  <a:pPr lvl="0">
                    <a:defRPr b="1" i="0" sz="700">
                      <a:latin typeface="serif"/>
                    </a:defRPr>
                  </a:pPr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10"/>
              <c:txPr>
                <a:bodyPr/>
                <a:lstStyle/>
                <a:p>
                  <a:pPr lvl="0">
                    <a:defRPr b="1" i="0" sz="700">
                      <a:latin typeface="serif"/>
                    </a:defRPr>
                  </a:pPr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</c:dLbl>
            <c:showLegendKey val="0"/>
            <c:showVal val="0"/>
            <c:showCatName val="1"/>
            <c:showSerName val="0"/>
            <c:showPercent val="0"/>
            <c:showBubbleSize val="0"/>
            <c:showLeaderLines val="1"/>
          </c:dLbls>
          <c:cat>
            <c:strRef>
              <c:f>'% de Alocação da Carteira 10_25'!$B$4:$B$14</c:f>
            </c:strRef>
          </c:cat>
          <c:val>
            <c:numRef>
              <c:f>'% de Alocação da Carteira 10_25'!$D$4:$D$14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serif"/>
            </a:defRPr>
          </a:pPr>
        </a:p>
      </c:txPr>
    </c:legend>
    <c:plotVisOnly val="1"/>
  </c:chart>
</c:chartSpace>
</file>

<file path=xl/charts/chart29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 i="0" sz="1600">
                <a:solidFill>
                  <a:srgbClr val="757575"/>
                </a:solidFill>
                <a:latin typeface="Arial"/>
              </a:defRPr>
            </a:pPr>
            <a:r>
              <a:rPr b="0" i="0" sz="1600">
                <a:solidFill>
                  <a:srgbClr val="757575"/>
                </a:solidFill>
                <a:latin typeface="Arial"/>
              </a:rPr>
              <a:t>% de Alocações Carteira "Nasser Family" na R. V. por Setor</a:t>
            </a:r>
          </a:p>
        </c:rich>
      </c:tx>
      <c:layout>
        <c:manualLayout>
          <c:xMode val="edge"/>
          <c:yMode val="edge"/>
          <c:x val="0.03356164383561644"/>
          <c:y val="0.06333333333333334"/>
        </c:manualLayout>
      </c:layout>
      <c:overlay val="0"/>
    </c:title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explosion val="0"/>
            <c:spPr>
              <a:solidFill>
                <a:srgbClr val="4472C4"/>
              </a:solidFill>
            </c:spPr>
          </c:dPt>
          <c:dPt>
            <c:idx val="1"/>
            <c:spPr>
              <a:solidFill>
                <a:srgbClr val="ED7D31"/>
              </a:solidFill>
            </c:spPr>
          </c:dPt>
          <c:dPt>
            <c:idx val="2"/>
            <c:spPr>
              <a:solidFill>
                <a:srgbClr val="A5A5A5"/>
              </a:solidFill>
            </c:spPr>
          </c:dPt>
          <c:dPt>
            <c:idx val="3"/>
            <c:spPr>
              <a:solidFill>
                <a:srgbClr val="FFC000"/>
              </a:solidFill>
            </c:spPr>
          </c:dPt>
          <c:dPt>
            <c:idx val="4"/>
            <c:spPr>
              <a:solidFill>
                <a:srgbClr val="5B9BD5"/>
              </a:solidFill>
            </c:spPr>
          </c:dPt>
          <c:dPt>
            <c:idx val="5"/>
            <c:spPr>
              <a:solidFill>
                <a:srgbClr val="70AD47"/>
              </a:solidFill>
            </c:spPr>
          </c:dPt>
          <c:dPt>
            <c:idx val="6"/>
            <c:spPr>
              <a:solidFill>
                <a:srgbClr val="7C9CD6"/>
              </a:solidFill>
            </c:spPr>
          </c:dPt>
          <c:dPt>
            <c:idx val="7"/>
            <c:spPr>
              <a:solidFill>
                <a:srgbClr val="F2A46F"/>
              </a:solidFill>
            </c:spPr>
          </c:dPt>
          <c:dPt>
            <c:idx val="8"/>
            <c:spPr>
              <a:solidFill>
                <a:srgbClr val="C0C0C0"/>
              </a:solidFill>
            </c:spPr>
          </c:dPt>
          <c:dPt>
            <c:idx val="9"/>
            <c:spPr>
              <a:solidFill>
                <a:srgbClr val="FFD34D"/>
              </a:solidFill>
            </c:spPr>
          </c:dPt>
          <c:dPt>
            <c:idx val="10"/>
            <c:spPr>
              <a:solidFill>
                <a:srgbClr val="8CB9E2"/>
              </a:solidFill>
            </c:spPr>
          </c:dPt>
          <c:dPt>
            <c:idx val="11"/>
            <c:spPr>
              <a:solidFill>
                <a:srgbClr val="9BC67E"/>
              </a:solidFill>
            </c:spPr>
          </c:dPt>
          <c:dPt>
            <c:idx val="12"/>
            <c:spPr>
              <a:solidFill>
                <a:srgbClr val="B4C7E7"/>
              </a:solidFill>
            </c:spPr>
          </c:dPt>
          <c:dLbls>
            <c:dLbl>
              <c:idx val="11"/>
              <c:txPr>
                <a:bodyPr/>
                <a:lstStyle/>
                <a:p>
                  <a:pPr lvl="0">
                    <a:defRPr b="1" i="0" sz="800"/>
                  </a:pPr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</c:dLbl>
            <c:showLegendKey val="0"/>
            <c:showVal val="0"/>
            <c:showCatName val="1"/>
            <c:showSerName val="0"/>
            <c:showPercent val="0"/>
            <c:showBubbleSize val="0"/>
            <c:showLeaderLines val="1"/>
          </c:dLbls>
          <c:cat>
            <c:strRef>
              <c:f>'% de Alocação da Carteira 10_25'!$D$20:$D$32</c:f>
            </c:strRef>
          </c:cat>
          <c:val>
            <c:numRef>
              <c:f>'% de Alocação da Carteira 10_25'!$C$20:$C$32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 sz="1000">
              <a:solidFill>
                <a:srgbClr val="1A1A1A"/>
              </a:solidFill>
              <a:latin typeface="Arial black"/>
            </a:defRPr>
          </a:pPr>
        </a:p>
      </c:txPr>
    </c:legend>
    <c:plotVisOnly val="1"/>
  </c:chart>
</c:chartSpace>
</file>

<file path=xl/charts/chart30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 i="0">
                <a:solidFill>
                  <a:srgbClr val="757575"/>
                </a:solidFill>
                <a:latin typeface="+mn-lt"/>
              </a:defRPr>
            </a:pPr>
            <a:r>
              <a:rPr b="0" i="0">
                <a:solidFill>
                  <a:srgbClr val="757575"/>
                </a:solidFill>
                <a:latin typeface="+mn-lt"/>
              </a:rPr>
              <a:t>Carteira "NF" -ALOCAÇÃO % COMPACTA</a:t>
            </a:r>
          </a:p>
        </c:rich>
      </c:tx>
      <c:overlay val="0"/>
    </c:title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472C4"/>
              </a:solidFill>
            </c:spPr>
          </c:dPt>
          <c:dPt>
            <c:idx val="1"/>
            <c:spPr>
              <a:solidFill>
                <a:srgbClr val="ED7D31"/>
              </a:solidFill>
            </c:spPr>
          </c:dPt>
          <c:dPt>
            <c:idx val="2"/>
            <c:spPr>
              <a:solidFill>
                <a:srgbClr val="A5A5A5"/>
              </a:solidFill>
            </c:spPr>
          </c:dPt>
          <c:dPt>
            <c:idx val="3"/>
            <c:spPr>
              <a:solidFill>
                <a:srgbClr val="FFC000"/>
              </a:solidFill>
            </c:spPr>
          </c:dPt>
          <c:dPt>
            <c:idx val="4"/>
            <c:spPr>
              <a:solidFill>
                <a:srgbClr val="5B9BD5"/>
              </a:solidFill>
            </c:spPr>
          </c:dPt>
          <c:dPt>
            <c:idx val="5"/>
            <c:spPr>
              <a:solidFill>
                <a:srgbClr val="70AD47"/>
              </a:solidFill>
            </c:spPr>
          </c:dPt>
          <c:dPt>
            <c:idx val="6"/>
            <c:spPr>
              <a:solidFill>
                <a:srgbClr val="7C9CD6"/>
              </a:solidFill>
            </c:spPr>
          </c:dPt>
          <c:dPt>
            <c:idx val="7"/>
            <c:spPr>
              <a:solidFill>
                <a:srgbClr val="F2A46F"/>
              </a:solidFill>
            </c:spPr>
          </c:dPt>
          <c:dPt>
            <c:idx val="8"/>
            <c:spPr>
              <a:solidFill>
                <a:srgbClr val="C0C0C0"/>
              </a:solidFill>
            </c:spPr>
          </c:dPt>
          <c:dPt>
            <c:idx val="9"/>
            <c:spPr>
              <a:solidFill>
                <a:srgbClr val="FFD34D"/>
              </a:solidFill>
            </c:spPr>
          </c:dPt>
          <c:dPt>
            <c:idx val="10"/>
            <c:spPr>
              <a:solidFill>
                <a:srgbClr val="8CB9E2"/>
              </a:solidFill>
            </c:spPr>
          </c:dPt>
          <c:dLbls>
            <c:dLbl>
              <c:idx val="0"/>
              <c:txPr>
                <a:bodyPr/>
                <a:lstStyle/>
                <a:p>
                  <a:pPr lvl="0">
                    <a:defRPr b="1" i="0">
                      <a:latin typeface="serif"/>
                    </a:defRPr>
                  </a:pPr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3"/>
              <c:txPr>
                <a:bodyPr/>
                <a:lstStyle/>
                <a:p>
                  <a:pPr lvl="0">
                    <a:defRPr b="1" i="0">
                      <a:latin typeface="serif"/>
                    </a:defRPr>
                  </a:pPr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4"/>
              <c:txPr>
                <a:bodyPr/>
                <a:lstStyle/>
                <a:p>
                  <a:pPr lvl="0">
                    <a:defRPr b="1" i="0">
                      <a:latin typeface="serif"/>
                    </a:defRPr>
                  </a:pPr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10"/>
              <c:txPr>
                <a:bodyPr/>
                <a:lstStyle/>
                <a:p>
                  <a:pPr lvl="0">
                    <a:defRPr b="1" i="0">
                      <a:latin typeface="serif"/>
                    </a:defRPr>
                  </a:pPr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</c:dLbl>
            <c:showLegendKey val="0"/>
            <c:showVal val="0"/>
            <c:showCatName val="1"/>
            <c:showSerName val="0"/>
            <c:showPercent val="0"/>
            <c:showBubbleSize val="0"/>
            <c:showLeaderLines val="1"/>
          </c:dLbls>
          <c:cat>
            <c:strRef>
              <c:f>'% de Alocação da Carteira 10_25'!$L$4:$L$14</c:f>
            </c:strRef>
          </c:cat>
          <c:val>
            <c:numRef>
              <c:f>'% de Alocação da Carteira 10_25'!$N$4:$N$14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legendEntry>
        <c:idx val="4"/>
        <c:txPr>
          <a:bodyPr/>
          <a:lstStyle/>
          <a:p>
            <a:pPr lvl="0">
              <a:defRPr sz="1000"/>
            </a:pPr>
          </a:p>
        </c:txPr>
      </c:legendEntry>
      <c:layout>
        <c:manualLayout>
          <c:xMode val="edge"/>
          <c:yMode val="edge"/>
          <c:x val="0.8234733077850378"/>
          <c:y val="0.15791252544160686"/>
        </c:manualLayout>
      </c:layout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 i="0" sz="1600">
                <a:solidFill>
                  <a:srgbClr val="757575"/>
                </a:solidFill>
                <a:latin typeface="Arial"/>
              </a:defRPr>
            </a:pPr>
            <a:r>
              <a:rPr b="0" i="0" sz="1600">
                <a:solidFill>
                  <a:srgbClr val="757575"/>
                </a:solidFill>
                <a:latin typeface="Arial"/>
              </a:rPr>
              <a:t>% de Alocações Carteira "Nasser Family" na R. V. por Setor</a:t>
            </a:r>
          </a:p>
        </c:rich>
      </c:tx>
      <c:layout>
        <c:manualLayout>
          <c:xMode val="edge"/>
          <c:yMode val="edge"/>
          <c:x val="0.03356164383561644"/>
          <c:y val="0.06333333333333334"/>
        </c:manualLayout>
      </c:layout>
      <c:overlay val="0"/>
    </c:title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472C4"/>
              </a:solidFill>
            </c:spPr>
          </c:dPt>
          <c:dPt>
            <c:idx val="1"/>
            <c:spPr>
              <a:solidFill>
                <a:srgbClr val="ED7D31"/>
              </a:solidFill>
            </c:spPr>
          </c:dPt>
          <c:dPt>
            <c:idx val="2"/>
            <c:spPr>
              <a:solidFill>
                <a:srgbClr val="A5A5A5"/>
              </a:solidFill>
            </c:spPr>
          </c:dPt>
          <c:dPt>
            <c:idx val="3"/>
            <c:spPr>
              <a:solidFill>
                <a:srgbClr val="FFC000"/>
              </a:solidFill>
            </c:spPr>
          </c:dPt>
          <c:dPt>
            <c:idx val="4"/>
            <c:spPr>
              <a:solidFill>
                <a:srgbClr val="5B9BD5"/>
              </a:solidFill>
            </c:spPr>
          </c:dPt>
          <c:dPt>
            <c:idx val="5"/>
            <c:spPr>
              <a:solidFill>
                <a:srgbClr val="70AD47"/>
              </a:solidFill>
            </c:spPr>
          </c:dPt>
          <c:dPt>
            <c:idx val="6"/>
            <c:spPr>
              <a:solidFill>
                <a:srgbClr val="7C9CD6"/>
              </a:solidFill>
            </c:spPr>
          </c:dPt>
          <c:dPt>
            <c:idx val="7"/>
            <c:spPr>
              <a:solidFill>
                <a:srgbClr val="F2A46F"/>
              </a:solidFill>
            </c:spPr>
          </c:dPt>
          <c:dPt>
            <c:idx val="8"/>
            <c:spPr>
              <a:solidFill>
                <a:srgbClr val="C0C0C0"/>
              </a:solidFill>
            </c:spPr>
          </c:dPt>
          <c:dPt>
            <c:idx val="9"/>
            <c:spPr>
              <a:solidFill>
                <a:srgbClr val="FFD34D"/>
              </a:solidFill>
            </c:spPr>
          </c:dPt>
          <c:dPt>
            <c:idx val="10"/>
            <c:spPr>
              <a:solidFill>
                <a:srgbClr val="8CB9E2"/>
              </a:solidFill>
            </c:spPr>
          </c:dPt>
          <c:dPt>
            <c:idx val="11"/>
            <c:spPr>
              <a:solidFill>
                <a:srgbClr val="9BC67E"/>
              </a:solidFill>
            </c:spPr>
          </c:dPt>
          <c:dPt>
            <c:idx val="12"/>
            <c:spPr>
              <a:solidFill>
                <a:srgbClr val="B4C7E7"/>
              </a:solidFill>
            </c:spPr>
          </c:dPt>
          <c:dLbls>
            <c:dLbl>
              <c:idx val="11"/>
              <c:txPr>
                <a:bodyPr/>
                <a:lstStyle/>
                <a:p>
                  <a:pPr lvl="0">
                    <a:defRPr b="1" i="0" sz="800"/>
                  </a:pPr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</c:dLbl>
            <c:showLegendKey val="0"/>
            <c:showVal val="0"/>
            <c:showCatName val="1"/>
            <c:showSerName val="0"/>
            <c:showPercent val="0"/>
            <c:showBubbleSize val="0"/>
            <c:showLeaderLines val="1"/>
          </c:dLbls>
          <c:cat>
            <c:strRef>
              <c:f>'% de Alocação da Carteira 11_25'!$D$20:$D$32</c:f>
            </c:strRef>
          </c:cat>
          <c:val>
            <c:numRef>
              <c:f>'% de Alocação da Carteira 11_25'!$C$20:$C$32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 i="0">
                <a:solidFill>
                  <a:srgbClr val="757575"/>
                </a:solidFill>
                <a:latin typeface="+mn-lt"/>
              </a:defRPr>
            </a:pPr>
            <a:r>
              <a:rPr b="0" i="0">
                <a:solidFill>
                  <a:srgbClr val="757575"/>
                </a:solidFill>
                <a:latin typeface="+mn-lt"/>
              </a:rPr>
              <a:t>Carteira "Nasser Family" </a:t>
            </a:r>
          </a:p>
        </c:rich>
      </c:tx>
      <c:overlay val="0"/>
    </c:title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472C4"/>
              </a:solidFill>
            </c:spPr>
          </c:dPt>
          <c:dPt>
            <c:idx val="1"/>
            <c:spPr>
              <a:solidFill>
                <a:srgbClr val="ED7D31"/>
              </a:solidFill>
            </c:spPr>
          </c:dPt>
          <c:dPt>
            <c:idx val="2"/>
            <c:spPr>
              <a:solidFill>
                <a:srgbClr val="A5A5A5"/>
              </a:solidFill>
            </c:spPr>
          </c:dPt>
          <c:dPt>
            <c:idx val="3"/>
            <c:spPr>
              <a:solidFill>
                <a:srgbClr val="FFC000"/>
              </a:solidFill>
            </c:spPr>
          </c:dPt>
          <c:dPt>
            <c:idx val="4"/>
            <c:spPr>
              <a:solidFill>
                <a:srgbClr val="5B9BD5"/>
              </a:solidFill>
            </c:spPr>
          </c:dPt>
          <c:dPt>
            <c:idx val="5"/>
            <c:spPr>
              <a:solidFill>
                <a:srgbClr val="70AD47"/>
              </a:solidFill>
            </c:spPr>
          </c:dPt>
          <c:dPt>
            <c:idx val="6"/>
            <c:spPr>
              <a:solidFill>
                <a:srgbClr val="7C9CD6"/>
              </a:solidFill>
            </c:spPr>
          </c:dPt>
          <c:dPt>
            <c:idx val="7"/>
            <c:spPr>
              <a:solidFill>
                <a:srgbClr val="F2A46F"/>
              </a:solidFill>
            </c:spPr>
          </c:dPt>
          <c:dPt>
            <c:idx val="8"/>
            <c:spPr>
              <a:solidFill>
                <a:srgbClr val="C0C0C0"/>
              </a:solidFill>
            </c:spPr>
          </c:dPt>
          <c:dPt>
            <c:idx val="9"/>
            <c:spPr>
              <a:solidFill>
                <a:srgbClr val="FFD34D"/>
              </a:solidFill>
            </c:spPr>
          </c:dPt>
          <c:dPt>
            <c:idx val="10"/>
            <c:spPr>
              <a:solidFill>
                <a:srgbClr val="8CB9E2"/>
              </a:solidFill>
            </c:spPr>
          </c:dPt>
          <c:dLbls>
            <c:dLbl>
              <c:idx val="5"/>
              <c:txPr>
                <a:bodyPr/>
                <a:lstStyle/>
                <a:p>
                  <a:pPr lvl="0">
                    <a:defRPr b="1" i="0">
                      <a:latin typeface="serif"/>
                    </a:defRPr>
                  </a:pPr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6"/>
              <c:txPr>
                <a:bodyPr/>
                <a:lstStyle/>
                <a:p>
                  <a:pPr lvl="0">
                    <a:defRPr b="1" i="0">
                      <a:latin typeface="serif"/>
                    </a:defRPr>
                  </a:pPr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7"/>
              <c:txPr>
                <a:bodyPr/>
                <a:lstStyle/>
                <a:p>
                  <a:pPr lvl="0">
                    <a:defRPr b="1" i="0" sz="1000">
                      <a:latin typeface="serif"/>
                    </a:defRPr>
                  </a:pPr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8"/>
              <c:txPr>
                <a:bodyPr/>
                <a:lstStyle/>
                <a:p>
                  <a:pPr lvl="0">
                    <a:defRPr b="1" i="0" sz="800">
                      <a:latin typeface="serif"/>
                    </a:defRPr>
                  </a:pPr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9"/>
              <c:txPr>
                <a:bodyPr/>
                <a:lstStyle/>
                <a:p>
                  <a:pPr lvl="0">
                    <a:defRPr b="1" i="0" sz="700">
                      <a:latin typeface="serif"/>
                    </a:defRPr>
                  </a:pPr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10"/>
              <c:txPr>
                <a:bodyPr/>
                <a:lstStyle/>
                <a:p>
                  <a:pPr lvl="0">
                    <a:defRPr b="1" i="0" sz="700">
                      <a:latin typeface="serif"/>
                    </a:defRPr>
                  </a:pPr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</c:dLbl>
            <c:showLegendKey val="0"/>
            <c:showVal val="0"/>
            <c:showCatName val="1"/>
            <c:showSerName val="0"/>
            <c:showPercent val="0"/>
            <c:showBubbleSize val="0"/>
            <c:showLeaderLines val="1"/>
          </c:dLbls>
          <c:cat>
            <c:strRef>
              <c:f>'% de Alocação da Carteira 11_25'!$B$4:$B$14</c:f>
            </c:strRef>
          </c:cat>
          <c:val>
            <c:numRef>
              <c:f>'% de Alocação da Carteira 11_25'!$E$4:$E$14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serif"/>
            </a:defRPr>
          </a:pPr>
        </a:p>
      </c:txPr>
    </c:legend>
    <c:plotVisOnly val="1"/>
  </c:chart>
</c:chartSpace>
</file>

<file path=xl/charts/chart3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 i="0">
                <a:solidFill>
                  <a:srgbClr val="757575"/>
                </a:solidFill>
                <a:latin typeface="+mn-lt"/>
              </a:defRPr>
            </a:pPr>
            <a:r>
              <a:rPr b="0" i="0">
                <a:solidFill>
                  <a:srgbClr val="757575"/>
                </a:solidFill>
                <a:latin typeface="+mn-lt"/>
              </a:rPr>
              <a:t>Carteira "NF" -ALOCAÇÃO % COMPACTA</a:t>
            </a:r>
          </a:p>
        </c:rich>
      </c:tx>
      <c:overlay val="0"/>
    </c:title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472C4"/>
              </a:solidFill>
            </c:spPr>
          </c:dPt>
          <c:dPt>
            <c:idx val="1"/>
            <c:spPr>
              <a:solidFill>
                <a:srgbClr val="ED7D31"/>
              </a:solidFill>
            </c:spPr>
          </c:dPt>
          <c:dPt>
            <c:idx val="2"/>
            <c:spPr>
              <a:solidFill>
                <a:srgbClr val="A5A5A5"/>
              </a:solidFill>
            </c:spPr>
          </c:dPt>
          <c:dPt>
            <c:idx val="3"/>
            <c:spPr>
              <a:solidFill>
                <a:srgbClr val="FFC000"/>
              </a:solidFill>
            </c:spPr>
          </c:dPt>
          <c:dPt>
            <c:idx val="4"/>
            <c:spPr>
              <a:solidFill>
                <a:srgbClr val="5B9BD5"/>
              </a:solidFill>
            </c:spPr>
          </c:dPt>
          <c:dPt>
            <c:idx val="5"/>
            <c:spPr>
              <a:solidFill>
                <a:srgbClr val="70AD47"/>
              </a:solidFill>
            </c:spPr>
          </c:dPt>
          <c:dPt>
            <c:idx val="6"/>
            <c:spPr>
              <a:solidFill>
                <a:srgbClr val="7C9CD6"/>
              </a:solidFill>
            </c:spPr>
          </c:dPt>
          <c:dPt>
            <c:idx val="7"/>
            <c:spPr>
              <a:solidFill>
                <a:srgbClr val="F2A46F"/>
              </a:solidFill>
            </c:spPr>
          </c:dPt>
          <c:dPt>
            <c:idx val="8"/>
            <c:spPr>
              <a:solidFill>
                <a:srgbClr val="C0C0C0"/>
              </a:solidFill>
            </c:spPr>
          </c:dPt>
          <c:dPt>
            <c:idx val="9"/>
            <c:spPr>
              <a:solidFill>
                <a:srgbClr val="FFD34D"/>
              </a:solidFill>
            </c:spPr>
          </c:dPt>
          <c:dPt>
            <c:idx val="10"/>
            <c:spPr>
              <a:solidFill>
                <a:srgbClr val="8CB9E2"/>
              </a:solidFill>
            </c:spPr>
          </c:dPt>
          <c:dLbls>
            <c:dLbl>
              <c:idx val="0"/>
              <c:txPr>
                <a:bodyPr/>
                <a:lstStyle/>
                <a:p>
                  <a:pPr lvl="0">
                    <a:defRPr b="1" i="0">
                      <a:latin typeface="serif"/>
                    </a:defRPr>
                  </a:pPr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3"/>
              <c:txPr>
                <a:bodyPr/>
                <a:lstStyle/>
                <a:p>
                  <a:pPr lvl="0">
                    <a:defRPr b="1" i="0">
                      <a:latin typeface="serif"/>
                    </a:defRPr>
                  </a:pPr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4"/>
              <c:txPr>
                <a:bodyPr/>
                <a:lstStyle/>
                <a:p>
                  <a:pPr lvl="0">
                    <a:defRPr b="1" i="0">
                      <a:latin typeface="serif"/>
                    </a:defRPr>
                  </a:pPr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10"/>
              <c:txPr>
                <a:bodyPr/>
                <a:lstStyle/>
                <a:p>
                  <a:pPr lvl="0">
                    <a:defRPr b="1" i="0">
                      <a:latin typeface="serif"/>
                    </a:defRPr>
                  </a:pPr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</c:dLbl>
            <c:showLegendKey val="0"/>
            <c:showVal val="0"/>
            <c:showCatName val="1"/>
            <c:showSerName val="0"/>
            <c:showPercent val="0"/>
            <c:showBubbleSize val="0"/>
            <c:showLeaderLines val="1"/>
          </c:dLbls>
          <c:cat>
            <c:strRef>
              <c:f>'% de Alocação da Carteira 11_25'!$L$4:$L$14</c:f>
            </c:strRef>
          </c:cat>
          <c:val>
            <c:numRef>
              <c:f>'% de Alocação da Carteira 11_25'!$N$4:$N$14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layout>
        <c:manualLayout>
          <c:xMode val="edge"/>
          <c:yMode val="edge"/>
          <c:x val="0.6731727065826331"/>
          <c:y val="0.16152263374485595"/>
        </c:manualLayout>
      </c:layout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1" i="0">
                <a:solidFill>
                  <a:srgbClr val="000000"/>
                </a:solidFill>
                <a:latin typeface="Calibri"/>
              </a:defRPr>
            </a:pPr>
            <a:r>
              <a:rPr b="1" i="0">
                <a:solidFill>
                  <a:srgbClr val="000000"/>
                </a:solidFill>
                <a:latin typeface="Calibri"/>
              </a:rPr>
              <a:t>Retorno Acumulado da carteira </a:t>
            </a:r>
          </a:p>
        </c:rich>
      </c:tx>
      <c:overlay val="0"/>
    </c:title>
    <c:plotArea>
      <c:layout/>
      <c:lineChart>
        <c:varyColors val="0"/>
        <c:ser>
          <c:idx val="0"/>
          <c:order val="0"/>
          <c:spPr>
            <a:ln cmpd="sng" w="28575">
              <a:solidFill>
                <a:schemeClr val="accent1"/>
              </a:solidFill>
              <a:prstDash val="solid"/>
            </a:ln>
          </c:spPr>
          <c:marker>
            <c:symbol val="circle"/>
            <c:size val="10"/>
            <c:spPr>
              <a:solidFill>
                <a:schemeClr val="accent1"/>
              </a:solidFill>
              <a:ln cmpd="sng">
                <a:solidFill>
                  <a:schemeClr val="accent1"/>
                </a:solidFill>
              </a:ln>
            </c:spPr>
          </c:marker>
          <c:dLbls>
            <c:numFmt formatCode="General" sourceLinked="1"/>
            <c:txPr>
              <a:bodyPr/>
              <a:lstStyle/>
              <a:p>
                <a:pPr lvl="0">
                  <a:defRPr b="1" i="0">
                    <a:solidFill>
                      <a:srgbClr val="000000"/>
                    </a:solidFill>
                  </a:defRPr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trendline>
            <c:name/>
            <c:spPr>
              <a:ln w="19050">
                <a:solidFill>
                  <a:srgbClr val="00FFFF">
                    <a:alpha val="40000"/>
                  </a:srgbClr>
                </a:solidFill>
              </a:ln>
            </c:spPr>
            <c:trendlineType val="linear"/>
            <c:dispRSqr val="0"/>
            <c:dispEq val="0"/>
          </c:trendline>
          <c:errBars>
            <c:errDir val="y"/>
            <c:errBarType val="both"/>
            <c:errValType val="percentage"/>
            <c:noEndCap val="0"/>
            <c:val val="10.0"/>
          </c:errBars>
          <c:cat>
            <c:strRef>
              <c:f>'Planilha de Rentabilidade'!$AM$71:$AX$71</c:f>
            </c:strRef>
          </c:cat>
          <c:val>
            <c:numRef>
              <c:f>'Planilha de Rentabilidade'!$AM$74:$AX$74</c:f>
              <c:numCache/>
            </c:numRef>
          </c:val>
          <c:smooth val="0"/>
        </c:ser>
        <c:axId val="2135570645"/>
        <c:axId val="1799088059"/>
      </c:lineChart>
      <c:catAx>
        <c:axId val="213557064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 i="0">
                    <a:solidFill>
                      <a:srgbClr val="000000"/>
                    </a:solidFill>
                    <a:latin typeface="+mn-lt"/>
                  </a:defRPr>
                </a:pPr>
                <a:r>
                  <a:rPr b="0" i="0">
                    <a:solidFill>
                      <a:srgbClr val="000000"/>
                    </a:solidFill>
                    <a:latin typeface="+mn-lt"/>
                  </a:rPr>
                  <a:t>MESES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spPr/>
        <c:txPr>
          <a:bodyPr/>
          <a:lstStyle/>
          <a:p>
            <a:pPr lvl="0">
              <a:defRPr b="0" i="0" sz="900">
                <a:solidFill>
                  <a:srgbClr val="595959"/>
                </a:solidFill>
                <a:latin typeface="Calibri"/>
              </a:defRPr>
            </a:pPr>
          </a:p>
        </c:txPr>
        <c:crossAx val="1799088059"/>
      </c:catAx>
      <c:valAx>
        <c:axId val="1799088059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0.00%" sourceLinked="0"/>
        <c:majorTickMark val="cross"/>
        <c:minorTickMark val="cross"/>
        <c:tickLblPos val="nextTo"/>
        <c:spPr>
          <a:ln/>
        </c:spPr>
        <c:txPr>
          <a:bodyPr/>
          <a:lstStyle/>
          <a:p>
            <a:pPr lvl="0">
              <a:defRPr b="0" i="0" sz="900">
                <a:solidFill>
                  <a:srgbClr val="595959"/>
                </a:solidFill>
                <a:latin typeface="Calibri"/>
              </a:defRPr>
            </a:pPr>
          </a:p>
        </c:txPr>
        <c:crossAx val="2135570645"/>
      </c:valAx>
      <c:spPr>
        <a:solidFill>
          <a:srgbClr val="FFFFFF"/>
        </a:solidFill>
      </c:spPr>
    </c:plotArea>
    <c:legend>
      <c:legendPos val="b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  <c:spPr>
    <a:solidFill>
      <a:srgbClr val="FFFFFF"/>
    </a:solidFill>
  </c:spPr>
</c:chartSpace>
</file>

<file path=xl/charts/chart35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1" i="0" sz="1600">
                <a:solidFill>
                  <a:srgbClr val="595959"/>
                </a:solidFill>
                <a:latin typeface="Calibri"/>
              </a:defRPr>
            </a:pPr>
            <a:r>
              <a:rPr b="1" i="0" sz="1600">
                <a:solidFill>
                  <a:srgbClr val="595959"/>
                </a:solidFill>
                <a:latin typeface="Calibri"/>
              </a:rPr>
              <a:t>PESO DOS ATIVOS EM CARTEIRA</a:t>
            </a:r>
          </a:p>
        </c:rich>
      </c:tx>
      <c:overlay val="0"/>
    </c:title>
    <c:view3D>
      <c:rotX val="50"/>
      <c:perspective val="0"/>
    </c:view3D>
    <c:plotArea>
      <c:layout>
        <c:manualLayout>
          <c:xMode val="edge"/>
          <c:yMode val="edge"/>
          <c:x val="0.16897160538952521"/>
          <c:y val="0.11906859906034184"/>
          <c:w val="0.6617636589623268"/>
          <c:h val="0.7962765027905178"/>
        </c:manualLayout>
      </c:layout>
      <c:pie3DChart>
        <c:varyColors val="1"/>
        <c:ser>
          <c:idx val="0"/>
          <c:order val="0"/>
          <c:dPt>
            <c:idx val="0"/>
            <c:spPr>
              <a:solidFill>
                <a:srgbClr val="3366CC"/>
              </a:solidFill>
            </c:spPr>
          </c:dPt>
          <c:dLbls>
            <c:dLbl>
              <c:idx val="5"/>
              <c:txPr>
                <a:bodyPr/>
                <a:lstStyle/>
                <a:p>
                  <a:pPr lvl="0">
                    <a:defRPr b="1" i="0" sz="1000">
                      <a:latin typeface="Arial"/>
                    </a:defRPr>
                  </a:pPr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6"/>
              <c:txPr>
                <a:bodyPr/>
                <a:lstStyle/>
                <a:p>
                  <a:pPr lvl="0">
                    <a:defRPr sz="1000"/>
                  </a:pPr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16"/>
              <c:txPr>
                <a:bodyPr/>
                <a:lstStyle/>
                <a:p>
                  <a:pPr lvl="0">
                    <a:defRPr sz="1000"/>
                  </a:pPr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20"/>
              <c:txPr>
                <a:bodyPr/>
                <a:lstStyle/>
                <a:p>
                  <a:pPr lvl="0">
                    <a:defRPr sz="1000"/>
                  </a:pPr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</c:dLbl>
            <c:showLegendKey val="0"/>
            <c:showVal val="0"/>
            <c:showCatName val="1"/>
            <c:showSerName val="0"/>
            <c:showPercent val="0"/>
            <c:showBubbleSize val="0"/>
            <c:showLeaderLines val="1"/>
          </c:dLbls>
          <c:cat>
            <c:strRef>
              <c:f>'Planilha de Rentabilidade'!$C$100:$AH$100</c:f>
            </c:strRef>
          </c:cat>
          <c:val>
            <c:numRef>
              <c:f>'Planilha de Rentabilidade'!$C$101:$AH$101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  <c:spPr>
        <a:solidFill>
          <a:srgbClr val="FFFFFF"/>
        </a:solidFill>
      </c:spPr>
    </c:plotArea>
    <c:legend>
      <c:legendPos val="r"/>
      <c:overlay val="0"/>
      <c:txPr>
        <a:bodyPr/>
        <a:lstStyle/>
        <a:p>
          <a:pPr lvl="0">
            <a:defRPr b="0" i="0" sz="600">
              <a:solidFill>
                <a:srgbClr val="1A1A1A"/>
              </a:solidFill>
              <a:latin typeface="Arial"/>
            </a:defRPr>
          </a:pPr>
        </a:p>
      </c:txPr>
    </c:legend>
    <c:plotVisOnly val="0"/>
  </c:chart>
  <c:spPr>
    <a:solidFill>
      <a:srgbClr val="FFFFFF"/>
    </a:solidFill>
  </c:spPr>
</c:chartSpace>
</file>

<file path=xl/charts/chart36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1" i="0">
                <a:solidFill>
                  <a:srgbClr val="000000"/>
                </a:solidFill>
                <a:latin typeface="+mn-lt"/>
              </a:defRPr>
            </a:pPr>
            <a:r>
              <a:rPr b="1" i="0">
                <a:solidFill>
                  <a:srgbClr val="000000"/>
                </a:solidFill>
                <a:latin typeface="+mn-lt"/>
              </a:rPr>
              <a:t>BENCHMARK  (IBOV)  X Carteira "NASSER Family"</a:t>
            </a:r>
          </a:p>
        </c:rich>
      </c:tx>
      <c:overlay val="0"/>
    </c:title>
    <c:plotArea>
      <c:layout>
        <c:manualLayout>
          <c:xMode val="edge"/>
          <c:yMode val="edge"/>
          <c:x val="0.13332733294930876"/>
          <c:y val="0.13942307692307693"/>
          <c:w val="0.8166726670506914"/>
          <c:h val="0.7499313186813188"/>
        </c:manualLayout>
      </c:layout>
      <c:lineChart>
        <c:ser>
          <c:idx val="0"/>
          <c:order val="0"/>
          <c:tx>
            <c:v>IBOV</c:v>
          </c:tx>
          <c:spPr>
            <a:ln cmpd="sng">
              <a:solidFill>
                <a:srgbClr val="000000">
                  <a:alpha val="100000"/>
                </a:srgbClr>
              </a:solidFill>
            </a:ln>
          </c:spPr>
          <c:marker>
            <c:symbol val="circle"/>
            <c:size val="10"/>
            <c:spPr>
              <a:solidFill>
                <a:srgbClr val="000000">
                  <a:alpha val="100000"/>
                </a:srgbClr>
              </a:solidFill>
              <a:ln cmpd="sng">
                <a:solidFill>
                  <a:srgbClr val="000000">
                    <a:alpha val="100000"/>
                  </a:srgbClr>
                </a:solidFill>
              </a:ln>
            </c:spPr>
          </c:marker>
          <c:dPt>
            <c:idx val="2"/>
            <c:marker>
              <c:symbol val="none"/>
            </c:marker>
          </c:dPt>
          <c:dLbls>
            <c:numFmt formatCode="General" sourceLinked="1"/>
            <c:txPr>
              <a:bodyPr/>
              <a:lstStyle/>
              <a:p>
                <a:pPr lvl="0">
                  <a:defRPr b="1" i="0" sz="1200">
                    <a:solidFill>
                      <a:srgbClr val="000000"/>
                    </a:solidFill>
                  </a:defRPr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trendline>
            <c:name>Linear (IBOV)</c:name>
            <c:spPr>
              <a:ln w="19050">
                <a:solidFill>
                  <a:srgbClr val="000000">
                    <a:alpha val="0"/>
                  </a:srgbClr>
                </a:solidFill>
              </a:ln>
            </c:spPr>
            <c:trendlineType val="linear"/>
            <c:dispRSqr val="0"/>
            <c:dispEq val="0"/>
          </c:trendline>
          <c:cat>
            <c:strRef>
              <c:f>BenchMarK!$A$13:$A$24</c:f>
            </c:strRef>
          </c:cat>
          <c:val>
            <c:numRef>
              <c:f>BenchMarK!$B$13:$B$24</c:f>
              <c:numCache/>
            </c:numRef>
          </c:val>
          <c:smooth val="0"/>
        </c:ser>
        <c:ser>
          <c:idx val="1"/>
          <c:order val="1"/>
          <c:tx>
            <c:v>Carteira Nasser Family</c:v>
          </c:tx>
          <c:spPr>
            <a:ln cmpd="sng">
              <a:solidFill>
                <a:srgbClr val="00FF00"/>
              </a:solidFill>
            </a:ln>
          </c:spPr>
          <c:marker>
            <c:symbol val="circle"/>
            <c:size val="10"/>
            <c:spPr>
              <a:solidFill>
                <a:srgbClr val="00FF00"/>
              </a:solidFill>
              <a:ln cmpd="sng">
                <a:solidFill>
                  <a:srgbClr val="00FF00"/>
                </a:solidFill>
              </a:ln>
            </c:spPr>
          </c:marker>
          <c:dLbls>
            <c:numFmt formatCode="General" sourceLinked="1"/>
            <c:txPr>
              <a:bodyPr/>
              <a:lstStyle/>
              <a:p>
                <a:pPr lvl="0">
                  <a:defRPr b="1" i="0" sz="1200">
                    <a:solidFill>
                      <a:srgbClr val="00FF00"/>
                    </a:solidFill>
                  </a:defRPr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trendline>
            <c:name/>
            <c:spPr>
              <a:ln w="19050">
                <a:solidFill>
                  <a:srgbClr val="000000">
                    <a:alpha val="20000"/>
                  </a:srgbClr>
                </a:solidFill>
              </a:ln>
            </c:spPr>
            <c:trendlineType val="linear"/>
            <c:dispRSqr val="0"/>
            <c:dispEq val="0"/>
          </c:trendline>
          <c:cat>
            <c:strRef>
              <c:f>BenchMarK!$A$13:$A$24</c:f>
            </c:strRef>
          </c:cat>
          <c:val>
            <c:numRef>
              <c:f>BenchMarK!$G$13:$G$24</c:f>
              <c:numCache/>
            </c:numRef>
          </c:val>
          <c:smooth val="0"/>
        </c:ser>
        <c:axId val="1580130805"/>
        <c:axId val="1491780086"/>
      </c:lineChart>
      <c:catAx>
        <c:axId val="158013080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 i="0">
                    <a:solidFill>
                      <a:srgbClr val="000000"/>
                    </a:solidFill>
                    <a:latin typeface="+mn-lt"/>
                  </a:defRPr>
                </a:pPr>
                <a:r>
                  <a:rPr b="0" i="0">
                    <a:solidFill>
                      <a:srgbClr val="000000"/>
                    </a:solidFill>
                    <a:latin typeface="+mn-lt"/>
                  </a:rPr>
                  <a:t>MESES 2023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spPr/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491780086"/>
      </c:catAx>
      <c:valAx>
        <c:axId val="1491780086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 i="0">
                    <a:solidFill>
                      <a:srgbClr val="000000"/>
                    </a:solidFill>
                    <a:latin typeface="+mn-lt"/>
                  </a:defRPr>
                </a:pPr>
                <a:r>
                  <a:rPr b="0" i="0">
                    <a:solidFill>
                      <a:srgbClr val="000000"/>
                    </a:solidFill>
                    <a:latin typeface="+mn-lt"/>
                  </a:rPr>
                  <a:t>% DE DESEMPENHO</a:t>
                </a:r>
              </a:p>
            </c:rich>
          </c:tx>
          <c:overlay val="0"/>
        </c:title>
        <c:numFmt formatCode="General" sourceLinked="0"/>
        <c:majorTickMark val="cross"/>
        <c:minorTickMark val="cross"/>
        <c:tickLblPos val="nextTo"/>
        <c:spPr>
          <a:ln/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Arial"/>
              </a:defRPr>
            </a:pPr>
          </a:p>
        </c:txPr>
        <c:crossAx val="1580130805"/>
      </c:valAx>
    </c:plotArea>
    <c:legend>
      <c:legendPos val="t"/>
      <c:overlay val="0"/>
      <c:txPr>
        <a:bodyPr/>
        <a:lstStyle/>
        <a:p>
          <a:pPr lvl="0">
            <a:defRPr b="0" i="1">
              <a:solidFill>
                <a:srgbClr val="000000"/>
              </a:solidFill>
              <a:latin typeface="Arial black"/>
            </a:defRPr>
          </a:pPr>
        </a:p>
      </c:txPr>
    </c:legend>
    <c:plotVisOnly val="1"/>
  </c:chart>
</c:chartSpace>
</file>

<file path=xl/charts/chart37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1" i="0">
                <a:solidFill>
                  <a:srgbClr val="000000"/>
                </a:solidFill>
                <a:latin typeface="+mn-lt"/>
              </a:defRPr>
            </a:pPr>
            <a:r>
              <a:rPr b="1" i="0">
                <a:solidFill>
                  <a:srgbClr val="000000"/>
                </a:solidFill>
                <a:latin typeface="+mn-lt"/>
              </a:rPr>
              <a:t>BENCHMARK (CDI - DI) X Carteira "NASSER Family"</a:t>
            </a:r>
          </a:p>
        </c:rich>
      </c:tx>
      <c:overlay val="0"/>
    </c:title>
    <c:plotArea>
      <c:layout>
        <c:manualLayout>
          <c:xMode val="edge"/>
          <c:yMode val="edge"/>
          <c:x val="0.13332733294930876"/>
          <c:y val="0.13942307692307693"/>
          <c:w val="0.8166726670506914"/>
          <c:h val="0.7499313186813188"/>
        </c:manualLayout>
      </c:layout>
      <c:lineChart>
        <c:ser>
          <c:idx val="0"/>
          <c:order val="0"/>
          <c:tx>
            <c:v>CDI - SELIC</c:v>
          </c:tx>
          <c:spPr>
            <a:ln cmpd="sng">
              <a:solidFill>
                <a:srgbClr val="4472C4"/>
              </a:solidFill>
            </a:ln>
          </c:spPr>
          <c:marker>
            <c:symbol val="circle"/>
            <c:size val="7"/>
            <c:spPr>
              <a:solidFill>
                <a:srgbClr val="4472C4"/>
              </a:solidFill>
              <a:ln cmpd="sng">
                <a:solidFill>
                  <a:srgbClr val="4472C4"/>
                </a:solidFill>
              </a:ln>
            </c:spPr>
          </c:marker>
          <c:dPt>
            <c:idx val="2"/>
            <c:marker>
              <c:symbol val="none"/>
            </c:marker>
          </c:dPt>
          <c:dLbls>
            <c:numFmt formatCode="General" sourceLinked="1"/>
            <c:txPr>
              <a:bodyPr/>
              <a:lstStyle/>
              <a:p>
                <a:pPr lvl="0">
                  <a:defRPr b="1" i="0">
                    <a:solidFill>
                      <a:srgbClr val="000000"/>
                    </a:solidFill>
                  </a:defRPr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trendline>
            <c:name/>
            <c:spPr>
              <a:ln w="19050">
                <a:solidFill>
                  <a:srgbClr val="B7B7B7">
                    <a:alpha val="40000"/>
                  </a:srgbClr>
                </a:solidFill>
              </a:ln>
            </c:spPr>
            <c:trendlineType val="linear"/>
            <c:dispRSqr val="0"/>
            <c:dispEq val="0"/>
          </c:trendline>
          <c:cat>
            <c:strRef>
              <c:f>BenchMarK!$A$13:$A$24</c:f>
            </c:strRef>
          </c:cat>
          <c:val>
            <c:numRef>
              <c:f>BenchMarK!$E$13:$E$24</c:f>
              <c:numCache/>
            </c:numRef>
          </c:val>
          <c:smooth val="0"/>
        </c:ser>
        <c:ser>
          <c:idx val="1"/>
          <c:order val="1"/>
          <c:tx>
            <c:v>Carteira Nasser Family</c:v>
          </c:tx>
          <c:spPr>
            <a:ln cmpd="sng">
              <a:solidFill>
                <a:srgbClr val="00FF00"/>
              </a:solidFill>
            </a:ln>
          </c:spPr>
          <c:marker>
            <c:symbol val="circle"/>
            <c:size val="7"/>
            <c:spPr>
              <a:solidFill>
                <a:srgbClr val="00FF00"/>
              </a:solidFill>
              <a:ln cmpd="sng">
                <a:solidFill>
                  <a:srgbClr val="00FF00"/>
                </a:solidFill>
              </a:ln>
            </c:spPr>
          </c:marker>
          <c:dPt>
            <c:idx val="1"/>
            <c:marker>
              <c:symbol val="none"/>
            </c:marker>
          </c:dPt>
          <c:dPt>
            <c:idx val="2"/>
            <c:marker>
              <c:symbol val="none"/>
            </c:marker>
          </c:dPt>
          <c:dPt>
            <c:idx val="6"/>
            <c:marker>
              <c:symbol val="none"/>
            </c:marker>
          </c:dPt>
          <c:dLbls>
            <c:numFmt formatCode="General" sourceLinked="1"/>
            <c:txPr>
              <a:bodyPr/>
              <a:lstStyle/>
              <a:p>
                <a:pPr lvl="0">
                  <a:defRPr b="1" i="0">
                    <a:solidFill>
                      <a:srgbClr val="00FF00"/>
                    </a:solidFill>
                  </a:defRPr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trendline>
            <c:name/>
            <c:spPr>
              <a:ln w="19050">
                <a:solidFill>
                  <a:srgbClr val="B7B7B7">
                    <a:alpha val="40000"/>
                  </a:srgbClr>
                </a:solidFill>
              </a:ln>
            </c:spPr>
            <c:trendlineType val="linear"/>
            <c:dispRSqr val="0"/>
            <c:dispEq val="0"/>
          </c:trendline>
          <c:cat>
            <c:strRef>
              <c:f>BenchMarK!$A$13:$A$24</c:f>
            </c:strRef>
          </c:cat>
          <c:val>
            <c:numRef>
              <c:f>BenchMarK!$G$13:$G$24</c:f>
              <c:numCache/>
            </c:numRef>
          </c:val>
          <c:smooth val="0"/>
        </c:ser>
        <c:axId val="274428827"/>
        <c:axId val="284061537"/>
      </c:lineChart>
      <c:catAx>
        <c:axId val="2744288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 i="0">
                    <a:solidFill>
                      <a:srgbClr val="000000"/>
                    </a:solidFill>
                    <a:latin typeface="+mn-lt"/>
                  </a:defRPr>
                </a:pPr>
                <a:r>
                  <a:rPr b="0" i="0">
                    <a:solidFill>
                      <a:srgbClr val="000000"/>
                    </a:solidFill>
                    <a:latin typeface="+mn-lt"/>
                  </a:rPr>
                  <a:t>MESES 2023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spPr/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Arial"/>
              </a:defRPr>
            </a:pPr>
          </a:p>
        </c:txPr>
        <c:crossAx val="284061537"/>
      </c:catAx>
      <c:valAx>
        <c:axId val="28406153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 i="0">
                    <a:solidFill>
                      <a:srgbClr val="000000"/>
                    </a:solidFill>
                    <a:latin typeface="+mn-lt"/>
                  </a:defRPr>
                </a:pPr>
                <a:r>
                  <a:rPr b="0" i="0">
                    <a:solidFill>
                      <a:srgbClr val="000000"/>
                    </a:solidFill>
                    <a:latin typeface="+mn-lt"/>
                  </a:rPr>
                  <a:t>% DE DESEMPENHO</a:t>
                </a:r>
              </a:p>
            </c:rich>
          </c:tx>
          <c:overlay val="0"/>
        </c:title>
        <c:numFmt formatCode="0.00%" sourceLinked="0"/>
        <c:majorTickMark val="cross"/>
        <c:minorTickMark val="cross"/>
        <c:tickLblPos val="nextTo"/>
        <c:spPr>
          <a:ln/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274428827"/>
      </c:valAx>
    </c:plotArea>
    <c:legend>
      <c:legendPos val="t"/>
      <c:overlay val="0"/>
      <c:txPr>
        <a:bodyPr/>
        <a:lstStyle/>
        <a:p>
          <a:pPr lvl="0">
            <a:defRPr b="0" i="1">
              <a:solidFill>
                <a:srgbClr val="000000"/>
              </a:solidFill>
              <a:latin typeface="Arial black"/>
            </a:defRPr>
          </a:pPr>
        </a:p>
      </c:txPr>
    </c:legend>
    <c:plotVisOnly val="1"/>
  </c:chart>
</c:chartSpace>
</file>

<file path=xl/charts/chart38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1" i="0">
                <a:solidFill>
                  <a:srgbClr val="000000"/>
                </a:solidFill>
                <a:latin typeface="Arial"/>
              </a:defRPr>
            </a:pPr>
            <a:r>
              <a:rPr b="1" i="0">
                <a:solidFill>
                  <a:srgbClr val="000000"/>
                </a:solidFill>
                <a:latin typeface="Arial"/>
              </a:rPr>
              <a:t>BENCHMARK (IBOV) x (CDI-DI) x Carteira "NASSER Family"</a:t>
            </a:r>
          </a:p>
        </c:rich>
      </c:tx>
      <c:overlay val="0"/>
    </c:title>
    <c:plotArea>
      <c:layout>
        <c:manualLayout>
          <c:xMode val="edge"/>
          <c:yMode val="edge"/>
          <c:x val="0.13332733294930876"/>
          <c:y val="0.13942307692307693"/>
          <c:w val="0.8166726670506914"/>
          <c:h val="0.7499313186813188"/>
        </c:manualLayout>
      </c:layout>
      <c:lineChart>
        <c:ser>
          <c:idx val="0"/>
          <c:order val="0"/>
          <c:tx>
            <c:v>CDI - SELIC</c:v>
          </c:tx>
          <c:spPr>
            <a:ln cmpd="sng">
              <a:solidFill>
                <a:srgbClr val="0000FF"/>
              </a:solidFill>
            </a:ln>
          </c:spPr>
          <c:marker>
            <c:symbol val="circle"/>
            <c:size val="14"/>
            <c:spPr>
              <a:solidFill>
                <a:srgbClr val="0000FF"/>
              </a:solidFill>
              <a:ln cmpd="sng">
                <a:solidFill>
                  <a:srgbClr val="0000FF"/>
                </a:solidFill>
              </a:ln>
            </c:spPr>
          </c:marker>
          <c:dPt>
            <c:idx val="0"/>
            <c:marker>
              <c:symbol val="none"/>
            </c:marker>
          </c:dPt>
          <c:dPt>
            <c:idx val="2"/>
            <c:marker>
              <c:symbol val="none"/>
            </c:marker>
          </c:dPt>
          <c:dLbls>
            <c:numFmt formatCode="General" sourceLinked="1"/>
            <c:txPr>
              <a:bodyPr/>
              <a:lstStyle/>
              <a:p>
                <a:pPr lvl="0">
                  <a:defRPr b="1" i="0">
                    <a:solidFill>
                      <a:srgbClr val="4A86E8"/>
                    </a:solidFill>
                  </a:defRPr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trendline>
            <c:name>Linear (CDI - SELIC)</c:name>
            <c:spPr>
              <a:ln w="19050">
                <a:solidFill>
                  <a:srgbClr val="B7B7B7">
                    <a:alpha val="30196"/>
                  </a:srgbClr>
                </a:solidFill>
              </a:ln>
            </c:spPr>
            <c:trendlineType val="linear"/>
            <c:dispRSqr val="0"/>
            <c:dispEq val="0"/>
          </c:trendline>
          <c:cat>
            <c:strRef>
              <c:f>BenchMarK!$A$13:$A$24</c:f>
            </c:strRef>
          </c:cat>
          <c:val>
            <c:numRef>
              <c:f>BenchMarK!$E$13:$E$24</c:f>
              <c:numCache/>
            </c:numRef>
          </c:val>
          <c:smooth val="0"/>
        </c:ser>
        <c:ser>
          <c:idx val="1"/>
          <c:order val="1"/>
          <c:tx>
            <c:v>Carteira Nasser Family</c:v>
          </c:tx>
          <c:spPr>
            <a:ln cmpd="sng">
              <a:solidFill>
                <a:srgbClr val="00FF00"/>
              </a:solidFill>
            </a:ln>
          </c:spPr>
          <c:marker>
            <c:symbol val="circle"/>
            <c:size val="14"/>
            <c:spPr>
              <a:solidFill>
                <a:srgbClr val="00FF00"/>
              </a:solidFill>
              <a:ln cmpd="sng">
                <a:solidFill>
                  <a:srgbClr val="00FF00"/>
                </a:solidFill>
              </a:ln>
            </c:spPr>
          </c:marker>
          <c:dPt>
            <c:idx val="1"/>
            <c:marker>
              <c:symbol val="none"/>
            </c:marker>
          </c:dPt>
          <c:dPt>
            <c:idx val="2"/>
            <c:marker>
              <c:symbol val="none"/>
            </c:marker>
          </c:dPt>
          <c:dLbls>
            <c:numFmt formatCode="General" sourceLinked="1"/>
            <c:txPr>
              <a:bodyPr/>
              <a:lstStyle/>
              <a:p>
                <a:pPr lvl="0">
                  <a:defRPr b="1" i="0">
                    <a:solidFill>
                      <a:srgbClr val="00FF00"/>
                    </a:solidFill>
                  </a:defRPr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trendline>
            <c:name>Linear (Carteira Nasser Family)</c:name>
            <c:spPr>
              <a:ln w="19050">
                <a:solidFill>
                  <a:srgbClr val="B7B7B7">
                    <a:alpha val="30196"/>
                  </a:srgbClr>
                </a:solidFill>
              </a:ln>
            </c:spPr>
            <c:trendlineType val="linear"/>
            <c:dispRSqr val="0"/>
            <c:dispEq val="0"/>
          </c:trendline>
          <c:cat>
            <c:strRef>
              <c:f>BenchMarK!$A$13:$A$24</c:f>
            </c:strRef>
          </c:cat>
          <c:val>
            <c:numRef>
              <c:f>BenchMarK!$G$13:$G$24</c:f>
              <c:numCache/>
            </c:numRef>
          </c:val>
          <c:smooth val="0"/>
        </c:ser>
        <c:ser>
          <c:idx val="2"/>
          <c:order val="2"/>
          <c:tx>
            <c:v>IBOV</c:v>
          </c:tx>
          <c:spPr>
            <a:ln cmpd="sng">
              <a:solidFill>
                <a:srgbClr val="000000"/>
              </a:solidFill>
            </a:ln>
          </c:spPr>
          <c:marker>
            <c:symbol val="circle"/>
            <c:size val="7"/>
            <c:spPr>
              <a:solidFill>
                <a:srgbClr val="000000"/>
              </a:solidFill>
              <a:ln cmpd="sng">
                <a:solidFill>
                  <a:srgbClr val="000000"/>
                </a:solidFill>
              </a:ln>
            </c:spPr>
          </c:marker>
          <c:dPt>
            <c:idx val="0"/>
            <c:marker>
              <c:symbol val="none"/>
            </c:marker>
          </c:dPt>
          <c:dPt>
            <c:idx val="1"/>
            <c:marker>
              <c:symbol val="none"/>
            </c:marker>
          </c:dPt>
          <c:dPt>
            <c:idx val="2"/>
            <c:marker>
              <c:symbol val="circle"/>
              <c:size val="7"/>
              <c:spPr>
                <a:solidFill>
                  <a:srgbClr val="000000"/>
                </a:solidFill>
                <a:ln cmpd="sng">
                  <a:solidFill>
                    <a:srgbClr val="000000"/>
                  </a:solidFill>
                </a:ln>
              </c:spPr>
            </c:marker>
          </c:dPt>
          <c:dLbls>
            <c:dLbl>
              <c:idx val="0"/>
              <c:numFmt formatCode="0.00%" sourceLinked="0"/>
              <c:txPr>
                <a:bodyPr/>
                <a:lstStyle/>
                <a:p>
                  <a:pPr lvl="0">
                    <a:defRPr b="1" i="0">
                      <a:solidFill>
                        <a:srgbClr val="000000"/>
                      </a:solidFill>
                    </a:defRPr>
                  </a:pPr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numFmt formatCode="0.00%" sourceLinked="0"/>
              <c:txPr>
                <a:bodyPr/>
                <a:lstStyle/>
                <a:p>
                  <a:pPr lvl="0">
                    <a:defRPr b="1" i="0">
                      <a:solidFill>
                        <a:srgbClr val="000000"/>
                      </a:solidFill>
                    </a:defRPr>
                  </a:pPr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.00%" sourceLinked="0"/>
            <c:txPr>
              <a:bodyPr/>
              <a:lstStyle/>
              <a:p>
                <a:pPr lvl="0">
                  <a:defRPr b="1" i="0">
                    <a:solidFill>
                      <a:srgbClr val="000000"/>
                    </a:solidFill>
                  </a:defRPr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trendline>
            <c:name>Linear (IBOV)</c:name>
            <c:spPr>
              <a:ln w="19050">
                <a:solidFill>
                  <a:srgbClr val="B7B7B7">
                    <a:alpha val="30196"/>
                  </a:srgbClr>
                </a:solidFill>
              </a:ln>
            </c:spPr>
            <c:trendlineType val="linear"/>
            <c:dispRSqr val="0"/>
            <c:dispEq val="0"/>
          </c:trendline>
          <c:cat>
            <c:strRef>
              <c:f>BenchMarK!$A$13:$A$24</c:f>
            </c:strRef>
          </c:cat>
          <c:val>
            <c:numRef>
              <c:f>BenchMarK!$B$13:$B$24</c:f>
              <c:numCache/>
            </c:numRef>
          </c:val>
          <c:smooth val="0"/>
        </c:ser>
        <c:axId val="542578890"/>
        <c:axId val="48207808"/>
      </c:lineChart>
      <c:catAx>
        <c:axId val="54257889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 i="0">
                    <a:solidFill>
                      <a:srgbClr val="000000"/>
                    </a:solidFill>
                    <a:latin typeface="+mn-lt"/>
                  </a:defRPr>
                </a:pPr>
                <a:r>
                  <a:rPr b="0" i="0">
                    <a:solidFill>
                      <a:srgbClr val="000000"/>
                    </a:solidFill>
                    <a:latin typeface="+mn-lt"/>
                  </a:rPr>
                  <a:t>MESES 2023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spPr/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48207808"/>
      </c:catAx>
      <c:valAx>
        <c:axId val="48207808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 i="0">
                    <a:solidFill>
                      <a:srgbClr val="000000"/>
                    </a:solidFill>
                    <a:latin typeface="+mn-lt"/>
                  </a:defRPr>
                </a:pPr>
                <a:r>
                  <a:rPr b="0" i="0">
                    <a:solidFill>
                      <a:srgbClr val="000000"/>
                    </a:solidFill>
                    <a:latin typeface="+mn-lt"/>
                  </a:rPr>
                  <a:t>% DE DESEMPENHO</a:t>
                </a:r>
              </a:p>
            </c:rich>
          </c:tx>
          <c:overlay val="0"/>
        </c:title>
        <c:numFmt formatCode="0.00%" sourceLinked="0"/>
        <c:majorTickMark val="cross"/>
        <c:minorTickMark val="cross"/>
        <c:tickLblPos val="nextTo"/>
        <c:spPr>
          <a:ln/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542578890"/>
      </c:valAx>
    </c:plotArea>
    <c:legend>
      <c:legendPos val="t"/>
      <c:overlay val="0"/>
      <c:txPr>
        <a:bodyPr/>
        <a:lstStyle/>
        <a:p>
          <a:pPr lvl="0">
            <a:defRPr b="0" i="1">
              <a:solidFill>
                <a:srgbClr val="000000"/>
              </a:solidFill>
              <a:latin typeface="Arial black"/>
            </a:defRPr>
          </a:pPr>
        </a:p>
      </c:txPr>
    </c:legend>
    <c:plotVisOnly val="1"/>
  </c:chart>
</c:chartSpace>
</file>

<file path=xl/charts/chart39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1" i="0">
                <a:solidFill>
                  <a:srgbClr val="000000"/>
                </a:solidFill>
                <a:latin typeface="Calibri"/>
              </a:defRPr>
            </a:pPr>
            <a:r>
              <a:rPr b="1" i="0">
                <a:solidFill>
                  <a:srgbClr val="000000"/>
                </a:solidFill>
                <a:latin typeface="Calibri"/>
              </a:rPr>
              <a:t>Valor (R$) da carteira (mês a mês)</a:t>
            </a:r>
          </a:p>
        </c:rich>
      </c:tx>
      <c:overlay val="0"/>
    </c:title>
    <c:plotArea>
      <c:layout/>
      <c:barChart>
        <c:barDir val="col"/>
        <c:ser>
          <c:idx val="0"/>
          <c:order val="0"/>
          <c:tx>
            <c:v>R$</c:v>
          </c:tx>
          <c:spPr>
            <a:solidFill>
              <a:srgbClr val="93C47D"/>
            </a:solidFill>
            <a:ln cmpd="sng">
              <a:solidFill>
                <a:srgbClr val="000000"/>
              </a:solidFill>
            </a:ln>
          </c:spPr>
          <c:dPt>
            <c:idx val="0"/>
            <c:spPr>
              <a:solidFill>
                <a:srgbClr val="93C47D"/>
              </a:solidFill>
              <a:ln cmpd="sng">
                <a:solidFill>
                  <a:srgbClr val="000000"/>
                </a:solidFill>
              </a:ln>
            </c:spPr>
          </c:dPt>
          <c:dPt>
            <c:idx val="1"/>
          </c:dPt>
          <c:dPt>
            <c:idx val="2"/>
          </c:dPt>
          <c:dPt>
            <c:idx val="9"/>
          </c:dPt>
          <c:dPt>
            <c:idx val="12"/>
          </c:dPt>
          <c:dLbls>
            <c:dLbl>
              <c:idx val="0"/>
              <c:numFmt formatCode="General" sourceLinked="1"/>
              <c:txPr>
                <a:bodyPr/>
                <a:lstStyle/>
                <a:p>
                  <a:pPr lvl="0">
                    <a:defRPr b="0" i="0" sz="1200"/>
                  </a:pPr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numFmt formatCode="General" sourceLinked="1"/>
              <c:txPr>
                <a:bodyPr/>
                <a:lstStyle/>
                <a:p>
                  <a:pPr lvl="0">
                    <a:defRPr b="0" i="0" sz="1200"/>
                  </a:pPr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numFmt formatCode="General" sourceLinked="1"/>
              <c:txPr>
                <a:bodyPr/>
                <a:lstStyle/>
                <a:p>
                  <a:pPr lvl="0">
                    <a:defRPr b="0" i="0" sz="1000"/>
                  </a:pPr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General" sourceLinked="1"/>
            <c:txPr>
              <a:bodyPr/>
              <a:lstStyle/>
              <a:p>
                <a:pPr lvl="0">
                  <a:defRPr b="0" i="0" sz="1000">
                    <a:solidFill>
                      <a:srgbClr val="000000"/>
                    </a:solidFill>
                  </a:defRPr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val>
            <c:numRef>
              <c:f>('Planilha de Rentabilidade'!$AI$6,'Planilha de Rentabilidade'!$AI$14)</c:f>
              <c:numCache/>
            </c:numRef>
          </c:val>
        </c:ser>
        <c:axId val="440116091"/>
        <c:axId val="1255564580"/>
      </c:barChart>
      <c:catAx>
        <c:axId val="44011609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cross"/>
        <c:minorTickMark val="none"/>
        <c:spPr/>
        <c:txPr>
          <a:bodyPr/>
          <a:lstStyle/>
          <a:p>
            <a:pPr lvl="0">
              <a:defRPr b="0" i="0" sz="900">
                <a:solidFill>
                  <a:srgbClr val="595959"/>
                </a:solidFill>
                <a:latin typeface="Arial"/>
              </a:defRPr>
            </a:pPr>
          </a:p>
        </c:txPr>
        <c:crossAx val="1255564580"/>
      </c:catAx>
      <c:valAx>
        <c:axId val="1255564580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cross"/>
        <c:minorTickMark val="cross"/>
        <c:tickLblPos val="nextTo"/>
        <c:spPr>
          <a:ln/>
        </c:spPr>
        <c:txPr>
          <a:bodyPr/>
          <a:lstStyle/>
          <a:p>
            <a:pPr lvl="0">
              <a:defRPr b="0" i="0" sz="900">
                <a:solidFill>
                  <a:srgbClr val="595959"/>
                </a:solidFill>
                <a:latin typeface="Calibri"/>
              </a:defRPr>
            </a:pPr>
          </a:p>
        </c:txPr>
        <c:crossAx val="440116091"/>
      </c:valAx>
      <c:spPr>
        <a:solidFill>
          <a:srgbClr val="FFFFFF"/>
        </a:solidFill>
      </c:spPr>
    </c:plotArea>
    <c:legend>
      <c:legendPos val="t"/>
      <c:legendEntry>
        <c:idx val="0"/>
        <c:txPr>
          <a:bodyPr/>
          <a:lstStyle/>
          <a:p>
            <a:pPr lvl="0">
              <a:defRPr>
                <a:solidFill>
                  <a:srgbClr val="00FF00"/>
                </a:solidFill>
              </a:defRPr>
            </a:pPr>
          </a:p>
        </c:txPr>
      </c:legendEntry>
      <c:overlay val="0"/>
      <c:txPr>
        <a:bodyPr/>
        <a:lstStyle/>
        <a:p>
          <a:pPr lvl="0">
            <a:defRPr b="0" i="0">
              <a:solidFill>
                <a:srgbClr val="CC4125"/>
              </a:solidFill>
              <a:latin typeface="Arial"/>
            </a:defRPr>
          </a:pPr>
        </a:p>
      </c:txPr>
    </c:legend>
    <c:plotVisOnly val="1"/>
  </c:chart>
  <c:spPr>
    <a:solidFill>
      <a:srgbClr val="FFFFFF"/>
    </a:solidFill>
  </c:spPr>
</c:chartSpace>
</file>

<file path=xl/charts/chart40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1" i="0">
                <a:solidFill>
                  <a:srgbClr val="000000"/>
                </a:solidFill>
                <a:latin typeface="+mn-lt"/>
              </a:defRPr>
            </a:pPr>
            <a:r>
              <a:rPr b="1" i="0">
                <a:solidFill>
                  <a:srgbClr val="000000"/>
                </a:solidFill>
                <a:latin typeface="+mn-lt"/>
              </a:rPr>
              <a:t>Patrimônio</a:t>
            </a:r>
          </a:p>
        </c:rich>
      </c:tx>
      <c:overlay val="0"/>
    </c:title>
    <c:plotArea>
      <c:layout/>
      <c:lineChart>
        <c:varyColors val="0"/>
        <c:ser>
          <c:idx val="0"/>
          <c:order val="0"/>
          <c:spPr>
            <a:ln cmpd="sng" w="19050">
              <a:solidFill>
                <a:srgbClr val="4472C4"/>
              </a:solidFill>
            </a:ln>
          </c:spPr>
          <c:marker>
            <c:symbol val="circle"/>
            <c:size val="7"/>
            <c:spPr>
              <a:solidFill>
                <a:srgbClr val="4472C4"/>
              </a:solidFill>
              <a:ln cmpd="sng">
                <a:solidFill>
                  <a:srgbClr val="4472C4"/>
                </a:solidFill>
              </a:ln>
            </c:spPr>
          </c:marker>
          <c:dPt>
            <c:idx val="0"/>
            <c:marker>
              <c:symbol val="none"/>
            </c:marker>
          </c:dPt>
          <c:dPt>
            <c:idx val="1"/>
            <c:marker>
              <c:symbol val="none"/>
            </c:marker>
          </c:dPt>
          <c:dLbls>
            <c:dLbl>
              <c:idx val="0"/>
              <c:numFmt formatCode="General" sourceLinked="1"/>
              <c:txPr>
                <a:bodyPr/>
                <a:lstStyle/>
                <a:p>
                  <a:pPr lvl="0">
                    <a:defRPr>
                      <a:latin typeface="Roboto"/>
                    </a:defRPr>
                  </a:pPr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General" sourceLinked="1"/>
            <c:txPr>
              <a:bodyPr/>
              <a:lstStyle/>
              <a:p>
                <a:pPr lvl="0">
                  <a:defRPr sz="700"/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trendline>
            <c:name>Linha de tendência para série 1</c:name>
            <c:spPr>
              <a:ln w="19050">
                <a:solidFill>
                  <a:srgbClr val="000000"/>
                </a:solidFill>
              </a:ln>
            </c:spPr>
            <c:trendlineType val="linear"/>
            <c:dispRSqr val="0"/>
            <c:dispEq val="0"/>
          </c:trendline>
          <c:val>
            <c:numRef>
              <c:f>'Planilha de Rentabilidade'!$AI$6</c:f>
              <c:numCache/>
            </c:numRef>
          </c:val>
          <c:smooth val="0"/>
        </c:ser>
        <c:axId val="2000121224"/>
        <c:axId val="448593160"/>
      </c:lineChart>
      <c:catAx>
        <c:axId val="20001212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sans-serif"/>
                  </a:defRPr>
                </a:pPr>
                <a:r>
                  <a:rPr b="0">
                    <a:solidFill>
                      <a:srgbClr val="000000"/>
                    </a:solidFill>
                    <a:latin typeface="sans-serif"/>
                  </a:rPr>
                  <a:t/>
                </a:r>
              </a:p>
            </c:rich>
          </c:tx>
          <c:overlay val="0"/>
        </c:title>
        <c:numFmt formatCode="General" sourceLinked="1"/>
        <c:majorTickMark val="cross"/>
        <c:minorTickMark val="none"/>
        <c:spPr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sans-serif"/>
              </a:defRPr>
            </a:pPr>
          </a:p>
        </c:txPr>
        <c:crossAx val="448593160"/>
      </c:catAx>
      <c:valAx>
        <c:axId val="448593160"/>
        <c:scaling>
          <c:orientation val="minMax"/>
          <c:min val="2500000.0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sans-serif"/>
                  </a:defRPr>
                </a:pPr>
                <a:r>
                  <a:rPr b="0">
                    <a:solidFill>
                      <a:srgbClr val="000000"/>
                    </a:solidFill>
                    <a:latin typeface="sans-serif"/>
                  </a:rPr>
                  <a:t/>
                </a:r>
              </a:p>
            </c:rich>
          </c:tx>
          <c:overlay val="0"/>
        </c:title>
        <c:numFmt formatCode="General" sourceLinked="1"/>
        <c:majorTickMark val="cross"/>
        <c:minorTickMark val="cross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sans-serif"/>
              </a:defRPr>
            </a:pPr>
          </a:p>
        </c:txPr>
        <c:crossAx val="2000121224"/>
      </c:valAx>
    </c:plotArea>
    <c:legend>
      <c:legendPos val="r"/>
      <c:overlay val="0"/>
      <c:txPr>
        <a:bodyPr/>
        <a:lstStyle/>
        <a:p>
          <a:pPr lvl="0">
            <a:defRPr b="0" i="0" sz="800">
              <a:solidFill>
                <a:srgbClr val="1A1A1A"/>
              </a:solidFill>
              <a:latin typeface="Arial"/>
            </a:defRPr>
          </a:pPr>
        </a:p>
      </c:txPr>
    </c:legend>
    <c:plotVisOnly val="1"/>
  </c:chart>
</c:chartSpace>
</file>

<file path=xl/charts/chart4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 i="0">
                <a:solidFill>
                  <a:srgbClr val="757575"/>
                </a:solidFill>
                <a:latin typeface="+mn-lt"/>
              </a:defRPr>
            </a:pPr>
            <a:r>
              <a:rPr b="0" i="0">
                <a:solidFill>
                  <a:srgbClr val="757575"/>
                </a:solidFill>
                <a:latin typeface="+mn-lt"/>
              </a:rPr>
              <a:t>Carteira "Nasser Family" </a:t>
            </a:r>
          </a:p>
        </c:rich>
      </c:tx>
      <c:overlay val="0"/>
    </c:title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472C4"/>
              </a:solidFill>
            </c:spPr>
          </c:dPt>
          <c:dPt>
            <c:idx val="1"/>
            <c:spPr>
              <a:solidFill>
                <a:srgbClr val="ED7D31"/>
              </a:solidFill>
            </c:spPr>
          </c:dPt>
          <c:dPt>
            <c:idx val="2"/>
            <c:spPr>
              <a:solidFill>
                <a:srgbClr val="A5A5A5"/>
              </a:solidFill>
            </c:spPr>
          </c:dPt>
          <c:dPt>
            <c:idx val="3"/>
            <c:spPr>
              <a:solidFill>
                <a:srgbClr val="FFC000"/>
              </a:solidFill>
            </c:spPr>
          </c:dPt>
          <c:dPt>
            <c:idx val="4"/>
            <c:spPr>
              <a:solidFill>
                <a:srgbClr val="5B9BD5"/>
              </a:solidFill>
            </c:spPr>
          </c:dPt>
          <c:dPt>
            <c:idx val="5"/>
            <c:spPr>
              <a:solidFill>
                <a:srgbClr val="70AD47"/>
              </a:solidFill>
            </c:spPr>
          </c:dPt>
          <c:dPt>
            <c:idx val="6"/>
            <c:spPr>
              <a:solidFill>
                <a:srgbClr val="7C9CD6"/>
              </a:solidFill>
            </c:spPr>
          </c:dPt>
          <c:dPt>
            <c:idx val="7"/>
            <c:spPr>
              <a:solidFill>
                <a:srgbClr val="F2A46F"/>
              </a:solidFill>
            </c:spPr>
          </c:dPt>
          <c:dPt>
            <c:idx val="8"/>
            <c:spPr>
              <a:solidFill>
                <a:srgbClr val="C0C0C0"/>
              </a:solidFill>
            </c:spPr>
          </c:dPt>
          <c:dPt>
            <c:idx val="9"/>
            <c:spPr>
              <a:solidFill>
                <a:srgbClr val="FFD34D"/>
              </a:solidFill>
            </c:spPr>
          </c:dPt>
          <c:dPt>
            <c:idx val="10"/>
            <c:spPr>
              <a:solidFill>
                <a:srgbClr val="8CB9E2"/>
              </a:solidFill>
            </c:spPr>
          </c:dPt>
          <c:dLbls>
            <c:dLbl>
              <c:idx val="5"/>
              <c:txPr>
                <a:bodyPr/>
                <a:lstStyle/>
                <a:p>
                  <a:pPr lvl="0">
                    <a:defRPr b="1" i="0">
                      <a:latin typeface="serif"/>
                    </a:defRPr>
                  </a:pPr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6"/>
              <c:txPr>
                <a:bodyPr/>
                <a:lstStyle/>
                <a:p>
                  <a:pPr lvl="0">
                    <a:defRPr b="1" i="0">
                      <a:latin typeface="serif"/>
                    </a:defRPr>
                  </a:pPr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7"/>
              <c:txPr>
                <a:bodyPr/>
                <a:lstStyle/>
                <a:p>
                  <a:pPr lvl="0">
                    <a:defRPr b="1" i="0" sz="1000">
                      <a:latin typeface="serif"/>
                    </a:defRPr>
                  </a:pPr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8"/>
              <c:txPr>
                <a:bodyPr/>
                <a:lstStyle/>
                <a:p>
                  <a:pPr lvl="0">
                    <a:defRPr b="1" i="0" sz="800">
                      <a:latin typeface="serif"/>
                    </a:defRPr>
                  </a:pPr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9"/>
              <c:txPr>
                <a:bodyPr/>
                <a:lstStyle/>
                <a:p>
                  <a:pPr lvl="0">
                    <a:defRPr b="1" i="0" sz="700">
                      <a:latin typeface="serif"/>
                    </a:defRPr>
                  </a:pPr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10"/>
              <c:txPr>
                <a:bodyPr/>
                <a:lstStyle/>
                <a:p>
                  <a:pPr lvl="0">
                    <a:defRPr b="1" i="0" sz="700">
                      <a:latin typeface="serif"/>
                    </a:defRPr>
                  </a:pPr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</c:dLbl>
            <c:showLegendKey val="0"/>
            <c:showVal val="0"/>
            <c:showCatName val="1"/>
            <c:showSerName val="0"/>
            <c:showPercent val="0"/>
            <c:showBubbleSize val="0"/>
            <c:showLeaderLines val="1"/>
          </c:dLbls>
          <c:cat>
            <c:strRef>
              <c:f>'% de Alocação da Carteira 12_25'!$B$4:$B$14</c:f>
            </c:strRef>
          </c:cat>
          <c:val>
            <c:numRef>
              <c:f>'% de Alocação da Carteira 12_25'!$E$4:$E$14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serif"/>
            </a:defRPr>
          </a:pPr>
        </a:p>
      </c:txPr>
    </c:legend>
    <c:plotVisOnly val="1"/>
  </c:chart>
</c:chartSpace>
</file>

<file path=xl/charts/chart4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 i="0">
                <a:solidFill>
                  <a:srgbClr val="757575"/>
                </a:solidFill>
                <a:latin typeface="+mn-lt"/>
              </a:defRPr>
            </a:pPr>
            <a:r>
              <a:rPr b="0" i="0">
                <a:solidFill>
                  <a:srgbClr val="757575"/>
                </a:solidFill>
                <a:latin typeface="+mn-lt"/>
              </a:rPr>
              <a:t>Carteira "NF" -ALOCAÇÃO % COMPACTA</a:t>
            </a:r>
          </a:p>
        </c:rich>
      </c:tx>
      <c:overlay val="0"/>
    </c:title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472C4"/>
              </a:solidFill>
            </c:spPr>
          </c:dPt>
          <c:dPt>
            <c:idx val="1"/>
            <c:spPr>
              <a:solidFill>
                <a:srgbClr val="ED7D31"/>
              </a:solidFill>
            </c:spPr>
          </c:dPt>
          <c:dPt>
            <c:idx val="2"/>
            <c:spPr>
              <a:solidFill>
                <a:srgbClr val="A5A5A5"/>
              </a:solidFill>
            </c:spPr>
          </c:dPt>
          <c:dPt>
            <c:idx val="3"/>
            <c:spPr>
              <a:solidFill>
                <a:srgbClr val="FFC000"/>
              </a:solidFill>
            </c:spPr>
          </c:dPt>
          <c:dPt>
            <c:idx val="4"/>
            <c:spPr>
              <a:solidFill>
                <a:srgbClr val="5B9BD5"/>
              </a:solidFill>
            </c:spPr>
          </c:dPt>
          <c:dPt>
            <c:idx val="5"/>
            <c:spPr>
              <a:solidFill>
                <a:srgbClr val="70AD47"/>
              </a:solidFill>
            </c:spPr>
          </c:dPt>
          <c:dPt>
            <c:idx val="6"/>
            <c:spPr>
              <a:solidFill>
                <a:srgbClr val="7C9CD6"/>
              </a:solidFill>
            </c:spPr>
          </c:dPt>
          <c:dPt>
            <c:idx val="7"/>
            <c:spPr>
              <a:solidFill>
                <a:srgbClr val="F2A46F"/>
              </a:solidFill>
            </c:spPr>
          </c:dPt>
          <c:dPt>
            <c:idx val="8"/>
            <c:spPr>
              <a:solidFill>
                <a:srgbClr val="C0C0C0"/>
              </a:solidFill>
            </c:spPr>
          </c:dPt>
          <c:dPt>
            <c:idx val="9"/>
            <c:spPr>
              <a:solidFill>
                <a:srgbClr val="FFD34D"/>
              </a:solidFill>
            </c:spPr>
          </c:dPt>
          <c:dPt>
            <c:idx val="10"/>
            <c:spPr>
              <a:solidFill>
                <a:srgbClr val="8CB9E2"/>
              </a:solidFill>
            </c:spPr>
          </c:dPt>
          <c:dLbls>
            <c:dLbl>
              <c:idx val="0"/>
              <c:txPr>
                <a:bodyPr/>
                <a:lstStyle/>
                <a:p>
                  <a:pPr lvl="0">
                    <a:defRPr b="1" i="0">
                      <a:latin typeface="serif"/>
                    </a:defRPr>
                  </a:pPr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3"/>
              <c:txPr>
                <a:bodyPr/>
                <a:lstStyle/>
                <a:p>
                  <a:pPr lvl="0">
                    <a:defRPr b="1" i="0">
                      <a:latin typeface="serif"/>
                    </a:defRPr>
                  </a:pPr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4"/>
              <c:txPr>
                <a:bodyPr/>
                <a:lstStyle/>
                <a:p>
                  <a:pPr lvl="0">
                    <a:defRPr b="1" i="0">
                      <a:latin typeface="serif"/>
                    </a:defRPr>
                  </a:pPr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10"/>
              <c:txPr>
                <a:bodyPr/>
                <a:lstStyle/>
                <a:p>
                  <a:pPr lvl="0">
                    <a:defRPr b="1" i="0">
                      <a:latin typeface="serif"/>
                    </a:defRPr>
                  </a:pPr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</c:dLbl>
            <c:showLegendKey val="0"/>
            <c:showVal val="0"/>
            <c:showCatName val="1"/>
            <c:showSerName val="0"/>
            <c:showPercent val="0"/>
            <c:showBubbleSize val="0"/>
            <c:showLeaderLines val="1"/>
          </c:dLbls>
          <c:cat>
            <c:strRef>
              <c:f>'% de Alocação da Carteira 12_25'!$L$4:$L$14</c:f>
            </c:strRef>
          </c:cat>
          <c:val>
            <c:numRef>
              <c:f>'% de Alocação da Carteira 12_25'!$N$4:$N$14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layout>
        <c:manualLayout>
          <c:xMode val="edge"/>
          <c:yMode val="edge"/>
          <c:x val="0.6731727065826331"/>
          <c:y val="0.16152263374485595"/>
        </c:manualLayout>
      </c:layout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 i="0" sz="1600">
                <a:solidFill>
                  <a:srgbClr val="757575"/>
                </a:solidFill>
                <a:latin typeface="Arial"/>
              </a:defRPr>
            </a:pPr>
            <a:r>
              <a:rPr b="0" i="0" sz="1600">
                <a:solidFill>
                  <a:srgbClr val="757575"/>
                </a:solidFill>
                <a:latin typeface="Arial"/>
              </a:rPr>
              <a:t>% de Alocações Carteira "Nasser Family" na R. V. por Setor</a:t>
            </a:r>
          </a:p>
        </c:rich>
      </c:tx>
      <c:layout>
        <c:manualLayout>
          <c:xMode val="edge"/>
          <c:yMode val="edge"/>
          <c:x val="0.03356164383561644"/>
          <c:y val="0.06333333333333334"/>
        </c:manualLayout>
      </c:layout>
      <c:overlay val="0"/>
    </c:title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472C4"/>
              </a:solidFill>
            </c:spPr>
          </c:dPt>
          <c:dPt>
            <c:idx val="1"/>
            <c:spPr>
              <a:solidFill>
                <a:srgbClr val="ED7D31"/>
              </a:solidFill>
            </c:spPr>
          </c:dPt>
          <c:dPt>
            <c:idx val="2"/>
            <c:spPr>
              <a:solidFill>
                <a:srgbClr val="A5A5A5"/>
              </a:solidFill>
            </c:spPr>
          </c:dPt>
          <c:dPt>
            <c:idx val="3"/>
            <c:spPr>
              <a:solidFill>
                <a:srgbClr val="FFC000"/>
              </a:solidFill>
            </c:spPr>
          </c:dPt>
          <c:dPt>
            <c:idx val="4"/>
            <c:spPr>
              <a:solidFill>
                <a:srgbClr val="5B9BD5"/>
              </a:solidFill>
            </c:spPr>
          </c:dPt>
          <c:dPt>
            <c:idx val="5"/>
            <c:spPr>
              <a:solidFill>
                <a:srgbClr val="70AD47"/>
              </a:solidFill>
            </c:spPr>
          </c:dPt>
          <c:dPt>
            <c:idx val="6"/>
            <c:spPr>
              <a:solidFill>
                <a:srgbClr val="7C9CD6"/>
              </a:solidFill>
            </c:spPr>
          </c:dPt>
          <c:dPt>
            <c:idx val="7"/>
            <c:spPr>
              <a:solidFill>
                <a:srgbClr val="F2A46F"/>
              </a:solidFill>
            </c:spPr>
          </c:dPt>
          <c:dPt>
            <c:idx val="8"/>
            <c:spPr>
              <a:solidFill>
                <a:srgbClr val="C0C0C0"/>
              </a:solidFill>
            </c:spPr>
          </c:dPt>
          <c:dPt>
            <c:idx val="9"/>
            <c:spPr>
              <a:solidFill>
                <a:srgbClr val="FFD34D"/>
              </a:solidFill>
            </c:spPr>
          </c:dPt>
          <c:dPt>
            <c:idx val="10"/>
            <c:spPr>
              <a:solidFill>
                <a:srgbClr val="8CB9E2"/>
              </a:solidFill>
            </c:spPr>
          </c:dPt>
          <c:dPt>
            <c:idx val="11"/>
            <c:spPr>
              <a:solidFill>
                <a:srgbClr val="9BC67E"/>
              </a:solidFill>
            </c:spPr>
          </c:dPt>
          <c:dPt>
            <c:idx val="12"/>
            <c:spPr>
              <a:solidFill>
                <a:srgbClr val="B4C7E7"/>
              </a:solidFill>
            </c:spPr>
          </c:dPt>
          <c:dLbls>
            <c:dLbl>
              <c:idx val="11"/>
              <c:txPr>
                <a:bodyPr/>
                <a:lstStyle/>
                <a:p>
                  <a:pPr lvl="0">
                    <a:defRPr b="1" i="0" sz="800"/>
                  </a:pPr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</c:dLbl>
            <c:showLegendKey val="0"/>
            <c:showVal val="0"/>
            <c:showCatName val="1"/>
            <c:showSerName val="0"/>
            <c:showPercent val="0"/>
            <c:showBubbleSize val="0"/>
            <c:showLeaderLines val="1"/>
          </c:dLbls>
          <c:cat>
            <c:strRef>
              <c:f>'% de Alocação da Carteira 12_25'!$D$20:$D$32</c:f>
            </c:strRef>
          </c:cat>
          <c:val>
            <c:numRef>
              <c:f>'% de Alocação da Carteira 12_25'!$C$20:$C$32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Relationship Id="rId3" Type="http://schemas.openxmlformats.org/officeDocument/2006/relationships/chart" Target="../charts/chart3.xml"/></Relationships>
</file>

<file path=xl/drawings/_rels/drawing4.xml.rels><?xml version="1.0" encoding="UTF-8" standalone="yes"?><Relationships xmlns="http://schemas.openxmlformats.org/package/2006/relationships"><Relationship Id="rId1" Type="http://schemas.openxmlformats.org/officeDocument/2006/relationships/chart" Target="../charts/chart4.xml"/><Relationship Id="rId2" Type="http://schemas.openxmlformats.org/officeDocument/2006/relationships/chart" Target="../charts/chart5.xml"/><Relationship Id="rId3" Type="http://schemas.openxmlformats.org/officeDocument/2006/relationships/chart" Target="../charts/chart6.xml"/></Relationships>
</file>

<file path=xl/drawings/_rels/drawing5.xml.rels><?xml version="1.0" encoding="UTF-8" standalone="yes"?><Relationships xmlns="http://schemas.openxmlformats.org/package/2006/relationships"><Relationship Id="rId1" Type="http://schemas.openxmlformats.org/officeDocument/2006/relationships/chart" Target="../charts/chart7.xml"/><Relationship Id="rId2" Type="http://schemas.openxmlformats.org/officeDocument/2006/relationships/chart" Target="../charts/chart8.xml"/><Relationship Id="rId3" Type="http://schemas.openxmlformats.org/officeDocument/2006/relationships/chart" Target="../charts/chart9.xml"/></Relationships>
</file>

<file path=xl/drawings/_rels/drawing6.xml.rels><?xml version="1.0" encoding="UTF-8" standalone="yes"?><Relationships xmlns="http://schemas.openxmlformats.org/package/2006/relationships"><Relationship Id="rId1" Type="http://schemas.openxmlformats.org/officeDocument/2006/relationships/chart" Target="../charts/chart10.xml"/><Relationship Id="rId2" Type="http://schemas.openxmlformats.org/officeDocument/2006/relationships/chart" Target="../charts/chart11.xml"/><Relationship Id="rId3" Type="http://schemas.openxmlformats.org/officeDocument/2006/relationships/chart" Target="../charts/chart12.xml"/></Relationships>
</file>

<file path=xl/drawings/_rels/drawing7.xml.rels><?xml version="1.0" encoding="UTF-8" standalone="yes"?><Relationships xmlns="http://schemas.openxmlformats.org/package/2006/relationships"><Relationship Id="rId1" Type="http://schemas.openxmlformats.org/officeDocument/2006/relationships/chart" Target="../charts/chart13.xml"/><Relationship Id="rId2" Type="http://schemas.openxmlformats.org/officeDocument/2006/relationships/chart" Target="../charts/chart14.xml"/><Relationship Id="rId3" Type="http://schemas.openxmlformats.org/officeDocument/2006/relationships/chart" Target="../charts/chart15.xml"/></Relationships>
</file>

<file path=xl/drawings/_rels/drawing8.xml.rels><?xml version="1.0" encoding="UTF-8" standalone="yes"?><Relationships xmlns="http://schemas.openxmlformats.org/package/2006/relationships"><Relationship Id="rId1" Type="http://schemas.openxmlformats.org/officeDocument/2006/relationships/chart" Target="../charts/chart16.xml"/><Relationship Id="rId2" Type="http://schemas.openxmlformats.org/officeDocument/2006/relationships/chart" Target="../charts/chart17.xml"/><Relationship Id="rId3" Type="http://schemas.openxmlformats.org/officeDocument/2006/relationships/chart" Target="../charts/chart18.xml"/></Relationships>
</file>

<file path=xl/drawings/_rels/drawing9.xml.rels><?xml version="1.0" encoding="UTF-8" standalone="yes"?><Relationships xmlns="http://schemas.openxmlformats.org/package/2006/relationships"><Relationship Id="rId1" Type="http://schemas.openxmlformats.org/officeDocument/2006/relationships/chart" Target="../charts/chart19.xml"/><Relationship Id="rId2" Type="http://schemas.openxmlformats.org/officeDocument/2006/relationships/chart" Target="../charts/chart20.xml"/><Relationship Id="rId3" Type="http://schemas.openxmlformats.org/officeDocument/2006/relationships/chart" Target="../charts/chart21.xml"/></Relationships>
</file>

<file path=xl/drawings/_rels/drawing10.xml.rels><?xml version="1.0" encoding="UTF-8" standalone="yes"?><Relationships xmlns="http://schemas.openxmlformats.org/package/2006/relationships"><Relationship Id="rId1" Type="http://schemas.openxmlformats.org/officeDocument/2006/relationships/chart" Target="../charts/chart22.xml"/><Relationship Id="rId2" Type="http://schemas.openxmlformats.org/officeDocument/2006/relationships/chart" Target="../charts/chart23.xml"/><Relationship Id="rId3" Type="http://schemas.openxmlformats.org/officeDocument/2006/relationships/chart" Target="../charts/chart24.xml"/></Relationships>
</file>

<file path=xl/drawings/_rels/drawing11.xml.rels><?xml version="1.0" encoding="UTF-8" standalone="yes"?><Relationships xmlns="http://schemas.openxmlformats.org/package/2006/relationships"><Relationship Id="rId1" Type="http://schemas.openxmlformats.org/officeDocument/2006/relationships/chart" Target="../charts/chart25.xml"/><Relationship Id="rId2" Type="http://schemas.openxmlformats.org/officeDocument/2006/relationships/chart" Target="../charts/chart26.xml"/><Relationship Id="rId3" Type="http://schemas.openxmlformats.org/officeDocument/2006/relationships/chart" Target="../charts/chart27.xml"/></Relationships>
</file>

<file path=xl/drawings/_rels/drawing12.xml.rels><?xml version="1.0" encoding="UTF-8" standalone="yes"?><Relationships xmlns="http://schemas.openxmlformats.org/package/2006/relationships"><Relationship Id="rId1" Type="http://schemas.openxmlformats.org/officeDocument/2006/relationships/chart" Target="../charts/chart28.xml"/><Relationship Id="rId2" Type="http://schemas.openxmlformats.org/officeDocument/2006/relationships/chart" Target="../charts/chart29.xml"/><Relationship Id="rId3" Type="http://schemas.openxmlformats.org/officeDocument/2006/relationships/chart" Target="../charts/chart30.xml"/></Relationships>
</file>

<file path=xl/drawings/_rels/drawing13.xml.rels><?xml version="1.0" encoding="UTF-8" standalone="yes"?><Relationships xmlns="http://schemas.openxmlformats.org/package/2006/relationships"><Relationship Id="rId1" Type="http://schemas.openxmlformats.org/officeDocument/2006/relationships/chart" Target="../charts/chart31.xml"/><Relationship Id="rId2" Type="http://schemas.openxmlformats.org/officeDocument/2006/relationships/chart" Target="../charts/chart32.xml"/><Relationship Id="rId3" Type="http://schemas.openxmlformats.org/officeDocument/2006/relationships/chart" Target="../charts/chart33.xml"/></Relationships>
</file>

<file path=xl/drawings/_rels/drawing14.xml.rels><?xml version="1.0" encoding="UTF-8" standalone="yes"?><Relationships xmlns="http://schemas.openxmlformats.org/package/2006/relationships"><Relationship Id="rId1" Type="http://schemas.openxmlformats.org/officeDocument/2006/relationships/chart" Target="../charts/chart34.xml"/><Relationship Id="rId2" Type="http://schemas.openxmlformats.org/officeDocument/2006/relationships/image" Target="../media/Chart35.png"/><Relationship Id="rId3" Type="http://schemas.openxmlformats.org/officeDocument/2006/relationships/chart" Target="../charts/chart35.xml"/><Relationship Id="rId4" Type="http://schemas.openxmlformats.org/officeDocument/2006/relationships/chart" Target="../charts/chart36.xml"/><Relationship Id="rId9" Type="http://schemas.openxmlformats.org/officeDocument/2006/relationships/chart" Target="../charts/chart40.xml"/><Relationship Id="rId5" Type="http://schemas.openxmlformats.org/officeDocument/2006/relationships/chart" Target="../charts/chart37.xml"/><Relationship Id="rId6" Type="http://schemas.openxmlformats.org/officeDocument/2006/relationships/image" Target="../media/Chart39.png"/><Relationship Id="rId7" Type="http://schemas.openxmlformats.org/officeDocument/2006/relationships/chart" Target="../charts/chart38.xml"/><Relationship Id="rId8" Type="http://schemas.openxmlformats.org/officeDocument/2006/relationships/chart" Target="../charts/chart39.xml"/></Relationships>
</file>

<file path=xl/drawings/_rels/drawing15.xml.rels><?xml version="1.0" encoding="UTF-8" standalone="yes"?><Relationships xmlns="http://schemas.openxmlformats.org/package/2006/relationships"><Relationship Id="rId1" Type="http://schemas.openxmlformats.org/officeDocument/2006/relationships/chart" Target="../charts/chart41.xml"/><Relationship Id="rId2" Type="http://schemas.openxmlformats.org/officeDocument/2006/relationships/chart" Target="../charts/chart42.xml"/><Relationship Id="rId3" Type="http://schemas.openxmlformats.org/officeDocument/2006/relationships/chart" Target="../charts/chart43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5</xdr:col>
      <xdr:colOff>314325</xdr:colOff>
      <xdr:row>2</xdr:row>
      <xdr:rowOff>47625</xdr:rowOff>
    </xdr:from>
    <xdr:ext cx="4200525" cy="2562225"/>
    <xdr:graphicFrame>
      <xdr:nvGraphicFramePr>
        <xdr:cNvPr id="1032885926" name="Chart 1" title="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5</xdr:col>
      <xdr:colOff>314325</xdr:colOff>
      <xdr:row>18</xdr:row>
      <xdr:rowOff>19050</xdr:rowOff>
    </xdr:from>
    <xdr:ext cx="4200525" cy="2819400"/>
    <xdr:graphicFrame>
      <xdr:nvGraphicFramePr>
        <xdr:cNvPr id="297111766" name="Chart 2" title="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14</xdr:col>
      <xdr:colOff>114300</xdr:colOff>
      <xdr:row>0</xdr:row>
      <xdr:rowOff>171450</xdr:rowOff>
    </xdr:from>
    <xdr:ext cx="3400425" cy="2686050"/>
    <xdr:graphicFrame>
      <xdr:nvGraphicFramePr>
        <xdr:cNvPr id="1227276150" name="Chart 3" title="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5</xdr:col>
      <xdr:colOff>171450</xdr:colOff>
      <xdr:row>1</xdr:row>
      <xdr:rowOff>161925</xdr:rowOff>
    </xdr:from>
    <xdr:ext cx="3952875" cy="2505075"/>
    <xdr:graphicFrame>
      <xdr:nvGraphicFramePr>
        <xdr:cNvPr id="1927846966" name="Chart 4" title="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5</xdr:col>
      <xdr:colOff>171450</xdr:colOff>
      <xdr:row>18</xdr:row>
      <xdr:rowOff>0</xdr:rowOff>
    </xdr:from>
    <xdr:ext cx="3952875" cy="2857500"/>
    <xdr:graphicFrame>
      <xdr:nvGraphicFramePr>
        <xdr:cNvPr id="72908934" name="Chart 5" title="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14</xdr:col>
      <xdr:colOff>419100</xdr:colOff>
      <xdr:row>0</xdr:row>
      <xdr:rowOff>190500</xdr:rowOff>
    </xdr:from>
    <xdr:ext cx="3448050" cy="2667000"/>
    <xdr:graphicFrame>
      <xdr:nvGraphicFramePr>
        <xdr:cNvPr id="1809933286" name="Chart 6" title="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5</xdr:col>
      <xdr:colOff>180975</xdr:colOff>
      <xdr:row>1</xdr:row>
      <xdr:rowOff>0</xdr:rowOff>
    </xdr:from>
    <xdr:ext cx="4552950" cy="2647950"/>
    <xdr:graphicFrame>
      <xdr:nvGraphicFramePr>
        <xdr:cNvPr id="1213448357" name="Chart 7" title="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5</xdr:col>
      <xdr:colOff>152400</xdr:colOff>
      <xdr:row>17</xdr:row>
      <xdr:rowOff>0</xdr:rowOff>
    </xdr:from>
    <xdr:ext cx="4581525" cy="3409950"/>
    <xdr:graphicFrame>
      <xdr:nvGraphicFramePr>
        <xdr:cNvPr id="783902251" name="Chart 8" title="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14</xdr:col>
      <xdr:colOff>257175</xdr:colOff>
      <xdr:row>1</xdr:row>
      <xdr:rowOff>0</xdr:rowOff>
    </xdr:from>
    <xdr:ext cx="3448050" cy="2647950"/>
    <xdr:graphicFrame>
      <xdr:nvGraphicFramePr>
        <xdr:cNvPr id="1451074301" name="Chart 9" title="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5</xdr:col>
      <xdr:colOff>285750</xdr:colOff>
      <xdr:row>1</xdr:row>
      <xdr:rowOff>0</xdr:rowOff>
    </xdr:from>
    <xdr:ext cx="4705350" cy="2628900"/>
    <xdr:graphicFrame>
      <xdr:nvGraphicFramePr>
        <xdr:cNvPr id="1812633769" name="Chart 10" title="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5</xdr:col>
      <xdr:colOff>285750</xdr:colOff>
      <xdr:row>17</xdr:row>
      <xdr:rowOff>0</xdr:rowOff>
    </xdr:from>
    <xdr:ext cx="4705350" cy="3419475"/>
    <xdr:graphicFrame>
      <xdr:nvGraphicFramePr>
        <xdr:cNvPr id="565634630" name="Chart 11" title="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14</xdr:col>
      <xdr:colOff>180975</xdr:colOff>
      <xdr:row>0</xdr:row>
      <xdr:rowOff>171450</xdr:rowOff>
    </xdr:from>
    <xdr:ext cx="3448050" cy="2667000"/>
    <xdr:graphicFrame>
      <xdr:nvGraphicFramePr>
        <xdr:cNvPr id="2045560332" name="Chart 12" title="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5</xdr:col>
      <xdr:colOff>228600</xdr:colOff>
      <xdr:row>0</xdr:row>
      <xdr:rowOff>171450</xdr:rowOff>
    </xdr:from>
    <xdr:ext cx="4905375" cy="2714625"/>
    <xdr:graphicFrame>
      <xdr:nvGraphicFramePr>
        <xdr:cNvPr id="772611883" name="Chart 13" title="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5</xdr:col>
      <xdr:colOff>228600</xdr:colOff>
      <xdr:row>16</xdr:row>
      <xdr:rowOff>152400</xdr:rowOff>
    </xdr:from>
    <xdr:ext cx="4905375" cy="3095625"/>
    <xdr:graphicFrame>
      <xdr:nvGraphicFramePr>
        <xdr:cNvPr id="1009858192" name="Chart 14" title="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14</xdr:col>
      <xdr:colOff>142875</xdr:colOff>
      <xdr:row>0</xdr:row>
      <xdr:rowOff>171450</xdr:rowOff>
    </xdr:from>
    <xdr:ext cx="3895725" cy="2657475"/>
    <xdr:graphicFrame>
      <xdr:nvGraphicFramePr>
        <xdr:cNvPr id="400109543" name="Chart 15" title="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5</xdr:col>
      <xdr:colOff>733425</xdr:colOff>
      <xdr:row>1</xdr:row>
      <xdr:rowOff>171450</xdr:rowOff>
    </xdr:from>
    <xdr:ext cx="4686300" cy="2466975"/>
    <xdr:graphicFrame>
      <xdr:nvGraphicFramePr>
        <xdr:cNvPr id="1801859591" name="Chart 16" title="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14</xdr:col>
      <xdr:colOff>609600</xdr:colOff>
      <xdr:row>1</xdr:row>
      <xdr:rowOff>9525</xdr:rowOff>
    </xdr:from>
    <xdr:ext cx="3276600" cy="2628900"/>
    <xdr:graphicFrame>
      <xdr:nvGraphicFramePr>
        <xdr:cNvPr id="931374292" name="Chart 17" title="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5</xdr:col>
      <xdr:colOff>952500</xdr:colOff>
      <xdr:row>18</xdr:row>
      <xdr:rowOff>9525</xdr:rowOff>
    </xdr:from>
    <xdr:ext cx="4467225" cy="2838450"/>
    <xdr:graphicFrame>
      <xdr:nvGraphicFramePr>
        <xdr:cNvPr id="817735456" name="Chart 18" title="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5</xdr:col>
      <xdr:colOff>742950</xdr:colOff>
      <xdr:row>2</xdr:row>
      <xdr:rowOff>0</xdr:rowOff>
    </xdr:from>
    <xdr:ext cx="4819650" cy="2409825"/>
    <xdr:graphicFrame>
      <xdr:nvGraphicFramePr>
        <xdr:cNvPr id="947928040" name="Chart 19" title="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5</xdr:col>
      <xdr:colOff>523875</xdr:colOff>
      <xdr:row>18</xdr:row>
      <xdr:rowOff>28575</xdr:rowOff>
    </xdr:from>
    <xdr:ext cx="4905375" cy="2819400"/>
    <xdr:graphicFrame>
      <xdr:nvGraphicFramePr>
        <xdr:cNvPr id="1801385251" name="Chart 20" title="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14</xdr:col>
      <xdr:colOff>238125</xdr:colOff>
      <xdr:row>1</xdr:row>
      <xdr:rowOff>95250</xdr:rowOff>
    </xdr:from>
    <xdr:ext cx="3276600" cy="2628900"/>
    <xdr:graphicFrame>
      <xdr:nvGraphicFramePr>
        <xdr:cNvPr id="978647989" name="Chart 21" title="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5</xdr:col>
      <xdr:colOff>685800</xdr:colOff>
      <xdr:row>1</xdr:row>
      <xdr:rowOff>190500</xdr:rowOff>
    </xdr:from>
    <xdr:ext cx="4524375" cy="2495550"/>
    <xdr:graphicFrame>
      <xdr:nvGraphicFramePr>
        <xdr:cNvPr id="1140906384" name="Chart 22" title="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5</xdr:col>
      <xdr:colOff>790575</xdr:colOff>
      <xdr:row>17</xdr:row>
      <xdr:rowOff>0</xdr:rowOff>
    </xdr:from>
    <xdr:ext cx="4810125" cy="3048000"/>
    <xdr:graphicFrame>
      <xdr:nvGraphicFramePr>
        <xdr:cNvPr id="708985097" name="Chart 23" title="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14</xdr:col>
      <xdr:colOff>514350</xdr:colOff>
      <xdr:row>0</xdr:row>
      <xdr:rowOff>161925</xdr:rowOff>
    </xdr:from>
    <xdr:ext cx="3838575" cy="2705100"/>
    <xdr:graphicFrame>
      <xdr:nvGraphicFramePr>
        <xdr:cNvPr id="247854151" name="Chart 24" title="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5</xdr:col>
      <xdr:colOff>333375</xdr:colOff>
      <xdr:row>18</xdr:row>
      <xdr:rowOff>9525</xdr:rowOff>
    </xdr:from>
    <xdr:ext cx="4905375" cy="2819400"/>
    <xdr:graphicFrame>
      <xdr:nvGraphicFramePr>
        <xdr:cNvPr id="1900451058" name="Chart 25" title="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5</xdr:col>
      <xdr:colOff>171450</xdr:colOff>
      <xdr:row>2</xdr:row>
      <xdr:rowOff>19050</xdr:rowOff>
    </xdr:from>
    <xdr:ext cx="4200525" cy="2324100"/>
    <xdr:graphicFrame>
      <xdr:nvGraphicFramePr>
        <xdr:cNvPr id="1226407590" name="Chart 26" title="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14</xdr:col>
      <xdr:colOff>390525</xdr:colOff>
      <xdr:row>1</xdr:row>
      <xdr:rowOff>0</xdr:rowOff>
    </xdr:from>
    <xdr:ext cx="3733800" cy="2819400"/>
    <xdr:graphicFrame>
      <xdr:nvGraphicFramePr>
        <xdr:cNvPr id="903769816" name="Chart 27" title="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5</xdr:col>
      <xdr:colOff>647700</xdr:colOff>
      <xdr:row>2</xdr:row>
      <xdr:rowOff>19050</xdr:rowOff>
    </xdr:from>
    <xdr:ext cx="4200525" cy="2428875"/>
    <xdr:graphicFrame>
      <xdr:nvGraphicFramePr>
        <xdr:cNvPr id="544192556" name="Chart 28" title="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5</xdr:col>
      <xdr:colOff>123825</xdr:colOff>
      <xdr:row>17</xdr:row>
      <xdr:rowOff>171450</xdr:rowOff>
    </xdr:from>
    <xdr:ext cx="4905375" cy="2819400"/>
    <xdr:graphicFrame>
      <xdr:nvGraphicFramePr>
        <xdr:cNvPr id="1542348950" name="Chart 29" title="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14</xdr:col>
      <xdr:colOff>371475</xdr:colOff>
      <xdr:row>0</xdr:row>
      <xdr:rowOff>180975</xdr:rowOff>
    </xdr:from>
    <xdr:ext cx="4381500" cy="2914650"/>
    <xdr:graphicFrame>
      <xdr:nvGraphicFramePr>
        <xdr:cNvPr id="1429863902" name="Chart 30" title="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5</xdr:col>
      <xdr:colOff>142875</xdr:colOff>
      <xdr:row>17</xdr:row>
      <xdr:rowOff>161925</xdr:rowOff>
    </xdr:from>
    <xdr:ext cx="4905375" cy="2819400"/>
    <xdr:graphicFrame>
      <xdr:nvGraphicFramePr>
        <xdr:cNvPr id="1356242564" name="Chart 31" title="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5</xdr:col>
      <xdr:colOff>209550</xdr:colOff>
      <xdr:row>1</xdr:row>
      <xdr:rowOff>180975</xdr:rowOff>
    </xdr:from>
    <xdr:ext cx="4200525" cy="2428875"/>
    <xdr:graphicFrame>
      <xdr:nvGraphicFramePr>
        <xdr:cNvPr id="705708794" name="Chart 32" title="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14</xdr:col>
      <xdr:colOff>342900</xdr:colOff>
      <xdr:row>0</xdr:row>
      <xdr:rowOff>161925</xdr:rowOff>
    </xdr:from>
    <xdr:ext cx="3400425" cy="2638425"/>
    <xdr:graphicFrame>
      <xdr:nvGraphicFramePr>
        <xdr:cNvPr id="1156332110" name="Chart 33" title="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44</xdr:col>
      <xdr:colOff>781050</xdr:colOff>
      <xdr:row>149</xdr:row>
      <xdr:rowOff>0</xdr:rowOff>
    </xdr:from>
    <xdr:ext cx="6134100" cy="5638800"/>
    <xdr:graphicFrame>
      <xdr:nvGraphicFramePr>
        <xdr:cNvPr id="108872967" name="Chart 34" title="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38</xdr:col>
      <xdr:colOff>514350</xdr:colOff>
      <xdr:row>74</xdr:row>
      <xdr:rowOff>104775</xdr:rowOff>
    </xdr:from>
    <xdr:ext cx="6134100" cy="4600575"/>
    <xdr:pic>
      <xdr:nvPicPr>
        <xdr:cNvPr id="1965174387" name="Chart35" title="Gráfico">
          <a:extLst>
            <a:ext uri="GoogleSheetsCustomDataVersion1">
              <go:sheetsCustomData xmlns:go="http://customooxmlschemas.google.com/" pictureOfChart="1"/>
            </a:ext>
          </a:extLst>
        </xdr:cNvPr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37</xdr:col>
      <xdr:colOff>295275</xdr:colOff>
      <xdr:row>8</xdr:row>
      <xdr:rowOff>66675</xdr:rowOff>
    </xdr:from>
    <xdr:ext cx="11658600" cy="9382125"/>
    <xdr:graphicFrame>
      <xdr:nvGraphicFramePr>
        <xdr:cNvPr id="916292385" name="Chart 36" title="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  <xdr:oneCellAnchor>
    <xdr:from>
      <xdr:col>45</xdr:col>
      <xdr:colOff>114300</xdr:colOff>
      <xdr:row>115</xdr:row>
      <xdr:rowOff>0</xdr:rowOff>
    </xdr:from>
    <xdr:ext cx="5181600" cy="5829300"/>
    <xdr:graphicFrame>
      <xdr:nvGraphicFramePr>
        <xdr:cNvPr id="827556356" name="Chart 37" title="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4"/>
        </a:graphicData>
      </a:graphic>
    </xdr:graphicFrame>
    <xdr:clientData fLocksWithSheet="0"/>
  </xdr:oneCellAnchor>
  <xdr:oneCellAnchor>
    <xdr:from>
      <xdr:col>38</xdr:col>
      <xdr:colOff>514350</xdr:colOff>
      <xdr:row>114</xdr:row>
      <xdr:rowOff>19050</xdr:rowOff>
    </xdr:from>
    <xdr:ext cx="6496050" cy="5915025"/>
    <xdr:graphicFrame>
      <xdr:nvGraphicFramePr>
        <xdr:cNvPr id="209305411" name="Chart 38" title="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5"/>
        </a:graphicData>
      </a:graphic>
    </xdr:graphicFrame>
    <xdr:clientData fLocksWithSheet="0"/>
  </xdr:oneCellAnchor>
  <xdr:oneCellAnchor>
    <xdr:from>
      <xdr:col>44</xdr:col>
      <xdr:colOff>781050</xdr:colOff>
      <xdr:row>74</xdr:row>
      <xdr:rowOff>161925</xdr:rowOff>
    </xdr:from>
    <xdr:ext cx="5553075" cy="4600575"/>
    <xdr:pic>
      <xdr:nvPicPr>
        <xdr:cNvPr id="1293369535" name="Chart39" title="Gráfico">
          <a:extLst>
            <a:ext uri="GoogleSheetsCustomDataVersion1">
              <go:sheetsCustomData xmlns:go="http://customooxmlschemas.google.com/" pictureOfChart="1"/>
            </a:ext>
          </a:extLst>
        </xdr:cNvPr>
        <xdr:cNvPicPr preferRelativeResize="0"/>
      </xdr:nvPicPr>
      <xdr:blipFill>
        <a:blip cstate="print" r:embed="rId6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38</xdr:col>
      <xdr:colOff>514350</xdr:colOff>
      <xdr:row>149</xdr:row>
      <xdr:rowOff>0</xdr:rowOff>
    </xdr:from>
    <xdr:ext cx="6686550" cy="5638800"/>
    <xdr:graphicFrame>
      <xdr:nvGraphicFramePr>
        <xdr:cNvPr id="1623149143" name="Chart 40" title="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7"/>
        </a:graphicData>
      </a:graphic>
    </xdr:graphicFrame>
    <xdr:clientData fLocksWithSheet="0"/>
  </xdr:oneCellAnchor>
  <xdr:oneCellAnchor>
    <xdr:from>
      <xdr:col>38</xdr:col>
      <xdr:colOff>514350</xdr:colOff>
      <xdr:row>92</xdr:row>
      <xdr:rowOff>114300</xdr:rowOff>
    </xdr:from>
    <xdr:ext cx="6134100" cy="4219575"/>
    <xdr:graphicFrame>
      <xdr:nvGraphicFramePr>
        <xdr:cNvPr id="1143048912" name="Chart 41" title="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8"/>
        </a:graphicData>
      </a:graphic>
    </xdr:graphicFrame>
    <xdr:clientData fLocksWithSheet="0"/>
  </xdr:oneCellAnchor>
  <xdr:oneCellAnchor>
    <xdr:from>
      <xdr:col>44</xdr:col>
      <xdr:colOff>781050</xdr:colOff>
      <xdr:row>92</xdr:row>
      <xdr:rowOff>114300</xdr:rowOff>
    </xdr:from>
    <xdr:ext cx="5553075" cy="4048125"/>
    <xdr:graphicFrame>
      <xdr:nvGraphicFramePr>
        <xdr:cNvPr id="1159801627" name="Chart 42" title="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9"/>
        </a:graphicData>
      </a:graphic>
    </xdr:graphicFrame>
    <xdr:clientData fLocksWithSheet="0"/>
  </xdr:oneCellAnchor>
</xdr:wsDr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5</xdr:col>
      <xdr:colOff>266700</xdr:colOff>
      <xdr:row>2</xdr:row>
      <xdr:rowOff>47625</xdr:rowOff>
    </xdr:from>
    <xdr:ext cx="4200525" cy="2428875"/>
    <xdr:graphicFrame>
      <xdr:nvGraphicFramePr>
        <xdr:cNvPr id="1713084526" name="Chart 43" title="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14</xdr:col>
      <xdr:colOff>323850</xdr:colOff>
      <xdr:row>1</xdr:row>
      <xdr:rowOff>28575</xdr:rowOff>
    </xdr:from>
    <xdr:ext cx="3400425" cy="2638425"/>
    <xdr:graphicFrame>
      <xdr:nvGraphicFramePr>
        <xdr:cNvPr id="577554648" name="Chart 44" title="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5</xdr:col>
      <xdr:colOff>266700</xdr:colOff>
      <xdr:row>17</xdr:row>
      <xdr:rowOff>180975</xdr:rowOff>
    </xdr:from>
    <xdr:ext cx="4905375" cy="2819400"/>
    <xdr:graphicFrame>
      <xdr:nvGraphicFramePr>
        <xdr:cNvPr id="102526626" name="Chart 45" title="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comments" Target="../comments1.xml"/><Relationship Id="rId2" Type="http://schemas.openxmlformats.org/officeDocument/2006/relationships/drawing" Target="../drawings/drawing14.xml"/><Relationship Id="rId3" Type="http://schemas.openxmlformats.org/officeDocument/2006/relationships/vmlDrawing" Target="../drawings/vmlDrawing1.v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1.22" defaultRowHeight="15.0"/>
  <cols>
    <col customWidth="1" min="1" max="20" width="11.33"/>
    <col customWidth="1" min="21" max="26" width="14.44"/>
  </cols>
  <sheetData>
    <row r="1" ht="15.75" customHeight="1">
      <c r="A1" s="1"/>
      <c r="B1" s="1" t="s">
        <v>0</v>
      </c>
      <c r="C1" s="1"/>
      <c r="D1" s="2"/>
      <c r="E1" s="1"/>
      <c r="F1" s="1"/>
      <c r="G1" s="1"/>
      <c r="H1" s="2"/>
      <c r="I1" s="1"/>
      <c r="J1" s="1"/>
      <c r="K1" s="1"/>
      <c r="L1" s="2"/>
      <c r="M1" s="1"/>
      <c r="N1" s="1"/>
      <c r="O1" s="1"/>
      <c r="P1" s="2"/>
      <c r="Q1" s="1"/>
      <c r="R1" s="1"/>
      <c r="S1" s="1"/>
      <c r="T1" s="2"/>
    </row>
    <row r="2" ht="29.25" customHeight="1">
      <c r="A2" s="1"/>
      <c r="C2" s="1"/>
      <c r="D2" s="3" t="s">
        <v>1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</row>
    <row r="3" ht="15.75" customHeight="1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</row>
    <row r="4" ht="15.75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</row>
    <row r="5" ht="15.75" customHeight="1">
      <c r="A5" s="4"/>
      <c r="B5" s="1"/>
      <c r="C5" s="1"/>
      <c r="D5" s="1"/>
      <c r="E5" s="4"/>
      <c r="F5" s="1"/>
      <c r="G5" s="1"/>
      <c r="H5" s="1"/>
      <c r="I5" s="4"/>
      <c r="J5" s="1"/>
      <c r="K5" s="1"/>
      <c r="L5" s="1"/>
      <c r="M5" s="4"/>
      <c r="N5" s="1"/>
      <c r="O5" s="1"/>
      <c r="P5" s="1"/>
      <c r="Q5" s="4"/>
      <c r="R5" s="1"/>
      <c r="S5" s="1"/>
      <c r="T5" s="1"/>
    </row>
    <row r="6" ht="15.75" customHeight="1">
      <c r="A6" s="4"/>
      <c r="B6" s="1"/>
      <c r="C6" s="1"/>
      <c r="D6" s="1"/>
      <c r="E6" s="4"/>
      <c r="F6" s="1"/>
      <c r="G6" s="1"/>
      <c r="H6" s="1"/>
      <c r="I6" s="4"/>
      <c r="J6" s="1"/>
      <c r="K6" s="1"/>
      <c r="L6" s="1"/>
      <c r="M6" s="4"/>
      <c r="N6" s="1"/>
      <c r="O6" s="1"/>
      <c r="P6" s="1"/>
      <c r="Q6" s="4"/>
      <c r="R6" s="1"/>
      <c r="S6" s="1"/>
      <c r="T6" s="1"/>
    </row>
    <row r="7" ht="15.75" customHeight="1">
      <c r="A7" s="5" t="s">
        <v>2</v>
      </c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7"/>
      <c r="P7" s="7"/>
      <c r="Q7" s="7"/>
      <c r="R7" s="7"/>
      <c r="S7" s="7"/>
    </row>
    <row r="8" ht="15.75" customHeight="1">
      <c r="A8" s="7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</row>
    <row r="9" ht="15.75" customHeight="1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</row>
    <row r="10" ht="15.75" customHeight="1">
      <c r="A10" s="8" t="s">
        <v>3</v>
      </c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9"/>
      <c r="P10" s="9"/>
      <c r="Q10" s="9"/>
      <c r="R10" s="9"/>
      <c r="S10" s="9"/>
    </row>
    <row r="11" ht="15.75" customHeight="1">
      <c r="A11" s="7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</row>
    <row r="12" ht="15.75" customHeight="1">
      <c r="A12" s="10" t="s">
        <v>4</v>
      </c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</row>
    <row r="13" ht="15.75" customHeight="1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</row>
    <row r="14" ht="15.75" customHeight="1">
      <c r="A14" s="10" t="s">
        <v>5</v>
      </c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</row>
    <row r="15" ht="15.75" customHeight="1">
      <c r="A15" s="11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</row>
    <row r="16" ht="15.75" customHeight="1">
      <c r="A16" s="10" t="s">
        <v>6</v>
      </c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</row>
    <row r="17" ht="15.75" customHeight="1">
      <c r="A17" s="10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</row>
    <row r="18" ht="15.75" customHeight="1">
      <c r="A18" s="10" t="s">
        <v>7</v>
      </c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</row>
    <row r="19" ht="15.75" customHeight="1">
      <c r="A19" s="10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</row>
    <row r="20" ht="22.5" customHeight="1">
      <c r="A20" s="12" t="s">
        <v>8</v>
      </c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</row>
    <row r="21" ht="15.75" customHeight="1">
      <c r="A21" s="13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</row>
    <row r="22" ht="15.75" customHeight="1">
      <c r="A22" s="10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</row>
    <row r="23" ht="15.75" customHeight="1">
      <c r="A23" s="11"/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7"/>
      <c r="P23" s="7"/>
      <c r="Q23" s="7"/>
      <c r="R23" s="7"/>
      <c r="S23" s="7"/>
    </row>
    <row r="24" ht="15.75" customHeight="1">
      <c r="A24" s="14"/>
      <c r="B24" s="14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5"/>
      <c r="P24" s="15"/>
      <c r="Q24" s="15"/>
      <c r="R24" s="15"/>
      <c r="S24" s="15"/>
    </row>
    <row r="25" ht="15.75" customHeight="1">
      <c r="A25" s="16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15"/>
      <c r="O25" s="15"/>
      <c r="P25" s="15"/>
      <c r="Q25" s="15"/>
      <c r="R25" s="15"/>
      <c r="S25" s="15"/>
    </row>
    <row r="26" ht="15.75" customHeight="1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</row>
    <row r="27" ht="15.75" customHeight="1">
      <c r="A27" s="17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</row>
    <row r="28" ht="15.75" customHeight="1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</row>
    <row r="29" ht="15.75" customHeight="1">
      <c r="A29" s="17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</row>
    <row r="30" ht="15.75" customHeight="1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</row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7:N7"/>
    <mergeCell ref="A10:N10"/>
  </mergeCells>
  <printOptions/>
  <pageMargins bottom="0.75" footer="0.0" header="0.0" left="0.7" right="0.7" top="0.75"/>
  <pageSetup paperSize="9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outlinePr summaryBelow="0" summaryRight="0"/>
  </sheetPr>
  <sheetViews>
    <sheetView workbookViewId="0"/>
  </sheetViews>
  <sheetFormatPr customHeight="1" defaultColWidth="11.22" defaultRowHeight="15.0"/>
  <cols>
    <col customWidth="1" min="1" max="1" width="24.22"/>
  </cols>
  <sheetData>
    <row r="1">
      <c r="A1" s="18"/>
      <c r="B1" s="18"/>
      <c r="C1" s="19"/>
      <c r="D1" s="20"/>
      <c r="E1" s="20"/>
      <c r="F1" s="20"/>
      <c r="G1" s="19"/>
      <c r="H1" s="20"/>
      <c r="I1" s="20"/>
    </row>
    <row r="2">
      <c r="A2" s="20" t="s">
        <v>9</v>
      </c>
      <c r="B2" s="18"/>
      <c r="C2" s="19"/>
      <c r="D2" s="20"/>
      <c r="E2" s="20"/>
      <c r="F2" s="20"/>
      <c r="G2" s="19"/>
      <c r="H2" s="20"/>
      <c r="I2" s="20"/>
    </row>
    <row r="3">
      <c r="A3" s="20" t="s">
        <v>10</v>
      </c>
      <c r="B3" s="20" t="s">
        <v>11</v>
      </c>
      <c r="C3" s="19" t="s">
        <v>12</v>
      </c>
      <c r="D3" s="20" t="s">
        <v>13</v>
      </c>
      <c r="E3" s="20" t="s">
        <v>14</v>
      </c>
      <c r="F3" s="20" t="s">
        <v>15</v>
      </c>
      <c r="G3" s="19" t="s">
        <v>16</v>
      </c>
      <c r="H3" s="20" t="s">
        <v>17</v>
      </c>
      <c r="I3" s="20" t="s">
        <v>18</v>
      </c>
      <c r="J3" s="18">
        <v>44440.0</v>
      </c>
      <c r="K3" s="20" t="s">
        <v>19</v>
      </c>
    </row>
    <row r="4">
      <c r="C4" s="19"/>
      <c r="G4" s="19"/>
    </row>
    <row r="5">
      <c r="A5" s="20" t="s">
        <v>20</v>
      </c>
      <c r="B5" s="20">
        <v>-3.32</v>
      </c>
      <c r="C5" s="19">
        <v>-0.0437</v>
      </c>
      <c r="D5" s="21">
        <v>0.06</v>
      </c>
      <c r="E5" s="21">
        <v>0.0194</v>
      </c>
      <c r="F5" s="21">
        <v>0.061583</v>
      </c>
      <c r="G5" s="19">
        <v>0.0046</v>
      </c>
      <c r="H5" s="21">
        <v>-0.039438</v>
      </c>
      <c r="I5" s="21">
        <v>-0.0247</v>
      </c>
      <c r="J5" s="20">
        <v>-6.57</v>
      </c>
    </row>
    <row r="6">
      <c r="B6" s="21"/>
      <c r="C6" s="19"/>
      <c r="D6" s="21"/>
      <c r="E6" s="21"/>
      <c r="F6" s="21"/>
      <c r="G6" s="19"/>
      <c r="H6" s="21"/>
      <c r="I6" s="21"/>
    </row>
    <row r="7">
      <c r="A7" s="20" t="s">
        <v>21</v>
      </c>
      <c r="B7" s="21">
        <v>0.0</v>
      </c>
      <c r="C7" s="19">
        <v>0.0</v>
      </c>
      <c r="D7" s="21">
        <f>'Planilha de Rentabilidade'!AO67</f>
        <v>0.01483613057</v>
      </c>
      <c r="E7" s="21">
        <f>'Planilha de Rentabilidade'!AP67</f>
        <v>0.01893207004</v>
      </c>
      <c r="F7" s="21">
        <f>+'Planilha de Rentabilidade'!AQ67</f>
        <v>0.0660842994</v>
      </c>
      <c r="G7" s="19">
        <v>0.0</v>
      </c>
      <c r="H7" s="21"/>
      <c r="I7" s="21"/>
      <c r="J7" s="21">
        <f>'Planilha de Rentabilidade'!AU67</f>
        <v>0.1218451708</v>
      </c>
      <c r="K7" s="21">
        <f>'Planilha de Rentabilidade'!AV67</f>
        <v>0.05731218127</v>
      </c>
    </row>
    <row r="8">
      <c r="C8" s="19"/>
      <c r="G8" s="19"/>
    </row>
    <row r="9">
      <c r="C9" s="19"/>
      <c r="G9" s="19"/>
    </row>
    <row r="10">
      <c r="C10" s="19"/>
      <c r="G10" s="19"/>
    </row>
    <row r="11">
      <c r="A11" s="22" t="s">
        <v>22</v>
      </c>
      <c r="B11" s="23"/>
      <c r="C11" s="24"/>
      <c r="G11" s="19" t="s">
        <v>23</v>
      </c>
    </row>
    <row r="12">
      <c r="A12" s="25"/>
      <c r="B12" s="26" t="s">
        <v>24</v>
      </c>
      <c r="C12" s="27" t="s">
        <v>25</v>
      </c>
      <c r="E12" s="20" t="s">
        <v>26</v>
      </c>
      <c r="G12" s="19"/>
    </row>
    <row r="13">
      <c r="A13" s="28" t="s">
        <v>27</v>
      </c>
      <c r="B13" s="29">
        <f>4.86%</f>
        <v>0.0486</v>
      </c>
      <c r="C13" s="30">
        <v>0.0</v>
      </c>
      <c r="E13" s="31">
        <v>0.0101</v>
      </c>
      <c r="G13" s="21">
        <f>'Planilha de Rentabilidade'!AI7</f>
        <v>-0.002156565892</v>
      </c>
    </row>
    <row r="14">
      <c r="A14" s="28" t="s">
        <v>28</v>
      </c>
      <c r="B14" s="29">
        <v>-0.0264</v>
      </c>
      <c r="C14" s="30">
        <v>0.0</v>
      </c>
      <c r="E14" s="31">
        <f>0.99%</f>
        <v>0.0099</v>
      </c>
      <c r="G14" s="31">
        <f>'Planilha de Rentabilidade'!AI15</f>
        <v>-0.02661403291</v>
      </c>
    </row>
    <row r="15">
      <c r="A15" s="28" t="s">
        <v>29</v>
      </c>
      <c r="B15" s="29">
        <v>0.0608</v>
      </c>
      <c r="C15" s="30">
        <v>0.0</v>
      </c>
      <c r="E15" s="31">
        <v>0.0096</v>
      </c>
      <c r="G15" s="31">
        <f>'Planilha de Rentabilidade'!AI23</f>
        <v>0.01483613057</v>
      </c>
    </row>
    <row r="16">
      <c r="A16" s="28" t="s">
        <v>30</v>
      </c>
      <c r="B16" s="29">
        <v>0.0369</v>
      </c>
      <c r="C16" s="30">
        <v>0.0</v>
      </c>
      <c r="E16" s="31">
        <v>0.0106</v>
      </c>
      <c r="G16" s="31">
        <f>'Planilha de Rentabilidade'!AI31</f>
        <v>0.01893207004</v>
      </c>
    </row>
    <row r="17">
      <c r="A17" s="28" t="s">
        <v>31</v>
      </c>
      <c r="B17" s="29">
        <f>1.45%</f>
        <v>0.0145</v>
      </c>
      <c r="C17" s="30">
        <v>0.0</v>
      </c>
      <c r="E17" s="31">
        <v>0.0114</v>
      </c>
      <c r="G17" s="21">
        <f>'Planilha de Rentabilidade'!AI40</f>
        <v>0.0660842994</v>
      </c>
    </row>
    <row r="18">
      <c r="A18" s="28" t="s">
        <v>32</v>
      </c>
      <c r="B18" s="29">
        <v>-0.0092</v>
      </c>
      <c r="C18" s="30">
        <v>0.0</v>
      </c>
      <c r="E18" s="31">
        <v>0.011</v>
      </c>
      <c r="G18" s="21">
        <f>'Planilha de Rentabilidade'!AI47</f>
        <v>-0.02432098278</v>
      </c>
    </row>
    <row r="19">
      <c r="A19" s="28" t="s">
        <v>33</v>
      </c>
      <c r="B19" s="29">
        <v>-0.0417</v>
      </c>
      <c r="C19" s="30">
        <v>0.0</v>
      </c>
      <c r="E19" s="31">
        <v>0.0128</v>
      </c>
      <c r="G19" s="21">
        <f>'Planilha de Rentabilidade'!AI55</f>
        <v>-0.01116557532</v>
      </c>
    </row>
    <row r="20">
      <c r="A20" s="28" t="s">
        <v>34</v>
      </c>
      <c r="B20" s="29">
        <v>0.0628</v>
      </c>
      <c r="C20" s="30">
        <v>0.0</v>
      </c>
      <c r="E20" s="31">
        <v>0.0116</v>
      </c>
      <c r="F20" s="21"/>
      <c r="G20" s="21">
        <f>'Planilha de Rentabilidade'!AI63</f>
        <v>0.04486336818</v>
      </c>
    </row>
    <row r="21">
      <c r="A21" s="28" t="s">
        <v>35</v>
      </c>
      <c r="B21" s="29">
        <v>0.034</v>
      </c>
      <c r="C21" s="30">
        <v>0.0</v>
      </c>
      <c r="E21" s="31">
        <v>0.0122</v>
      </c>
      <c r="G21" s="21">
        <f>'Planilha de Rentabilidade'!AI71</f>
        <v>0.1218451708</v>
      </c>
    </row>
    <row r="22">
      <c r="A22" s="28" t="s">
        <v>36</v>
      </c>
      <c r="B22" s="29">
        <f>2.26%</f>
        <v>0.0226</v>
      </c>
      <c r="C22" s="30">
        <v>0.0</v>
      </c>
      <c r="E22" s="31">
        <v>0.0128</v>
      </c>
      <c r="G22" s="21">
        <f>'Planilha de Rentabilidade'!AI79</f>
        <v>0.05731218127</v>
      </c>
    </row>
    <row r="23">
      <c r="A23" s="28" t="s">
        <v>37</v>
      </c>
      <c r="B23" s="29">
        <v>0.0637</v>
      </c>
      <c r="C23" s="30"/>
      <c r="E23" s="31">
        <v>0.0105</v>
      </c>
      <c r="G23" s="21">
        <f>'Planilha de Rentabilidade'!AI87</f>
        <v>0.02773759525</v>
      </c>
    </row>
    <row r="24">
      <c r="A24" s="32" t="s">
        <v>38</v>
      </c>
      <c r="B24" s="29">
        <f>+1.29%</f>
        <v>0.0129</v>
      </c>
      <c r="C24" s="33"/>
      <c r="E24" s="31">
        <v>0.0116</v>
      </c>
      <c r="G24" s="21">
        <f>'Planilha de Rentabilidade'!AI95</f>
        <v>0.0536934862</v>
      </c>
    </row>
    <row r="25">
      <c r="C25" s="19"/>
      <c r="G25" s="19"/>
    </row>
    <row r="26">
      <c r="C26" s="19"/>
      <c r="G26" s="19"/>
    </row>
    <row r="27">
      <c r="C27" s="19"/>
      <c r="G27" s="19"/>
    </row>
    <row r="28">
      <c r="C28" s="19"/>
      <c r="G28" s="19"/>
    </row>
    <row r="29">
      <c r="C29" s="19"/>
      <c r="G29" s="19"/>
    </row>
    <row r="30">
      <c r="C30" s="19"/>
      <c r="G30" s="19"/>
    </row>
    <row r="31">
      <c r="C31" s="19"/>
      <c r="G31" s="19"/>
    </row>
    <row r="32">
      <c r="C32" s="19"/>
      <c r="G32" s="19"/>
    </row>
    <row r="33">
      <c r="C33" s="19"/>
      <c r="G33" s="19"/>
    </row>
    <row r="34">
      <c r="C34" s="19"/>
      <c r="G34" s="19"/>
    </row>
    <row r="35">
      <c r="C35" s="19"/>
      <c r="G35" s="19"/>
    </row>
    <row r="36">
      <c r="C36" s="19"/>
      <c r="G36" s="19"/>
    </row>
    <row r="37">
      <c r="C37" s="19"/>
      <c r="G37" s="19"/>
    </row>
    <row r="38">
      <c r="C38" s="19"/>
      <c r="G38" s="19"/>
    </row>
    <row r="39">
      <c r="C39" s="19"/>
      <c r="G39" s="19"/>
    </row>
    <row r="40">
      <c r="C40" s="19"/>
      <c r="G40" s="19"/>
    </row>
    <row r="41">
      <c r="C41" s="19"/>
      <c r="G41" s="19"/>
    </row>
    <row r="42">
      <c r="C42" s="19"/>
      <c r="G42" s="19"/>
    </row>
    <row r="43">
      <c r="C43" s="19"/>
      <c r="G43" s="19"/>
    </row>
    <row r="44">
      <c r="C44" s="19"/>
      <c r="G44" s="19"/>
    </row>
    <row r="45">
      <c r="C45" s="19"/>
      <c r="G45" s="19"/>
    </row>
    <row r="46">
      <c r="C46" s="19"/>
      <c r="G46" s="19"/>
    </row>
    <row r="47">
      <c r="C47" s="19"/>
      <c r="G47" s="19"/>
    </row>
    <row r="48">
      <c r="C48" s="19"/>
      <c r="G48" s="19"/>
    </row>
    <row r="49">
      <c r="C49" s="19"/>
      <c r="G49" s="19"/>
    </row>
    <row r="50">
      <c r="C50" s="19"/>
      <c r="G50" s="19"/>
    </row>
    <row r="51">
      <c r="C51" s="19"/>
      <c r="G51" s="19"/>
    </row>
    <row r="52">
      <c r="C52" s="19"/>
      <c r="G52" s="19"/>
    </row>
    <row r="53">
      <c r="C53" s="19"/>
      <c r="G53" s="19"/>
    </row>
    <row r="54">
      <c r="C54" s="19"/>
      <c r="G54" s="19"/>
    </row>
    <row r="55">
      <c r="C55" s="19"/>
      <c r="G55" s="19"/>
    </row>
    <row r="56">
      <c r="C56" s="19"/>
      <c r="G56" s="19"/>
    </row>
    <row r="57">
      <c r="C57" s="19"/>
      <c r="G57" s="19"/>
    </row>
    <row r="58">
      <c r="C58" s="19"/>
      <c r="G58" s="19"/>
    </row>
    <row r="59">
      <c r="C59" s="19"/>
      <c r="G59" s="19"/>
    </row>
    <row r="60">
      <c r="C60" s="19"/>
      <c r="G60" s="19"/>
    </row>
    <row r="61">
      <c r="C61" s="19"/>
      <c r="G61" s="19"/>
    </row>
    <row r="62">
      <c r="C62" s="19"/>
      <c r="G62" s="19"/>
    </row>
    <row r="63">
      <c r="C63" s="19"/>
      <c r="G63" s="19"/>
    </row>
    <row r="64">
      <c r="C64" s="19"/>
      <c r="G64" s="19"/>
    </row>
    <row r="65">
      <c r="C65" s="19"/>
      <c r="G65" s="19"/>
    </row>
    <row r="66">
      <c r="C66" s="19"/>
      <c r="G66" s="19"/>
    </row>
    <row r="67">
      <c r="C67" s="19"/>
      <c r="G67" s="19"/>
    </row>
    <row r="68">
      <c r="C68" s="19"/>
      <c r="G68" s="19"/>
    </row>
    <row r="69">
      <c r="C69" s="19"/>
      <c r="G69" s="19"/>
    </row>
    <row r="70">
      <c r="C70" s="19"/>
      <c r="G70" s="19"/>
    </row>
    <row r="71">
      <c r="C71" s="19"/>
      <c r="G71" s="19"/>
    </row>
    <row r="72">
      <c r="C72" s="19"/>
      <c r="G72" s="19"/>
    </row>
    <row r="73">
      <c r="C73" s="19"/>
      <c r="G73" s="19"/>
    </row>
    <row r="74">
      <c r="C74" s="19"/>
      <c r="G74" s="19"/>
    </row>
    <row r="75">
      <c r="C75" s="19"/>
      <c r="G75" s="19"/>
    </row>
    <row r="76">
      <c r="C76" s="19"/>
      <c r="G76" s="19"/>
    </row>
    <row r="77">
      <c r="C77" s="19"/>
      <c r="G77" s="19"/>
    </row>
    <row r="78">
      <c r="C78" s="19"/>
      <c r="G78" s="19"/>
    </row>
    <row r="79">
      <c r="C79" s="19"/>
      <c r="G79" s="19"/>
    </row>
    <row r="80">
      <c r="C80" s="19"/>
      <c r="G80" s="19"/>
    </row>
    <row r="81">
      <c r="C81" s="19"/>
      <c r="G81" s="19"/>
    </row>
    <row r="82">
      <c r="C82" s="19"/>
      <c r="G82" s="19"/>
    </row>
    <row r="83">
      <c r="C83" s="19"/>
      <c r="G83" s="19"/>
    </row>
    <row r="84">
      <c r="C84" s="19"/>
      <c r="G84" s="19"/>
    </row>
    <row r="85">
      <c r="C85" s="19"/>
      <c r="G85" s="19"/>
    </row>
    <row r="86">
      <c r="C86" s="19"/>
      <c r="G86" s="19"/>
    </row>
    <row r="87">
      <c r="C87" s="19"/>
      <c r="G87" s="19"/>
    </row>
    <row r="88">
      <c r="C88" s="19"/>
      <c r="G88" s="19"/>
    </row>
    <row r="89">
      <c r="C89" s="19"/>
      <c r="G89" s="19"/>
    </row>
    <row r="90">
      <c r="C90" s="19"/>
      <c r="G90" s="19"/>
    </row>
    <row r="91">
      <c r="C91" s="19"/>
      <c r="G91" s="19"/>
    </row>
    <row r="92">
      <c r="C92" s="19"/>
      <c r="G92" s="19"/>
    </row>
    <row r="93">
      <c r="C93" s="19"/>
      <c r="G93" s="19"/>
    </row>
    <row r="94">
      <c r="C94" s="19"/>
      <c r="G94" s="19"/>
    </row>
    <row r="95">
      <c r="C95" s="19"/>
      <c r="G95" s="19"/>
    </row>
    <row r="96">
      <c r="C96" s="19"/>
      <c r="G96" s="19"/>
    </row>
    <row r="97">
      <c r="C97" s="19"/>
      <c r="G97" s="19"/>
    </row>
    <row r="98">
      <c r="C98" s="19"/>
      <c r="G98" s="19"/>
    </row>
    <row r="99">
      <c r="C99" s="19"/>
      <c r="G99" s="19"/>
    </row>
    <row r="100">
      <c r="C100" s="19"/>
      <c r="G100" s="19"/>
    </row>
    <row r="101">
      <c r="C101" s="19"/>
      <c r="G101" s="19"/>
    </row>
    <row r="102">
      <c r="C102" s="19"/>
      <c r="G102" s="19"/>
    </row>
    <row r="103">
      <c r="C103" s="19"/>
      <c r="G103" s="19"/>
    </row>
    <row r="104">
      <c r="C104" s="19"/>
      <c r="G104" s="19"/>
    </row>
    <row r="105">
      <c r="C105" s="19"/>
      <c r="G105" s="19"/>
    </row>
    <row r="106">
      <c r="C106" s="19"/>
      <c r="G106" s="19"/>
    </row>
    <row r="107">
      <c r="C107" s="19"/>
      <c r="G107" s="19"/>
    </row>
    <row r="108">
      <c r="C108" s="19"/>
      <c r="G108" s="19"/>
    </row>
    <row r="109">
      <c r="C109" s="19"/>
      <c r="G109" s="19"/>
    </row>
    <row r="110">
      <c r="C110" s="19"/>
      <c r="G110" s="19"/>
    </row>
    <row r="111">
      <c r="C111" s="19"/>
      <c r="G111" s="19"/>
    </row>
    <row r="112">
      <c r="C112" s="19"/>
      <c r="G112" s="19"/>
    </row>
    <row r="113">
      <c r="C113" s="19"/>
      <c r="G113" s="19"/>
    </row>
    <row r="114">
      <c r="C114" s="19"/>
      <c r="G114" s="19"/>
    </row>
    <row r="115">
      <c r="C115" s="19"/>
      <c r="G115" s="19"/>
    </row>
    <row r="116">
      <c r="C116" s="19"/>
      <c r="G116" s="19"/>
    </row>
    <row r="117">
      <c r="C117" s="19"/>
      <c r="G117" s="19"/>
    </row>
    <row r="118">
      <c r="C118" s="19"/>
      <c r="G118" s="19"/>
    </row>
    <row r="119">
      <c r="C119" s="19"/>
      <c r="G119" s="19"/>
    </row>
    <row r="120">
      <c r="C120" s="19"/>
      <c r="G120" s="19"/>
    </row>
    <row r="121">
      <c r="C121" s="19"/>
      <c r="G121" s="19"/>
    </row>
    <row r="122">
      <c r="C122" s="19"/>
      <c r="G122" s="19"/>
    </row>
    <row r="123">
      <c r="C123" s="19"/>
      <c r="G123" s="19"/>
    </row>
    <row r="124">
      <c r="C124" s="19"/>
      <c r="G124" s="19"/>
    </row>
    <row r="125">
      <c r="C125" s="19"/>
      <c r="G125" s="19"/>
    </row>
    <row r="126">
      <c r="C126" s="19"/>
      <c r="G126" s="19"/>
    </row>
    <row r="127">
      <c r="C127" s="19"/>
      <c r="G127" s="19"/>
    </row>
    <row r="128">
      <c r="C128" s="19"/>
      <c r="G128" s="19"/>
    </row>
    <row r="129">
      <c r="C129" s="19"/>
      <c r="G129" s="19"/>
    </row>
    <row r="130">
      <c r="C130" s="19"/>
      <c r="G130" s="19"/>
    </row>
    <row r="131">
      <c r="C131" s="19"/>
      <c r="G131" s="19"/>
    </row>
    <row r="132">
      <c r="C132" s="19"/>
      <c r="G132" s="19"/>
    </row>
    <row r="133">
      <c r="C133" s="19"/>
      <c r="G133" s="19"/>
    </row>
    <row r="134">
      <c r="C134" s="19"/>
      <c r="G134" s="19"/>
    </row>
    <row r="135">
      <c r="C135" s="19"/>
      <c r="G135" s="19"/>
    </row>
    <row r="136">
      <c r="C136" s="19"/>
      <c r="G136" s="19"/>
    </row>
    <row r="137">
      <c r="C137" s="19"/>
      <c r="G137" s="19"/>
    </row>
    <row r="138">
      <c r="C138" s="19"/>
      <c r="G138" s="19"/>
    </row>
    <row r="139">
      <c r="C139" s="19"/>
      <c r="G139" s="19"/>
    </row>
    <row r="140">
      <c r="C140" s="19"/>
      <c r="G140" s="19"/>
    </row>
    <row r="141">
      <c r="C141" s="19"/>
      <c r="G141" s="19"/>
    </row>
    <row r="142">
      <c r="C142" s="19"/>
      <c r="G142" s="19"/>
    </row>
    <row r="143">
      <c r="C143" s="19"/>
      <c r="G143" s="19"/>
    </row>
    <row r="144">
      <c r="C144" s="19"/>
      <c r="G144" s="19"/>
    </row>
    <row r="145">
      <c r="C145" s="19"/>
      <c r="G145" s="19"/>
    </row>
    <row r="146">
      <c r="C146" s="19"/>
      <c r="G146" s="19"/>
    </row>
    <row r="147">
      <c r="C147" s="19"/>
      <c r="G147" s="19"/>
    </row>
    <row r="148">
      <c r="C148" s="19"/>
      <c r="G148" s="19"/>
    </row>
    <row r="149">
      <c r="C149" s="19"/>
      <c r="G149" s="19"/>
    </row>
    <row r="150">
      <c r="C150" s="19"/>
      <c r="G150" s="19"/>
    </row>
    <row r="151">
      <c r="C151" s="19"/>
      <c r="G151" s="19"/>
    </row>
    <row r="152">
      <c r="C152" s="19"/>
      <c r="G152" s="19"/>
    </row>
    <row r="153">
      <c r="C153" s="19"/>
      <c r="G153" s="19"/>
    </row>
    <row r="154">
      <c r="C154" s="19"/>
      <c r="G154" s="19"/>
    </row>
    <row r="155">
      <c r="C155" s="19"/>
      <c r="G155" s="19"/>
    </row>
    <row r="156">
      <c r="C156" s="19"/>
      <c r="G156" s="19"/>
    </row>
    <row r="157">
      <c r="C157" s="19"/>
      <c r="G157" s="19"/>
    </row>
    <row r="158">
      <c r="C158" s="19"/>
      <c r="G158" s="19"/>
    </row>
    <row r="159">
      <c r="C159" s="19"/>
      <c r="G159" s="19"/>
    </row>
    <row r="160">
      <c r="C160" s="19"/>
      <c r="G160" s="19"/>
    </row>
    <row r="161">
      <c r="C161" s="19"/>
      <c r="G161" s="19"/>
    </row>
    <row r="162">
      <c r="C162" s="19"/>
      <c r="G162" s="19"/>
    </row>
    <row r="163">
      <c r="C163" s="19"/>
      <c r="G163" s="19"/>
    </row>
    <row r="164">
      <c r="C164" s="19"/>
      <c r="G164" s="19"/>
    </row>
    <row r="165">
      <c r="C165" s="19"/>
      <c r="G165" s="19"/>
    </row>
    <row r="166">
      <c r="C166" s="19"/>
      <c r="G166" s="19"/>
    </row>
    <row r="167">
      <c r="C167" s="19"/>
      <c r="G167" s="19"/>
    </row>
    <row r="168">
      <c r="C168" s="19"/>
      <c r="G168" s="19"/>
    </row>
    <row r="169">
      <c r="C169" s="19"/>
      <c r="G169" s="19"/>
    </row>
    <row r="170">
      <c r="C170" s="19"/>
      <c r="G170" s="19"/>
    </row>
    <row r="171">
      <c r="C171" s="19"/>
      <c r="G171" s="19"/>
    </row>
    <row r="172">
      <c r="C172" s="19"/>
      <c r="G172" s="19"/>
    </row>
    <row r="173">
      <c r="C173" s="19"/>
      <c r="G173" s="19"/>
    </row>
    <row r="174">
      <c r="C174" s="19"/>
      <c r="G174" s="19"/>
    </row>
    <row r="175">
      <c r="C175" s="19"/>
      <c r="G175" s="19"/>
    </row>
    <row r="176">
      <c r="C176" s="19"/>
      <c r="G176" s="19"/>
    </row>
    <row r="177">
      <c r="C177" s="19"/>
      <c r="G177" s="19"/>
    </row>
    <row r="178">
      <c r="C178" s="19"/>
      <c r="G178" s="19"/>
    </row>
    <row r="179">
      <c r="C179" s="19"/>
      <c r="G179" s="19"/>
    </row>
    <row r="180">
      <c r="C180" s="19"/>
      <c r="G180" s="19"/>
    </row>
    <row r="181">
      <c r="C181" s="19"/>
      <c r="G181" s="19"/>
    </row>
    <row r="182">
      <c r="C182" s="19"/>
      <c r="G182" s="19"/>
    </row>
    <row r="183">
      <c r="C183" s="19"/>
      <c r="G183" s="19"/>
    </row>
    <row r="184">
      <c r="C184" s="19"/>
      <c r="G184" s="19"/>
    </row>
    <row r="185">
      <c r="C185" s="19"/>
      <c r="G185" s="19"/>
    </row>
    <row r="186">
      <c r="C186" s="19"/>
      <c r="G186" s="19"/>
    </row>
    <row r="187">
      <c r="C187" s="19"/>
      <c r="G187" s="19"/>
    </row>
    <row r="188">
      <c r="C188" s="19"/>
      <c r="G188" s="19"/>
    </row>
    <row r="189">
      <c r="C189" s="19"/>
      <c r="G189" s="19"/>
    </row>
    <row r="190">
      <c r="C190" s="19"/>
      <c r="G190" s="19"/>
    </row>
    <row r="191">
      <c r="C191" s="19"/>
      <c r="G191" s="19"/>
    </row>
    <row r="192">
      <c r="C192" s="19"/>
      <c r="G192" s="19"/>
    </row>
    <row r="193">
      <c r="C193" s="19"/>
      <c r="G193" s="19"/>
    </row>
    <row r="194">
      <c r="C194" s="19"/>
      <c r="G194" s="19"/>
    </row>
    <row r="195">
      <c r="C195" s="19"/>
      <c r="G195" s="19"/>
    </row>
    <row r="196">
      <c r="C196" s="19"/>
      <c r="G196" s="19"/>
    </row>
    <row r="197">
      <c r="C197" s="19"/>
      <c r="G197" s="19"/>
    </row>
    <row r="198">
      <c r="C198" s="19"/>
      <c r="G198" s="19"/>
    </row>
    <row r="199">
      <c r="C199" s="19"/>
      <c r="G199" s="19"/>
    </row>
    <row r="200">
      <c r="C200" s="19"/>
      <c r="G200" s="19"/>
    </row>
    <row r="201">
      <c r="C201" s="19"/>
      <c r="G201" s="19"/>
    </row>
    <row r="202">
      <c r="C202" s="19"/>
      <c r="G202" s="19"/>
    </row>
    <row r="203">
      <c r="C203" s="19"/>
      <c r="G203" s="19"/>
    </row>
    <row r="204">
      <c r="C204" s="19"/>
      <c r="G204" s="19"/>
    </row>
    <row r="205">
      <c r="C205" s="19"/>
      <c r="G205" s="19"/>
    </row>
    <row r="206">
      <c r="C206" s="19"/>
      <c r="G206" s="19"/>
    </row>
    <row r="207">
      <c r="C207" s="19"/>
      <c r="G207" s="19"/>
    </row>
    <row r="208">
      <c r="C208" s="19"/>
      <c r="G208" s="19"/>
    </row>
    <row r="209">
      <c r="C209" s="19"/>
      <c r="G209" s="19"/>
    </row>
    <row r="210">
      <c r="C210" s="19"/>
      <c r="G210" s="19"/>
    </row>
    <row r="211">
      <c r="C211" s="19"/>
      <c r="G211" s="19"/>
    </row>
    <row r="212">
      <c r="C212" s="19"/>
      <c r="G212" s="19"/>
    </row>
    <row r="213">
      <c r="C213" s="19"/>
      <c r="G213" s="19"/>
    </row>
    <row r="214">
      <c r="C214" s="19"/>
      <c r="G214" s="19"/>
    </row>
    <row r="215">
      <c r="C215" s="19"/>
      <c r="G215" s="19"/>
    </row>
    <row r="216">
      <c r="C216" s="19"/>
      <c r="G216" s="19"/>
    </row>
    <row r="217">
      <c r="C217" s="19"/>
      <c r="G217" s="19"/>
    </row>
    <row r="218">
      <c r="C218" s="19"/>
      <c r="G218" s="19"/>
    </row>
    <row r="219">
      <c r="C219" s="19"/>
      <c r="G219" s="19"/>
    </row>
    <row r="220">
      <c r="C220" s="19"/>
      <c r="G220" s="19"/>
    </row>
    <row r="221">
      <c r="C221" s="19"/>
      <c r="G221" s="19"/>
    </row>
    <row r="222">
      <c r="C222" s="19"/>
      <c r="G222" s="19"/>
    </row>
    <row r="223">
      <c r="C223" s="19"/>
      <c r="G223" s="19"/>
    </row>
    <row r="224">
      <c r="C224" s="19"/>
      <c r="G224" s="19"/>
    </row>
    <row r="225">
      <c r="C225" s="19"/>
      <c r="G225" s="19"/>
    </row>
    <row r="226">
      <c r="C226" s="19"/>
      <c r="G226" s="19"/>
    </row>
    <row r="227">
      <c r="C227" s="19"/>
      <c r="G227" s="19"/>
    </row>
    <row r="228">
      <c r="C228" s="19"/>
      <c r="G228" s="19"/>
    </row>
    <row r="229">
      <c r="C229" s="19"/>
      <c r="G229" s="19"/>
    </row>
    <row r="230">
      <c r="C230" s="19"/>
      <c r="G230" s="19"/>
    </row>
    <row r="231">
      <c r="C231" s="19"/>
      <c r="G231" s="19"/>
    </row>
    <row r="232">
      <c r="C232" s="19"/>
      <c r="G232" s="19"/>
    </row>
    <row r="233">
      <c r="C233" s="19"/>
      <c r="G233" s="19"/>
    </row>
    <row r="234">
      <c r="C234" s="19"/>
      <c r="G234" s="19"/>
    </row>
    <row r="235">
      <c r="C235" s="19"/>
      <c r="G235" s="19"/>
    </row>
    <row r="236">
      <c r="C236" s="19"/>
      <c r="G236" s="19"/>
    </row>
    <row r="237">
      <c r="C237" s="19"/>
      <c r="G237" s="19"/>
    </row>
    <row r="238">
      <c r="C238" s="19"/>
      <c r="G238" s="19"/>
    </row>
    <row r="239">
      <c r="C239" s="19"/>
      <c r="G239" s="19"/>
    </row>
    <row r="240">
      <c r="C240" s="19"/>
      <c r="G240" s="19"/>
    </row>
    <row r="241">
      <c r="C241" s="19"/>
      <c r="G241" s="19"/>
    </row>
    <row r="242">
      <c r="C242" s="19"/>
      <c r="G242" s="19"/>
    </row>
    <row r="243">
      <c r="C243" s="19"/>
      <c r="G243" s="19"/>
    </row>
    <row r="244">
      <c r="C244" s="19"/>
      <c r="G244" s="19"/>
    </row>
    <row r="245">
      <c r="C245" s="19"/>
      <c r="G245" s="19"/>
    </row>
    <row r="246">
      <c r="C246" s="19"/>
      <c r="G246" s="19"/>
    </row>
    <row r="247">
      <c r="C247" s="19"/>
      <c r="G247" s="19"/>
    </row>
    <row r="248">
      <c r="C248" s="19"/>
      <c r="G248" s="19"/>
    </row>
    <row r="249">
      <c r="C249" s="19"/>
      <c r="G249" s="19"/>
    </row>
    <row r="250">
      <c r="C250" s="19"/>
      <c r="G250" s="19"/>
    </row>
    <row r="251">
      <c r="C251" s="19"/>
      <c r="G251" s="19"/>
    </row>
    <row r="252">
      <c r="C252" s="19"/>
      <c r="G252" s="19"/>
    </row>
    <row r="253">
      <c r="C253" s="19"/>
      <c r="G253" s="19"/>
    </row>
    <row r="254">
      <c r="C254" s="19"/>
      <c r="G254" s="19"/>
    </row>
    <row r="255">
      <c r="C255" s="19"/>
      <c r="G255" s="19"/>
    </row>
    <row r="256">
      <c r="C256" s="19"/>
      <c r="G256" s="19"/>
    </row>
    <row r="257">
      <c r="C257" s="19"/>
      <c r="G257" s="19"/>
    </row>
    <row r="258">
      <c r="C258" s="19"/>
      <c r="G258" s="19"/>
    </row>
    <row r="259">
      <c r="C259" s="19"/>
      <c r="G259" s="19"/>
    </row>
    <row r="260">
      <c r="C260" s="19"/>
      <c r="G260" s="19"/>
    </row>
    <row r="261">
      <c r="C261" s="19"/>
      <c r="G261" s="19"/>
    </row>
    <row r="262">
      <c r="C262" s="19"/>
      <c r="G262" s="19"/>
    </row>
    <row r="263">
      <c r="C263" s="19"/>
      <c r="G263" s="19"/>
    </row>
    <row r="264">
      <c r="C264" s="19"/>
      <c r="G264" s="19"/>
    </row>
    <row r="265">
      <c r="C265" s="19"/>
      <c r="G265" s="19"/>
    </row>
    <row r="266">
      <c r="C266" s="19"/>
      <c r="G266" s="19"/>
    </row>
    <row r="267">
      <c r="C267" s="19"/>
      <c r="G267" s="19"/>
    </row>
    <row r="268">
      <c r="C268" s="19"/>
      <c r="G268" s="19"/>
    </row>
    <row r="269">
      <c r="C269" s="19"/>
      <c r="G269" s="19"/>
    </row>
    <row r="270">
      <c r="C270" s="19"/>
      <c r="G270" s="19"/>
    </row>
    <row r="271">
      <c r="C271" s="19"/>
      <c r="G271" s="19"/>
    </row>
    <row r="272">
      <c r="C272" s="19"/>
      <c r="G272" s="19"/>
    </row>
    <row r="273">
      <c r="C273" s="19"/>
      <c r="G273" s="19"/>
    </row>
    <row r="274">
      <c r="C274" s="19"/>
      <c r="G274" s="19"/>
    </row>
    <row r="275">
      <c r="C275" s="19"/>
      <c r="G275" s="19"/>
    </row>
    <row r="276">
      <c r="C276" s="19"/>
      <c r="G276" s="19"/>
    </row>
    <row r="277">
      <c r="C277" s="19"/>
      <c r="G277" s="19"/>
    </row>
    <row r="278">
      <c r="C278" s="19"/>
      <c r="G278" s="19"/>
    </row>
    <row r="279">
      <c r="C279" s="19"/>
      <c r="G279" s="19"/>
    </row>
    <row r="280">
      <c r="C280" s="19"/>
      <c r="G280" s="19"/>
    </row>
    <row r="281">
      <c r="C281" s="19"/>
      <c r="G281" s="19"/>
    </row>
    <row r="282">
      <c r="C282" s="19"/>
      <c r="G282" s="19"/>
    </row>
    <row r="283">
      <c r="C283" s="19"/>
      <c r="G283" s="19"/>
    </row>
    <row r="284">
      <c r="C284" s="19"/>
      <c r="G284" s="19"/>
    </row>
    <row r="285">
      <c r="C285" s="19"/>
      <c r="G285" s="19"/>
    </row>
    <row r="286">
      <c r="C286" s="19"/>
      <c r="G286" s="19"/>
    </row>
    <row r="287">
      <c r="C287" s="19"/>
      <c r="G287" s="19"/>
    </row>
    <row r="288">
      <c r="C288" s="19"/>
      <c r="G288" s="19"/>
    </row>
    <row r="289">
      <c r="C289" s="19"/>
      <c r="G289" s="19"/>
    </row>
    <row r="290">
      <c r="C290" s="19"/>
      <c r="G290" s="19"/>
    </row>
    <row r="291">
      <c r="C291" s="19"/>
      <c r="G291" s="19"/>
    </row>
    <row r="292">
      <c r="C292" s="19"/>
      <c r="G292" s="19"/>
    </row>
    <row r="293">
      <c r="C293" s="19"/>
      <c r="G293" s="19"/>
    </row>
    <row r="294">
      <c r="C294" s="19"/>
      <c r="G294" s="19"/>
    </row>
    <row r="295">
      <c r="C295" s="19"/>
      <c r="G295" s="19"/>
    </row>
    <row r="296">
      <c r="C296" s="19"/>
      <c r="G296" s="19"/>
    </row>
    <row r="297">
      <c r="C297" s="19"/>
      <c r="G297" s="19"/>
    </row>
    <row r="298">
      <c r="C298" s="19"/>
      <c r="G298" s="19"/>
    </row>
    <row r="299">
      <c r="C299" s="19"/>
      <c r="G299" s="19"/>
    </row>
    <row r="300">
      <c r="C300" s="19"/>
      <c r="G300" s="19"/>
    </row>
    <row r="301">
      <c r="C301" s="19"/>
      <c r="G301" s="19"/>
    </row>
    <row r="302">
      <c r="C302" s="19"/>
      <c r="G302" s="19"/>
    </row>
    <row r="303">
      <c r="C303" s="19"/>
      <c r="G303" s="19"/>
    </row>
    <row r="304">
      <c r="C304" s="19"/>
      <c r="G304" s="19"/>
    </row>
    <row r="305">
      <c r="C305" s="19"/>
      <c r="G305" s="19"/>
    </row>
    <row r="306">
      <c r="C306" s="19"/>
      <c r="G306" s="19"/>
    </row>
    <row r="307">
      <c r="C307" s="19"/>
      <c r="G307" s="19"/>
    </row>
    <row r="308">
      <c r="C308" s="19"/>
      <c r="G308" s="19"/>
    </row>
    <row r="309">
      <c r="C309" s="19"/>
      <c r="G309" s="19"/>
    </row>
    <row r="310">
      <c r="C310" s="19"/>
      <c r="G310" s="19"/>
    </row>
    <row r="311">
      <c r="C311" s="19"/>
      <c r="G311" s="19"/>
    </row>
    <row r="312">
      <c r="C312" s="19"/>
      <c r="G312" s="19"/>
    </row>
    <row r="313">
      <c r="C313" s="19"/>
      <c r="G313" s="19"/>
    </row>
    <row r="314">
      <c r="C314" s="19"/>
      <c r="G314" s="19"/>
    </row>
    <row r="315">
      <c r="C315" s="19"/>
      <c r="G315" s="19"/>
    </row>
    <row r="316">
      <c r="C316" s="19"/>
      <c r="G316" s="19"/>
    </row>
    <row r="317">
      <c r="C317" s="19"/>
      <c r="G317" s="19"/>
    </row>
    <row r="318">
      <c r="C318" s="19"/>
      <c r="G318" s="19"/>
    </row>
    <row r="319">
      <c r="C319" s="19"/>
      <c r="G319" s="19"/>
    </row>
    <row r="320">
      <c r="C320" s="19"/>
      <c r="G320" s="19"/>
    </row>
    <row r="321">
      <c r="C321" s="19"/>
      <c r="G321" s="19"/>
    </row>
    <row r="322">
      <c r="C322" s="19"/>
      <c r="G322" s="19"/>
    </row>
    <row r="323">
      <c r="C323" s="19"/>
      <c r="G323" s="19"/>
    </row>
    <row r="324">
      <c r="C324" s="19"/>
      <c r="G324" s="19"/>
    </row>
    <row r="325">
      <c r="C325" s="19"/>
      <c r="G325" s="19"/>
    </row>
    <row r="326">
      <c r="C326" s="19"/>
      <c r="G326" s="19"/>
    </row>
    <row r="327">
      <c r="C327" s="19"/>
      <c r="G327" s="19"/>
    </row>
    <row r="328">
      <c r="C328" s="19"/>
      <c r="G328" s="19"/>
    </row>
    <row r="329">
      <c r="C329" s="19"/>
      <c r="G329" s="19"/>
    </row>
    <row r="330">
      <c r="C330" s="19"/>
      <c r="G330" s="19"/>
    </row>
    <row r="331">
      <c r="C331" s="19"/>
      <c r="G331" s="19"/>
    </row>
    <row r="332">
      <c r="C332" s="19"/>
      <c r="G332" s="19"/>
    </row>
    <row r="333">
      <c r="C333" s="19"/>
      <c r="G333" s="19"/>
    </row>
    <row r="334">
      <c r="C334" s="19"/>
      <c r="G334" s="19"/>
    </row>
    <row r="335">
      <c r="C335" s="19"/>
      <c r="G335" s="19"/>
    </row>
    <row r="336">
      <c r="C336" s="19"/>
      <c r="G336" s="19"/>
    </row>
    <row r="337">
      <c r="C337" s="19"/>
      <c r="G337" s="19"/>
    </row>
    <row r="338">
      <c r="C338" s="19"/>
      <c r="G338" s="19"/>
    </row>
    <row r="339">
      <c r="C339" s="19"/>
      <c r="G339" s="19"/>
    </row>
    <row r="340">
      <c r="C340" s="19"/>
      <c r="G340" s="19"/>
    </row>
    <row r="341">
      <c r="C341" s="19"/>
      <c r="G341" s="19"/>
    </row>
    <row r="342">
      <c r="C342" s="19"/>
      <c r="G342" s="19"/>
    </row>
    <row r="343">
      <c r="C343" s="19"/>
      <c r="G343" s="19"/>
    </row>
    <row r="344">
      <c r="C344" s="19"/>
      <c r="G344" s="19"/>
    </row>
    <row r="345">
      <c r="C345" s="19"/>
      <c r="G345" s="19"/>
    </row>
    <row r="346">
      <c r="C346" s="19"/>
      <c r="G346" s="19"/>
    </row>
    <row r="347">
      <c r="C347" s="19"/>
      <c r="G347" s="19"/>
    </row>
    <row r="348">
      <c r="C348" s="19"/>
      <c r="G348" s="19"/>
    </row>
    <row r="349">
      <c r="C349" s="19"/>
      <c r="G349" s="19"/>
    </row>
    <row r="350">
      <c r="C350" s="19"/>
      <c r="G350" s="19"/>
    </row>
    <row r="351">
      <c r="C351" s="19"/>
      <c r="G351" s="19"/>
    </row>
    <row r="352">
      <c r="C352" s="19"/>
      <c r="G352" s="19"/>
    </row>
    <row r="353">
      <c r="C353" s="19"/>
      <c r="G353" s="19"/>
    </row>
    <row r="354">
      <c r="C354" s="19"/>
      <c r="G354" s="19"/>
    </row>
    <row r="355">
      <c r="C355" s="19"/>
      <c r="G355" s="19"/>
    </row>
    <row r="356">
      <c r="C356" s="19"/>
      <c r="G356" s="19"/>
    </row>
    <row r="357">
      <c r="C357" s="19"/>
      <c r="G357" s="19"/>
    </row>
    <row r="358">
      <c r="C358" s="19"/>
      <c r="G358" s="19"/>
    </row>
    <row r="359">
      <c r="C359" s="19"/>
      <c r="G359" s="19"/>
    </row>
    <row r="360">
      <c r="C360" s="19"/>
      <c r="G360" s="19"/>
    </row>
    <row r="361">
      <c r="C361" s="19"/>
      <c r="G361" s="19"/>
    </row>
    <row r="362">
      <c r="C362" s="19"/>
      <c r="G362" s="19"/>
    </row>
    <row r="363">
      <c r="C363" s="19"/>
      <c r="G363" s="19"/>
    </row>
    <row r="364">
      <c r="C364" s="19"/>
      <c r="G364" s="19"/>
    </row>
    <row r="365">
      <c r="C365" s="19"/>
      <c r="G365" s="19"/>
    </row>
    <row r="366">
      <c r="C366" s="19"/>
      <c r="G366" s="19"/>
    </row>
    <row r="367">
      <c r="C367" s="19"/>
      <c r="G367" s="19"/>
    </row>
    <row r="368">
      <c r="C368" s="19"/>
      <c r="G368" s="19"/>
    </row>
    <row r="369">
      <c r="C369" s="19"/>
      <c r="G369" s="19"/>
    </row>
    <row r="370">
      <c r="C370" s="19"/>
      <c r="G370" s="19"/>
    </row>
    <row r="371">
      <c r="C371" s="19"/>
      <c r="G371" s="19"/>
    </row>
    <row r="372">
      <c r="C372" s="19"/>
      <c r="G372" s="19"/>
    </row>
    <row r="373">
      <c r="C373" s="19"/>
      <c r="G373" s="19"/>
    </row>
    <row r="374">
      <c r="C374" s="19"/>
      <c r="G374" s="19"/>
    </row>
    <row r="375">
      <c r="C375" s="19"/>
      <c r="G375" s="19"/>
    </row>
    <row r="376">
      <c r="C376" s="19"/>
      <c r="G376" s="19"/>
    </row>
    <row r="377">
      <c r="C377" s="19"/>
      <c r="G377" s="19"/>
    </row>
    <row r="378">
      <c r="C378" s="19"/>
      <c r="G378" s="19"/>
    </row>
    <row r="379">
      <c r="C379" s="19"/>
      <c r="G379" s="19"/>
    </row>
    <row r="380">
      <c r="C380" s="19"/>
      <c r="G380" s="19"/>
    </row>
    <row r="381">
      <c r="C381" s="19"/>
      <c r="G381" s="19"/>
    </row>
    <row r="382">
      <c r="C382" s="19"/>
      <c r="G382" s="19"/>
    </row>
    <row r="383">
      <c r="C383" s="19"/>
      <c r="G383" s="19"/>
    </row>
    <row r="384">
      <c r="C384" s="19"/>
      <c r="G384" s="19"/>
    </row>
    <row r="385">
      <c r="C385" s="19"/>
      <c r="G385" s="19"/>
    </row>
    <row r="386">
      <c r="C386" s="19"/>
      <c r="G386" s="19"/>
    </row>
    <row r="387">
      <c r="C387" s="19"/>
      <c r="G387" s="19"/>
    </row>
    <row r="388">
      <c r="C388" s="19"/>
      <c r="G388" s="19"/>
    </row>
    <row r="389">
      <c r="C389" s="19"/>
      <c r="G389" s="19"/>
    </row>
    <row r="390">
      <c r="C390" s="19"/>
      <c r="G390" s="19"/>
    </row>
    <row r="391">
      <c r="C391" s="19"/>
      <c r="G391" s="19"/>
    </row>
    <row r="392">
      <c r="C392" s="19"/>
      <c r="G392" s="19"/>
    </row>
    <row r="393">
      <c r="C393" s="19"/>
      <c r="G393" s="19"/>
    </row>
    <row r="394">
      <c r="C394" s="19"/>
      <c r="G394" s="19"/>
    </row>
    <row r="395">
      <c r="C395" s="19"/>
      <c r="G395" s="19"/>
    </row>
    <row r="396">
      <c r="C396" s="19"/>
      <c r="G396" s="19"/>
    </row>
    <row r="397">
      <c r="C397" s="19"/>
      <c r="G397" s="19"/>
    </row>
    <row r="398">
      <c r="C398" s="19"/>
      <c r="G398" s="19"/>
    </row>
    <row r="399">
      <c r="C399" s="19"/>
      <c r="G399" s="19"/>
    </row>
    <row r="400">
      <c r="C400" s="19"/>
      <c r="G400" s="19"/>
    </row>
    <row r="401">
      <c r="C401" s="19"/>
      <c r="G401" s="19"/>
    </row>
    <row r="402">
      <c r="C402" s="19"/>
      <c r="G402" s="19"/>
    </row>
    <row r="403">
      <c r="C403" s="19"/>
      <c r="G403" s="19"/>
    </row>
    <row r="404">
      <c r="C404" s="19"/>
      <c r="G404" s="19"/>
    </row>
    <row r="405">
      <c r="C405" s="19"/>
      <c r="G405" s="19"/>
    </row>
    <row r="406">
      <c r="C406" s="19"/>
      <c r="G406" s="19"/>
    </row>
    <row r="407">
      <c r="C407" s="19"/>
      <c r="G407" s="19"/>
    </row>
    <row r="408">
      <c r="C408" s="19"/>
      <c r="G408" s="19"/>
    </row>
    <row r="409">
      <c r="C409" s="19"/>
      <c r="G409" s="19"/>
    </row>
    <row r="410">
      <c r="C410" s="19"/>
      <c r="G410" s="19"/>
    </row>
    <row r="411">
      <c r="C411" s="19"/>
      <c r="G411" s="19"/>
    </row>
    <row r="412">
      <c r="C412" s="19"/>
      <c r="G412" s="19"/>
    </row>
    <row r="413">
      <c r="C413" s="19"/>
      <c r="G413" s="19"/>
    </row>
    <row r="414">
      <c r="C414" s="19"/>
      <c r="G414" s="19"/>
    </row>
    <row r="415">
      <c r="C415" s="19"/>
      <c r="G415" s="19"/>
    </row>
    <row r="416">
      <c r="C416" s="19"/>
      <c r="G416" s="19"/>
    </row>
    <row r="417">
      <c r="C417" s="19"/>
      <c r="G417" s="19"/>
    </row>
    <row r="418">
      <c r="C418" s="19"/>
      <c r="G418" s="19"/>
    </row>
    <row r="419">
      <c r="C419" s="19"/>
      <c r="G419" s="19"/>
    </row>
    <row r="420">
      <c r="C420" s="19"/>
      <c r="G420" s="19"/>
    </row>
    <row r="421">
      <c r="C421" s="19"/>
      <c r="G421" s="19"/>
    </row>
    <row r="422">
      <c r="C422" s="19"/>
      <c r="G422" s="19"/>
    </row>
    <row r="423">
      <c r="C423" s="19"/>
      <c r="G423" s="19"/>
    </row>
    <row r="424">
      <c r="C424" s="19"/>
      <c r="G424" s="19"/>
    </row>
    <row r="425">
      <c r="C425" s="19"/>
      <c r="G425" s="19"/>
    </row>
    <row r="426">
      <c r="C426" s="19"/>
      <c r="G426" s="19"/>
    </row>
    <row r="427">
      <c r="C427" s="19"/>
      <c r="G427" s="19"/>
    </row>
    <row r="428">
      <c r="C428" s="19"/>
      <c r="G428" s="19"/>
    </row>
    <row r="429">
      <c r="C429" s="19"/>
      <c r="G429" s="19"/>
    </row>
    <row r="430">
      <c r="C430" s="19"/>
      <c r="G430" s="19"/>
    </row>
    <row r="431">
      <c r="C431" s="19"/>
      <c r="G431" s="19"/>
    </row>
    <row r="432">
      <c r="C432" s="19"/>
      <c r="G432" s="19"/>
    </row>
    <row r="433">
      <c r="C433" s="19"/>
      <c r="G433" s="19"/>
    </row>
    <row r="434">
      <c r="C434" s="19"/>
      <c r="G434" s="19"/>
    </row>
    <row r="435">
      <c r="C435" s="19"/>
      <c r="G435" s="19"/>
    </row>
    <row r="436">
      <c r="C436" s="19"/>
      <c r="G436" s="19"/>
    </row>
    <row r="437">
      <c r="C437" s="19"/>
      <c r="G437" s="19"/>
    </row>
    <row r="438">
      <c r="C438" s="19"/>
      <c r="G438" s="19"/>
    </row>
    <row r="439">
      <c r="C439" s="19"/>
      <c r="G439" s="19"/>
    </row>
    <row r="440">
      <c r="C440" s="19"/>
      <c r="G440" s="19"/>
    </row>
    <row r="441">
      <c r="C441" s="19"/>
      <c r="G441" s="19"/>
    </row>
    <row r="442">
      <c r="C442" s="19"/>
      <c r="G442" s="19"/>
    </row>
    <row r="443">
      <c r="C443" s="19"/>
      <c r="G443" s="19"/>
    </row>
    <row r="444">
      <c r="C444" s="19"/>
      <c r="G444" s="19"/>
    </row>
    <row r="445">
      <c r="C445" s="19"/>
      <c r="G445" s="19"/>
    </row>
    <row r="446">
      <c r="C446" s="19"/>
      <c r="G446" s="19"/>
    </row>
    <row r="447">
      <c r="C447" s="19"/>
      <c r="G447" s="19"/>
    </row>
    <row r="448">
      <c r="C448" s="19"/>
      <c r="G448" s="19"/>
    </row>
    <row r="449">
      <c r="C449" s="19"/>
      <c r="G449" s="19"/>
    </row>
    <row r="450">
      <c r="C450" s="19"/>
      <c r="G450" s="19"/>
    </row>
    <row r="451">
      <c r="C451" s="19"/>
      <c r="G451" s="19"/>
    </row>
    <row r="452">
      <c r="C452" s="19"/>
      <c r="G452" s="19"/>
    </row>
    <row r="453">
      <c r="C453" s="19"/>
      <c r="G453" s="19"/>
    </row>
    <row r="454">
      <c r="C454" s="19"/>
      <c r="G454" s="19"/>
    </row>
    <row r="455">
      <c r="C455" s="19"/>
      <c r="G455" s="19"/>
    </row>
    <row r="456">
      <c r="C456" s="19"/>
      <c r="G456" s="19"/>
    </row>
    <row r="457">
      <c r="C457" s="19"/>
      <c r="G457" s="19"/>
    </row>
    <row r="458">
      <c r="C458" s="19"/>
      <c r="G458" s="19"/>
    </row>
    <row r="459">
      <c r="C459" s="19"/>
      <c r="G459" s="19"/>
    </row>
    <row r="460">
      <c r="C460" s="19"/>
      <c r="G460" s="19"/>
    </row>
    <row r="461">
      <c r="C461" s="19"/>
      <c r="G461" s="19"/>
    </row>
    <row r="462">
      <c r="C462" s="19"/>
      <c r="G462" s="19"/>
    </row>
    <row r="463">
      <c r="C463" s="19"/>
      <c r="G463" s="19"/>
    </row>
    <row r="464">
      <c r="C464" s="19"/>
      <c r="G464" s="19"/>
    </row>
    <row r="465">
      <c r="C465" s="19"/>
      <c r="G465" s="19"/>
    </row>
    <row r="466">
      <c r="C466" s="19"/>
      <c r="G466" s="19"/>
    </row>
    <row r="467">
      <c r="C467" s="19"/>
      <c r="G467" s="19"/>
    </row>
    <row r="468">
      <c r="C468" s="19"/>
      <c r="G468" s="19"/>
    </row>
    <row r="469">
      <c r="C469" s="19"/>
      <c r="G469" s="19"/>
    </row>
    <row r="470">
      <c r="C470" s="19"/>
      <c r="G470" s="19"/>
    </row>
    <row r="471">
      <c r="C471" s="19"/>
      <c r="G471" s="19"/>
    </row>
    <row r="472">
      <c r="C472" s="19"/>
      <c r="G472" s="19"/>
    </row>
    <row r="473">
      <c r="C473" s="19"/>
      <c r="G473" s="19"/>
    </row>
    <row r="474">
      <c r="C474" s="19"/>
      <c r="G474" s="19"/>
    </row>
    <row r="475">
      <c r="C475" s="19"/>
      <c r="G475" s="19"/>
    </row>
    <row r="476">
      <c r="C476" s="19"/>
      <c r="G476" s="19"/>
    </row>
    <row r="477">
      <c r="C477" s="19"/>
      <c r="G477" s="19"/>
    </row>
    <row r="478">
      <c r="C478" s="19"/>
      <c r="G478" s="19"/>
    </row>
    <row r="479">
      <c r="C479" s="19"/>
      <c r="G479" s="19"/>
    </row>
    <row r="480">
      <c r="C480" s="19"/>
      <c r="G480" s="19"/>
    </row>
    <row r="481">
      <c r="C481" s="19"/>
      <c r="G481" s="19"/>
    </row>
    <row r="482">
      <c r="C482" s="19"/>
      <c r="G482" s="19"/>
    </row>
    <row r="483">
      <c r="C483" s="19"/>
      <c r="G483" s="19"/>
    </row>
    <row r="484">
      <c r="C484" s="19"/>
      <c r="G484" s="19"/>
    </row>
    <row r="485">
      <c r="C485" s="19"/>
      <c r="G485" s="19"/>
    </row>
    <row r="486">
      <c r="C486" s="19"/>
      <c r="G486" s="19"/>
    </row>
    <row r="487">
      <c r="C487" s="19"/>
      <c r="G487" s="19"/>
    </row>
    <row r="488">
      <c r="C488" s="19"/>
      <c r="G488" s="19"/>
    </row>
    <row r="489">
      <c r="C489" s="19"/>
      <c r="G489" s="19"/>
    </row>
    <row r="490">
      <c r="C490" s="19"/>
      <c r="G490" s="19"/>
    </row>
    <row r="491">
      <c r="C491" s="19"/>
      <c r="G491" s="19"/>
    </row>
    <row r="492">
      <c r="C492" s="19"/>
      <c r="G492" s="19"/>
    </row>
    <row r="493">
      <c r="C493" s="19"/>
      <c r="G493" s="19"/>
    </row>
    <row r="494">
      <c r="C494" s="19"/>
      <c r="G494" s="19"/>
    </row>
    <row r="495">
      <c r="C495" s="19"/>
      <c r="G495" s="19"/>
    </row>
    <row r="496">
      <c r="C496" s="19"/>
      <c r="G496" s="19"/>
    </row>
    <row r="497">
      <c r="C497" s="19"/>
      <c r="G497" s="19"/>
    </row>
    <row r="498">
      <c r="C498" s="19"/>
      <c r="G498" s="19"/>
    </row>
    <row r="499">
      <c r="C499" s="19"/>
      <c r="G499" s="19"/>
    </row>
    <row r="500">
      <c r="C500" s="19"/>
      <c r="G500" s="19"/>
    </row>
    <row r="501">
      <c r="C501" s="19"/>
      <c r="G501" s="19"/>
    </row>
    <row r="502">
      <c r="C502" s="19"/>
      <c r="G502" s="19"/>
    </row>
    <row r="503">
      <c r="C503" s="19"/>
      <c r="G503" s="19"/>
    </row>
    <row r="504">
      <c r="C504" s="19"/>
      <c r="G504" s="19"/>
    </row>
    <row r="505">
      <c r="C505" s="19"/>
      <c r="G505" s="19"/>
    </row>
    <row r="506">
      <c r="C506" s="19"/>
      <c r="G506" s="19"/>
    </row>
    <row r="507">
      <c r="C507" s="19"/>
      <c r="G507" s="19"/>
    </row>
    <row r="508">
      <c r="C508" s="19"/>
      <c r="G508" s="19"/>
    </row>
    <row r="509">
      <c r="C509" s="19"/>
      <c r="G509" s="19"/>
    </row>
    <row r="510">
      <c r="C510" s="19"/>
      <c r="G510" s="19"/>
    </row>
    <row r="511">
      <c r="C511" s="19"/>
      <c r="G511" s="19"/>
    </row>
    <row r="512">
      <c r="C512" s="19"/>
      <c r="G512" s="19"/>
    </row>
    <row r="513">
      <c r="C513" s="19"/>
      <c r="G513" s="19"/>
    </row>
    <row r="514">
      <c r="C514" s="19"/>
      <c r="G514" s="19"/>
    </row>
    <row r="515">
      <c r="C515" s="19"/>
      <c r="G515" s="19"/>
    </row>
    <row r="516">
      <c r="C516" s="19"/>
      <c r="G516" s="19"/>
    </row>
    <row r="517">
      <c r="C517" s="19"/>
      <c r="G517" s="19"/>
    </row>
    <row r="518">
      <c r="C518" s="19"/>
      <c r="G518" s="19"/>
    </row>
    <row r="519">
      <c r="C519" s="19"/>
      <c r="G519" s="19"/>
    </row>
    <row r="520">
      <c r="C520" s="19"/>
      <c r="G520" s="19"/>
    </row>
    <row r="521">
      <c r="C521" s="19"/>
      <c r="G521" s="19"/>
    </row>
    <row r="522">
      <c r="C522" s="19"/>
      <c r="G522" s="19"/>
    </row>
    <row r="523">
      <c r="C523" s="19"/>
      <c r="G523" s="19"/>
    </row>
    <row r="524">
      <c r="C524" s="19"/>
      <c r="G524" s="19"/>
    </row>
    <row r="525">
      <c r="C525" s="19"/>
      <c r="G525" s="19"/>
    </row>
    <row r="526">
      <c r="C526" s="19"/>
      <c r="G526" s="19"/>
    </row>
    <row r="527">
      <c r="C527" s="19"/>
      <c r="G527" s="19"/>
    </row>
    <row r="528">
      <c r="C528" s="19"/>
      <c r="G528" s="19"/>
    </row>
    <row r="529">
      <c r="C529" s="19"/>
      <c r="G529" s="19"/>
    </row>
    <row r="530">
      <c r="C530" s="19"/>
      <c r="G530" s="19"/>
    </row>
    <row r="531">
      <c r="C531" s="19"/>
      <c r="G531" s="19"/>
    </row>
    <row r="532">
      <c r="C532" s="19"/>
      <c r="G532" s="19"/>
    </row>
    <row r="533">
      <c r="C533" s="19"/>
      <c r="G533" s="19"/>
    </row>
    <row r="534">
      <c r="C534" s="19"/>
      <c r="G534" s="19"/>
    </row>
    <row r="535">
      <c r="C535" s="19"/>
      <c r="G535" s="19"/>
    </row>
    <row r="536">
      <c r="C536" s="19"/>
      <c r="G536" s="19"/>
    </row>
    <row r="537">
      <c r="C537" s="19"/>
      <c r="G537" s="19"/>
    </row>
    <row r="538">
      <c r="C538" s="19"/>
      <c r="G538" s="19"/>
    </row>
    <row r="539">
      <c r="C539" s="19"/>
      <c r="G539" s="19"/>
    </row>
    <row r="540">
      <c r="C540" s="19"/>
      <c r="G540" s="19"/>
    </row>
    <row r="541">
      <c r="C541" s="19"/>
      <c r="G541" s="19"/>
    </row>
    <row r="542">
      <c r="C542" s="19"/>
      <c r="G542" s="19"/>
    </row>
    <row r="543">
      <c r="C543" s="19"/>
      <c r="G543" s="19"/>
    </row>
    <row r="544">
      <c r="C544" s="19"/>
      <c r="G544" s="19"/>
    </row>
    <row r="545">
      <c r="C545" s="19"/>
      <c r="G545" s="19"/>
    </row>
    <row r="546">
      <c r="C546" s="19"/>
      <c r="G546" s="19"/>
    </row>
    <row r="547">
      <c r="C547" s="19"/>
      <c r="G547" s="19"/>
    </row>
    <row r="548">
      <c r="C548" s="19"/>
      <c r="G548" s="19"/>
    </row>
    <row r="549">
      <c r="C549" s="19"/>
      <c r="G549" s="19"/>
    </row>
    <row r="550">
      <c r="C550" s="19"/>
      <c r="G550" s="19"/>
    </row>
    <row r="551">
      <c r="C551" s="19"/>
      <c r="G551" s="19"/>
    </row>
    <row r="552">
      <c r="C552" s="19"/>
      <c r="G552" s="19"/>
    </row>
    <row r="553">
      <c r="C553" s="19"/>
      <c r="G553" s="19"/>
    </row>
    <row r="554">
      <c r="C554" s="19"/>
      <c r="G554" s="19"/>
    </row>
    <row r="555">
      <c r="C555" s="19"/>
      <c r="G555" s="19"/>
    </row>
    <row r="556">
      <c r="C556" s="19"/>
      <c r="G556" s="19"/>
    </row>
    <row r="557">
      <c r="C557" s="19"/>
      <c r="G557" s="19"/>
    </row>
    <row r="558">
      <c r="C558" s="19"/>
      <c r="G558" s="19"/>
    </row>
    <row r="559">
      <c r="C559" s="19"/>
      <c r="G559" s="19"/>
    </row>
    <row r="560">
      <c r="C560" s="19"/>
      <c r="G560" s="19"/>
    </row>
    <row r="561">
      <c r="C561" s="19"/>
      <c r="G561" s="19"/>
    </row>
    <row r="562">
      <c r="C562" s="19"/>
      <c r="G562" s="19"/>
    </row>
    <row r="563">
      <c r="C563" s="19"/>
      <c r="G563" s="19"/>
    </row>
    <row r="564">
      <c r="C564" s="19"/>
      <c r="G564" s="19"/>
    </row>
    <row r="565">
      <c r="C565" s="19"/>
      <c r="G565" s="19"/>
    </row>
    <row r="566">
      <c r="C566" s="19"/>
      <c r="G566" s="19"/>
    </row>
    <row r="567">
      <c r="C567" s="19"/>
      <c r="G567" s="19"/>
    </row>
    <row r="568">
      <c r="C568" s="19"/>
      <c r="G568" s="19"/>
    </row>
    <row r="569">
      <c r="C569" s="19"/>
      <c r="G569" s="19"/>
    </row>
    <row r="570">
      <c r="C570" s="19"/>
      <c r="G570" s="19"/>
    </row>
    <row r="571">
      <c r="C571" s="19"/>
      <c r="G571" s="19"/>
    </row>
    <row r="572">
      <c r="C572" s="19"/>
      <c r="G572" s="19"/>
    </row>
    <row r="573">
      <c r="C573" s="19"/>
      <c r="G573" s="19"/>
    </row>
    <row r="574">
      <c r="C574" s="19"/>
      <c r="G574" s="19"/>
    </row>
    <row r="575">
      <c r="C575" s="19"/>
      <c r="G575" s="19"/>
    </row>
    <row r="576">
      <c r="C576" s="19"/>
      <c r="G576" s="19"/>
    </row>
    <row r="577">
      <c r="C577" s="19"/>
      <c r="G577" s="19"/>
    </row>
    <row r="578">
      <c r="C578" s="19"/>
      <c r="G578" s="19"/>
    </row>
    <row r="579">
      <c r="C579" s="19"/>
      <c r="G579" s="19"/>
    </row>
    <row r="580">
      <c r="C580" s="19"/>
      <c r="G580" s="19"/>
    </row>
    <row r="581">
      <c r="C581" s="19"/>
      <c r="G581" s="19"/>
    </row>
    <row r="582">
      <c r="C582" s="19"/>
      <c r="G582" s="19"/>
    </row>
    <row r="583">
      <c r="C583" s="19"/>
      <c r="G583" s="19"/>
    </row>
    <row r="584">
      <c r="C584" s="19"/>
      <c r="G584" s="19"/>
    </row>
    <row r="585">
      <c r="C585" s="19"/>
      <c r="G585" s="19"/>
    </row>
    <row r="586">
      <c r="C586" s="19"/>
      <c r="G586" s="19"/>
    </row>
    <row r="587">
      <c r="C587" s="19"/>
      <c r="G587" s="19"/>
    </row>
    <row r="588">
      <c r="C588" s="19"/>
      <c r="G588" s="19"/>
    </row>
    <row r="589">
      <c r="C589" s="19"/>
      <c r="G589" s="19"/>
    </row>
    <row r="590">
      <c r="C590" s="19"/>
      <c r="G590" s="19"/>
    </row>
    <row r="591">
      <c r="C591" s="19"/>
      <c r="G591" s="19"/>
    </row>
    <row r="592">
      <c r="C592" s="19"/>
      <c r="G592" s="19"/>
    </row>
    <row r="593">
      <c r="C593" s="19"/>
      <c r="G593" s="19"/>
    </row>
    <row r="594">
      <c r="C594" s="19"/>
      <c r="G594" s="19"/>
    </row>
    <row r="595">
      <c r="C595" s="19"/>
      <c r="G595" s="19"/>
    </row>
    <row r="596">
      <c r="C596" s="19"/>
      <c r="G596" s="19"/>
    </row>
    <row r="597">
      <c r="C597" s="19"/>
      <c r="G597" s="19"/>
    </row>
    <row r="598">
      <c r="C598" s="19"/>
      <c r="G598" s="19"/>
    </row>
    <row r="599">
      <c r="C599" s="19"/>
      <c r="G599" s="19"/>
    </row>
    <row r="600">
      <c r="C600" s="19"/>
      <c r="G600" s="19"/>
    </row>
    <row r="601">
      <c r="C601" s="19"/>
      <c r="G601" s="19"/>
    </row>
    <row r="602">
      <c r="C602" s="19"/>
      <c r="G602" s="19"/>
    </row>
    <row r="603">
      <c r="C603" s="19"/>
      <c r="G603" s="19"/>
    </row>
    <row r="604">
      <c r="C604" s="19"/>
      <c r="G604" s="19"/>
    </row>
    <row r="605">
      <c r="C605" s="19"/>
      <c r="G605" s="19"/>
    </row>
    <row r="606">
      <c r="C606" s="19"/>
      <c r="G606" s="19"/>
    </row>
    <row r="607">
      <c r="C607" s="19"/>
      <c r="G607" s="19"/>
    </row>
    <row r="608">
      <c r="C608" s="19"/>
      <c r="G608" s="19"/>
    </row>
    <row r="609">
      <c r="C609" s="19"/>
      <c r="G609" s="19"/>
    </row>
    <row r="610">
      <c r="C610" s="19"/>
      <c r="G610" s="19"/>
    </row>
    <row r="611">
      <c r="C611" s="19"/>
      <c r="G611" s="19"/>
    </row>
    <row r="612">
      <c r="C612" s="19"/>
      <c r="G612" s="19"/>
    </row>
    <row r="613">
      <c r="C613" s="19"/>
      <c r="G613" s="19"/>
    </row>
    <row r="614">
      <c r="C614" s="19"/>
      <c r="G614" s="19"/>
    </row>
    <row r="615">
      <c r="C615" s="19"/>
      <c r="G615" s="19"/>
    </row>
    <row r="616">
      <c r="C616" s="19"/>
      <c r="G616" s="19"/>
    </row>
    <row r="617">
      <c r="C617" s="19"/>
      <c r="G617" s="19"/>
    </row>
    <row r="618">
      <c r="C618" s="19"/>
      <c r="G618" s="19"/>
    </row>
    <row r="619">
      <c r="C619" s="19"/>
      <c r="G619" s="19"/>
    </row>
    <row r="620">
      <c r="C620" s="19"/>
      <c r="G620" s="19"/>
    </row>
    <row r="621">
      <c r="C621" s="19"/>
      <c r="G621" s="19"/>
    </row>
    <row r="622">
      <c r="C622" s="19"/>
      <c r="G622" s="19"/>
    </row>
    <row r="623">
      <c r="C623" s="19"/>
      <c r="G623" s="19"/>
    </row>
    <row r="624">
      <c r="C624" s="19"/>
      <c r="G624" s="19"/>
    </row>
    <row r="625">
      <c r="C625" s="19"/>
      <c r="G625" s="19"/>
    </row>
    <row r="626">
      <c r="C626" s="19"/>
      <c r="G626" s="19"/>
    </row>
    <row r="627">
      <c r="C627" s="19"/>
      <c r="G627" s="19"/>
    </row>
    <row r="628">
      <c r="C628" s="19"/>
      <c r="G628" s="19"/>
    </row>
    <row r="629">
      <c r="C629" s="19"/>
      <c r="G629" s="19"/>
    </row>
    <row r="630">
      <c r="C630" s="19"/>
      <c r="G630" s="19"/>
    </row>
    <row r="631">
      <c r="C631" s="19"/>
      <c r="G631" s="19"/>
    </row>
    <row r="632">
      <c r="C632" s="19"/>
      <c r="G632" s="19"/>
    </row>
    <row r="633">
      <c r="C633" s="19"/>
      <c r="G633" s="19"/>
    </row>
    <row r="634">
      <c r="C634" s="19"/>
      <c r="G634" s="19"/>
    </row>
    <row r="635">
      <c r="C635" s="19"/>
      <c r="G635" s="19"/>
    </row>
    <row r="636">
      <c r="C636" s="19"/>
      <c r="G636" s="19"/>
    </row>
    <row r="637">
      <c r="C637" s="19"/>
      <c r="G637" s="19"/>
    </row>
    <row r="638">
      <c r="C638" s="19"/>
      <c r="G638" s="19"/>
    </row>
    <row r="639">
      <c r="C639" s="19"/>
      <c r="G639" s="19"/>
    </row>
    <row r="640">
      <c r="C640" s="19"/>
      <c r="G640" s="19"/>
    </row>
    <row r="641">
      <c r="C641" s="19"/>
      <c r="G641" s="19"/>
    </row>
    <row r="642">
      <c r="C642" s="19"/>
      <c r="G642" s="19"/>
    </row>
    <row r="643">
      <c r="C643" s="19"/>
      <c r="G643" s="19"/>
    </row>
    <row r="644">
      <c r="C644" s="19"/>
      <c r="G644" s="19"/>
    </row>
    <row r="645">
      <c r="C645" s="19"/>
      <c r="G645" s="19"/>
    </row>
    <row r="646">
      <c r="C646" s="19"/>
      <c r="G646" s="19"/>
    </row>
    <row r="647">
      <c r="C647" s="19"/>
      <c r="G647" s="19"/>
    </row>
    <row r="648">
      <c r="C648" s="19"/>
      <c r="G648" s="19"/>
    </row>
    <row r="649">
      <c r="C649" s="19"/>
      <c r="G649" s="19"/>
    </row>
    <row r="650">
      <c r="C650" s="19"/>
      <c r="G650" s="19"/>
    </row>
    <row r="651">
      <c r="C651" s="19"/>
      <c r="G651" s="19"/>
    </row>
    <row r="652">
      <c r="C652" s="19"/>
      <c r="G652" s="19"/>
    </row>
    <row r="653">
      <c r="C653" s="19"/>
      <c r="G653" s="19"/>
    </row>
    <row r="654">
      <c r="C654" s="19"/>
      <c r="G654" s="19"/>
    </row>
    <row r="655">
      <c r="C655" s="19"/>
      <c r="G655" s="19"/>
    </row>
    <row r="656">
      <c r="C656" s="19"/>
      <c r="G656" s="19"/>
    </row>
    <row r="657">
      <c r="C657" s="19"/>
      <c r="G657" s="19"/>
    </row>
    <row r="658">
      <c r="C658" s="19"/>
      <c r="G658" s="19"/>
    </row>
    <row r="659">
      <c r="C659" s="19"/>
      <c r="G659" s="19"/>
    </row>
    <row r="660">
      <c r="C660" s="19"/>
      <c r="G660" s="19"/>
    </row>
    <row r="661">
      <c r="C661" s="19"/>
      <c r="G661" s="19"/>
    </row>
    <row r="662">
      <c r="C662" s="19"/>
      <c r="G662" s="19"/>
    </row>
    <row r="663">
      <c r="C663" s="19"/>
      <c r="G663" s="19"/>
    </row>
    <row r="664">
      <c r="C664" s="19"/>
      <c r="G664" s="19"/>
    </row>
    <row r="665">
      <c r="C665" s="19"/>
      <c r="G665" s="19"/>
    </row>
    <row r="666">
      <c r="C666" s="19"/>
      <c r="G666" s="19"/>
    </row>
    <row r="667">
      <c r="C667" s="19"/>
      <c r="G667" s="19"/>
    </row>
    <row r="668">
      <c r="C668" s="19"/>
      <c r="G668" s="19"/>
    </row>
    <row r="669">
      <c r="C669" s="19"/>
      <c r="G669" s="19"/>
    </row>
    <row r="670">
      <c r="C670" s="19"/>
      <c r="G670" s="19"/>
    </row>
    <row r="671">
      <c r="C671" s="19"/>
      <c r="G671" s="19"/>
    </row>
    <row r="672">
      <c r="C672" s="19"/>
      <c r="G672" s="19"/>
    </row>
    <row r="673">
      <c r="C673" s="19"/>
      <c r="G673" s="19"/>
    </row>
    <row r="674">
      <c r="C674" s="19"/>
      <c r="G674" s="19"/>
    </row>
    <row r="675">
      <c r="C675" s="19"/>
      <c r="G675" s="19"/>
    </row>
    <row r="676">
      <c r="C676" s="19"/>
      <c r="G676" s="19"/>
    </row>
    <row r="677">
      <c r="C677" s="19"/>
      <c r="G677" s="19"/>
    </row>
    <row r="678">
      <c r="C678" s="19"/>
      <c r="G678" s="19"/>
    </row>
    <row r="679">
      <c r="C679" s="19"/>
      <c r="G679" s="19"/>
    </row>
    <row r="680">
      <c r="C680" s="19"/>
      <c r="G680" s="19"/>
    </row>
    <row r="681">
      <c r="C681" s="19"/>
      <c r="G681" s="19"/>
    </row>
    <row r="682">
      <c r="C682" s="19"/>
      <c r="G682" s="19"/>
    </row>
    <row r="683">
      <c r="C683" s="19"/>
      <c r="G683" s="19"/>
    </row>
    <row r="684">
      <c r="C684" s="19"/>
      <c r="G684" s="19"/>
    </row>
    <row r="685">
      <c r="C685" s="19"/>
      <c r="G685" s="19"/>
    </row>
    <row r="686">
      <c r="C686" s="19"/>
      <c r="G686" s="19"/>
    </row>
    <row r="687">
      <c r="C687" s="19"/>
      <c r="G687" s="19"/>
    </row>
    <row r="688">
      <c r="C688" s="19"/>
      <c r="G688" s="19"/>
    </row>
    <row r="689">
      <c r="C689" s="19"/>
      <c r="G689" s="19"/>
    </row>
    <row r="690">
      <c r="C690" s="19"/>
      <c r="G690" s="19"/>
    </row>
    <row r="691">
      <c r="C691" s="19"/>
      <c r="G691" s="19"/>
    </row>
    <row r="692">
      <c r="C692" s="19"/>
      <c r="G692" s="19"/>
    </row>
    <row r="693">
      <c r="C693" s="19"/>
      <c r="G693" s="19"/>
    </row>
    <row r="694">
      <c r="C694" s="19"/>
      <c r="G694" s="19"/>
    </row>
    <row r="695">
      <c r="C695" s="19"/>
      <c r="G695" s="19"/>
    </row>
    <row r="696">
      <c r="C696" s="19"/>
      <c r="G696" s="19"/>
    </row>
    <row r="697">
      <c r="C697" s="19"/>
      <c r="G697" s="19"/>
    </row>
    <row r="698">
      <c r="C698" s="19"/>
      <c r="G698" s="19"/>
    </row>
    <row r="699">
      <c r="C699" s="19"/>
      <c r="G699" s="19"/>
    </row>
    <row r="700">
      <c r="C700" s="19"/>
      <c r="G700" s="19"/>
    </row>
    <row r="701">
      <c r="C701" s="19"/>
      <c r="G701" s="19"/>
    </row>
    <row r="702">
      <c r="C702" s="19"/>
      <c r="G702" s="19"/>
    </row>
    <row r="703">
      <c r="C703" s="19"/>
      <c r="G703" s="19"/>
    </row>
    <row r="704">
      <c r="C704" s="19"/>
      <c r="G704" s="19"/>
    </row>
    <row r="705">
      <c r="C705" s="19"/>
      <c r="G705" s="19"/>
    </row>
    <row r="706">
      <c r="C706" s="19"/>
      <c r="G706" s="19"/>
    </row>
    <row r="707">
      <c r="C707" s="19"/>
      <c r="G707" s="19"/>
    </row>
    <row r="708">
      <c r="C708" s="19"/>
      <c r="G708" s="19"/>
    </row>
    <row r="709">
      <c r="C709" s="19"/>
      <c r="G709" s="19"/>
    </row>
    <row r="710">
      <c r="C710" s="19"/>
      <c r="G710" s="19"/>
    </row>
    <row r="711">
      <c r="C711" s="19"/>
      <c r="G711" s="19"/>
    </row>
    <row r="712">
      <c r="C712" s="19"/>
      <c r="G712" s="19"/>
    </row>
    <row r="713">
      <c r="C713" s="19"/>
      <c r="G713" s="19"/>
    </row>
    <row r="714">
      <c r="C714" s="19"/>
      <c r="G714" s="19"/>
    </row>
    <row r="715">
      <c r="C715" s="19"/>
      <c r="G715" s="19"/>
    </row>
    <row r="716">
      <c r="C716" s="19"/>
      <c r="G716" s="19"/>
    </row>
    <row r="717">
      <c r="C717" s="19"/>
      <c r="G717" s="19"/>
    </row>
    <row r="718">
      <c r="C718" s="19"/>
      <c r="G718" s="19"/>
    </row>
    <row r="719">
      <c r="C719" s="19"/>
      <c r="G719" s="19"/>
    </row>
    <row r="720">
      <c r="C720" s="19"/>
      <c r="G720" s="19"/>
    </row>
    <row r="721">
      <c r="C721" s="19"/>
      <c r="G721" s="19"/>
    </row>
    <row r="722">
      <c r="C722" s="19"/>
      <c r="G722" s="19"/>
    </row>
    <row r="723">
      <c r="C723" s="19"/>
      <c r="G723" s="19"/>
    </row>
    <row r="724">
      <c r="C724" s="19"/>
      <c r="G724" s="19"/>
    </row>
    <row r="725">
      <c r="C725" s="19"/>
      <c r="G725" s="19"/>
    </row>
    <row r="726">
      <c r="C726" s="19"/>
      <c r="G726" s="19"/>
    </row>
    <row r="727">
      <c r="C727" s="19"/>
      <c r="G727" s="19"/>
    </row>
    <row r="728">
      <c r="C728" s="19"/>
      <c r="G728" s="19"/>
    </row>
    <row r="729">
      <c r="C729" s="19"/>
      <c r="G729" s="19"/>
    </row>
    <row r="730">
      <c r="C730" s="19"/>
      <c r="G730" s="19"/>
    </row>
    <row r="731">
      <c r="C731" s="19"/>
      <c r="G731" s="19"/>
    </row>
    <row r="732">
      <c r="C732" s="19"/>
      <c r="G732" s="19"/>
    </row>
    <row r="733">
      <c r="C733" s="19"/>
      <c r="G733" s="19"/>
    </row>
    <row r="734">
      <c r="C734" s="19"/>
      <c r="G734" s="19"/>
    </row>
    <row r="735">
      <c r="C735" s="19"/>
      <c r="G735" s="19"/>
    </row>
    <row r="736">
      <c r="C736" s="19"/>
      <c r="G736" s="19"/>
    </row>
    <row r="737">
      <c r="C737" s="19"/>
      <c r="G737" s="19"/>
    </row>
    <row r="738">
      <c r="C738" s="19"/>
      <c r="G738" s="19"/>
    </row>
    <row r="739">
      <c r="C739" s="19"/>
      <c r="G739" s="19"/>
    </row>
    <row r="740">
      <c r="C740" s="19"/>
      <c r="G740" s="19"/>
    </row>
    <row r="741">
      <c r="C741" s="19"/>
      <c r="G741" s="19"/>
    </row>
    <row r="742">
      <c r="C742" s="19"/>
      <c r="G742" s="19"/>
    </row>
    <row r="743">
      <c r="C743" s="19"/>
      <c r="G743" s="19"/>
    </row>
    <row r="744">
      <c r="C744" s="19"/>
      <c r="G744" s="19"/>
    </row>
    <row r="745">
      <c r="C745" s="19"/>
      <c r="G745" s="19"/>
    </row>
    <row r="746">
      <c r="C746" s="19"/>
      <c r="G746" s="19"/>
    </row>
    <row r="747">
      <c r="C747" s="19"/>
      <c r="G747" s="19"/>
    </row>
    <row r="748">
      <c r="C748" s="19"/>
      <c r="G748" s="19"/>
    </row>
    <row r="749">
      <c r="C749" s="19"/>
      <c r="G749" s="19"/>
    </row>
    <row r="750">
      <c r="C750" s="19"/>
      <c r="G750" s="19"/>
    </row>
    <row r="751">
      <c r="C751" s="19"/>
      <c r="G751" s="19"/>
    </row>
    <row r="752">
      <c r="C752" s="19"/>
      <c r="G752" s="19"/>
    </row>
    <row r="753">
      <c r="C753" s="19"/>
      <c r="G753" s="19"/>
    </row>
    <row r="754">
      <c r="C754" s="19"/>
      <c r="G754" s="19"/>
    </row>
    <row r="755">
      <c r="C755" s="19"/>
      <c r="G755" s="19"/>
    </row>
    <row r="756">
      <c r="C756" s="19"/>
      <c r="G756" s="19"/>
    </row>
    <row r="757">
      <c r="C757" s="19"/>
      <c r="G757" s="19"/>
    </row>
    <row r="758">
      <c r="C758" s="19"/>
      <c r="G758" s="19"/>
    </row>
    <row r="759">
      <c r="C759" s="19"/>
      <c r="G759" s="19"/>
    </row>
    <row r="760">
      <c r="C760" s="19"/>
      <c r="G760" s="19"/>
    </row>
    <row r="761">
      <c r="C761" s="19"/>
      <c r="G761" s="19"/>
    </row>
    <row r="762">
      <c r="C762" s="19"/>
      <c r="G762" s="19"/>
    </row>
    <row r="763">
      <c r="C763" s="19"/>
      <c r="G763" s="19"/>
    </row>
    <row r="764">
      <c r="C764" s="19"/>
      <c r="G764" s="19"/>
    </row>
    <row r="765">
      <c r="C765" s="19"/>
      <c r="G765" s="19"/>
    </row>
    <row r="766">
      <c r="C766" s="19"/>
      <c r="G766" s="19"/>
    </row>
    <row r="767">
      <c r="C767" s="19"/>
      <c r="G767" s="19"/>
    </row>
    <row r="768">
      <c r="C768" s="19"/>
      <c r="G768" s="19"/>
    </row>
    <row r="769">
      <c r="C769" s="19"/>
      <c r="G769" s="19"/>
    </row>
    <row r="770">
      <c r="C770" s="19"/>
      <c r="G770" s="19"/>
    </row>
    <row r="771">
      <c r="C771" s="19"/>
      <c r="G771" s="19"/>
    </row>
    <row r="772">
      <c r="C772" s="19"/>
      <c r="G772" s="19"/>
    </row>
    <row r="773">
      <c r="C773" s="19"/>
      <c r="G773" s="19"/>
    </row>
    <row r="774">
      <c r="C774" s="19"/>
      <c r="G774" s="19"/>
    </row>
    <row r="775">
      <c r="C775" s="19"/>
      <c r="G775" s="19"/>
    </row>
    <row r="776">
      <c r="C776" s="19"/>
      <c r="G776" s="19"/>
    </row>
    <row r="777">
      <c r="C777" s="19"/>
      <c r="G777" s="19"/>
    </row>
    <row r="778">
      <c r="C778" s="19"/>
      <c r="G778" s="19"/>
    </row>
    <row r="779">
      <c r="C779" s="19"/>
      <c r="G779" s="19"/>
    </row>
    <row r="780">
      <c r="C780" s="19"/>
      <c r="G780" s="19"/>
    </row>
    <row r="781">
      <c r="C781" s="19"/>
      <c r="G781" s="19"/>
    </row>
    <row r="782">
      <c r="C782" s="19"/>
      <c r="G782" s="19"/>
    </row>
    <row r="783">
      <c r="C783" s="19"/>
      <c r="G783" s="19"/>
    </row>
    <row r="784">
      <c r="C784" s="19"/>
      <c r="G784" s="19"/>
    </row>
    <row r="785">
      <c r="C785" s="19"/>
      <c r="G785" s="19"/>
    </row>
    <row r="786">
      <c r="C786" s="19"/>
      <c r="G786" s="19"/>
    </row>
    <row r="787">
      <c r="C787" s="19"/>
      <c r="G787" s="19"/>
    </row>
    <row r="788">
      <c r="C788" s="19"/>
      <c r="G788" s="19"/>
    </row>
    <row r="789">
      <c r="C789" s="19"/>
      <c r="G789" s="19"/>
    </row>
    <row r="790">
      <c r="C790" s="19"/>
      <c r="G790" s="19"/>
    </row>
    <row r="791">
      <c r="C791" s="19"/>
      <c r="G791" s="19"/>
    </row>
    <row r="792">
      <c r="C792" s="19"/>
      <c r="G792" s="19"/>
    </row>
    <row r="793">
      <c r="C793" s="19"/>
      <c r="G793" s="19"/>
    </row>
    <row r="794">
      <c r="C794" s="19"/>
      <c r="G794" s="19"/>
    </row>
    <row r="795">
      <c r="C795" s="19"/>
      <c r="G795" s="19"/>
    </row>
    <row r="796">
      <c r="C796" s="19"/>
      <c r="G796" s="19"/>
    </row>
    <row r="797">
      <c r="C797" s="19"/>
      <c r="G797" s="19"/>
    </row>
    <row r="798">
      <c r="C798" s="19"/>
      <c r="G798" s="19"/>
    </row>
    <row r="799">
      <c r="C799" s="19"/>
      <c r="G799" s="19"/>
    </row>
    <row r="800">
      <c r="C800" s="19"/>
      <c r="G800" s="19"/>
    </row>
    <row r="801">
      <c r="C801" s="19"/>
      <c r="G801" s="19"/>
    </row>
    <row r="802">
      <c r="C802" s="19"/>
      <c r="G802" s="19"/>
    </row>
    <row r="803">
      <c r="C803" s="19"/>
      <c r="G803" s="19"/>
    </row>
    <row r="804">
      <c r="C804" s="19"/>
      <c r="G804" s="19"/>
    </row>
    <row r="805">
      <c r="C805" s="19"/>
      <c r="G805" s="19"/>
    </row>
    <row r="806">
      <c r="C806" s="19"/>
      <c r="G806" s="19"/>
    </row>
    <row r="807">
      <c r="C807" s="19"/>
      <c r="G807" s="19"/>
    </row>
    <row r="808">
      <c r="C808" s="19"/>
      <c r="G808" s="19"/>
    </row>
    <row r="809">
      <c r="C809" s="19"/>
      <c r="G809" s="19"/>
    </row>
    <row r="810">
      <c r="C810" s="19"/>
      <c r="G810" s="19"/>
    </row>
    <row r="811">
      <c r="C811" s="19"/>
      <c r="G811" s="19"/>
    </row>
    <row r="812">
      <c r="C812" s="19"/>
      <c r="G812" s="19"/>
    </row>
    <row r="813">
      <c r="C813" s="19"/>
      <c r="G813" s="19"/>
    </row>
    <row r="814">
      <c r="C814" s="19"/>
      <c r="G814" s="19"/>
    </row>
    <row r="815">
      <c r="C815" s="19"/>
      <c r="G815" s="19"/>
    </row>
    <row r="816">
      <c r="C816" s="19"/>
      <c r="G816" s="19"/>
    </row>
    <row r="817">
      <c r="C817" s="19"/>
      <c r="G817" s="19"/>
    </row>
    <row r="818">
      <c r="C818" s="19"/>
      <c r="G818" s="19"/>
    </row>
    <row r="819">
      <c r="C819" s="19"/>
      <c r="G819" s="19"/>
    </row>
    <row r="820">
      <c r="C820" s="19"/>
      <c r="G820" s="19"/>
    </row>
    <row r="821">
      <c r="C821" s="19"/>
      <c r="G821" s="19"/>
    </row>
    <row r="822">
      <c r="C822" s="19"/>
      <c r="G822" s="19"/>
    </row>
    <row r="823">
      <c r="C823" s="19"/>
      <c r="G823" s="19"/>
    </row>
    <row r="824">
      <c r="C824" s="19"/>
      <c r="G824" s="19"/>
    </row>
    <row r="825">
      <c r="C825" s="19"/>
      <c r="G825" s="19"/>
    </row>
    <row r="826">
      <c r="C826" s="19"/>
      <c r="G826" s="19"/>
    </row>
    <row r="827">
      <c r="C827" s="19"/>
      <c r="G827" s="19"/>
    </row>
    <row r="828">
      <c r="C828" s="19"/>
      <c r="G828" s="19"/>
    </row>
    <row r="829">
      <c r="C829" s="19"/>
      <c r="G829" s="19"/>
    </row>
    <row r="830">
      <c r="C830" s="19"/>
      <c r="G830" s="19"/>
    </row>
    <row r="831">
      <c r="C831" s="19"/>
      <c r="G831" s="19"/>
    </row>
    <row r="832">
      <c r="C832" s="19"/>
      <c r="G832" s="19"/>
    </row>
    <row r="833">
      <c r="C833" s="19"/>
      <c r="G833" s="19"/>
    </row>
    <row r="834">
      <c r="C834" s="19"/>
      <c r="G834" s="19"/>
    </row>
    <row r="835">
      <c r="C835" s="19"/>
      <c r="G835" s="19"/>
    </row>
    <row r="836">
      <c r="C836" s="19"/>
      <c r="G836" s="19"/>
    </row>
    <row r="837">
      <c r="C837" s="19"/>
      <c r="G837" s="19"/>
    </row>
    <row r="838">
      <c r="C838" s="19"/>
      <c r="G838" s="19"/>
    </row>
    <row r="839">
      <c r="C839" s="19"/>
      <c r="G839" s="19"/>
    </row>
    <row r="840">
      <c r="C840" s="19"/>
      <c r="G840" s="19"/>
    </row>
    <row r="841">
      <c r="C841" s="19"/>
      <c r="G841" s="19"/>
    </row>
    <row r="842">
      <c r="C842" s="19"/>
      <c r="G842" s="19"/>
    </row>
    <row r="843">
      <c r="C843" s="19"/>
      <c r="G843" s="19"/>
    </row>
    <row r="844">
      <c r="C844" s="19"/>
      <c r="G844" s="19"/>
    </row>
    <row r="845">
      <c r="C845" s="19"/>
      <c r="G845" s="19"/>
    </row>
    <row r="846">
      <c r="C846" s="19"/>
      <c r="G846" s="19"/>
    </row>
    <row r="847">
      <c r="C847" s="19"/>
      <c r="G847" s="19"/>
    </row>
    <row r="848">
      <c r="C848" s="19"/>
      <c r="G848" s="19"/>
    </row>
    <row r="849">
      <c r="C849" s="19"/>
      <c r="G849" s="19"/>
    </row>
    <row r="850">
      <c r="C850" s="19"/>
      <c r="G850" s="19"/>
    </row>
    <row r="851">
      <c r="C851" s="19"/>
      <c r="G851" s="19"/>
    </row>
    <row r="852">
      <c r="C852" s="19"/>
      <c r="G852" s="19"/>
    </row>
    <row r="853">
      <c r="C853" s="19"/>
      <c r="G853" s="19"/>
    </row>
    <row r="854">
      <c r="C854" s="19"/>
      <c r="G854" s="19"/>
    </row>
    <row r="855">
      <c r="C855" s="19"/>
      <c r="G855" s="19"/>
    </row>
    <row r="856">
      <c r="C856" s="19"/>
      <c r="G856" s="19"/>
    </row>
    <row r="857">
      <c r="C857" s="19"/>
      <c r="G857" s="19"/>
    </row>
    <row r="858">
      <c r="C858" s="19"/>
      <c r="G858" s="19"/>
    </row>
    <row r="859">
      <c r="C859" s="19"/>
      <c r="G859" s="19"/>
    </row>
    <row r="860">
      <c r="C860" s="19"/>
      <c r="G860" s="19"/>
    </row>
    <row r="861">
      <c r="C861" s="19"/>
      <c r="G861" s="19"/>
    </row>
    <row r="862">
      <c r="C862" s="19"/>
      <c r="G862" s="19"/>
    </row>
    <row r="863">
      <c r="C863" s="19"/>
      <c r="G863" s="19"/>
    </row>
    <row r="864">
      <c r="C864" s="19"/>
      <c r="G864" s="19"/>
    </row>
    <row r="865">
      <c r="C865" s="19"/>
      <c r="G865" s="19"/>
    </row>
    <row r="866">
      <c r="C866" s="19"/>
      <c r="G866" s="19"/>
    </row>
    <row r="867">
      <c r="C867" s="19"/>
      <c r="G867" s="19"/>
    </row>
    <row r="868">
      <c r="C868" s="19"/>
      <c r="G868" s="19"/>
    </row>
    <row r="869">
      <c r="C869" s="19"/>
      <c r="G869" s="19"/>
    </row>
    <row r="870">
      <c r="C870" s="19"/>
      <c r="G870" s="19"/>
    </row>
    <row r="871">
      <c r="C871" s="19"/>
      <c r="G871" s="19"/>
    </row>
    <row r="872">
      <c r="C872" s="19"/>
      <c r="G872" s="19"/>
    </row>
    <row r="873">
      <c r="C873" s="19"/>
      <c r="G873" s="19"/>
    </row>
    <row r="874">
      <c r="C874" s="19"/>
      <c r="G874" s="19"/>
    </row>
    <row r="875">
      <c r="C875" s="19"/>
      <c r="G875" s="19"/>
    </row>
    <row r="876">
      <c r="C876" s="19"/>
      <c r="G876" s="19"/>
    </row>
    <row r="877">
      <c r="C877" s="19"/>
      <c r="G877" s="19"/>
    </row>
    <row r="878">
      <c r="C878" s="19"/>
      <c r="G878" s="19"/>
    </row>
    <row r="879">
      <c r="C879" s="19"/>
      <c r="G879" s="19"/>
    </row>
    <row r="880">
      <c r="C880" s="19"/>
      <c r="G880" s="19"/>
    </row>
    <row r="881">
      <c r="C881" s="19"/>
      <c r="G881" s="19"/>
    </row>
    <row r="882">
      <c r="C882" s="19"/>
      <c r="G882" s="19"/>
    </row>
    <row r="883">
      <c r="C883" s="19"/>
      <c r="G883" s="19"/>
    </row>
    <row r="884">
      <c r="C884" s="19"/>
      <c r="G884" s="19"/>
    </row>
    <row r="885">
      <c r="C885" s="19"/>
      <c r="G885" s="19"/>
    </row>
    <row r="886">
      <c r="C886" s="19"/>
      <c r="G886" s="19"/>
    </row>
    <row r="887">
      <c r="C887" s="19"/>
      <c r="G887" s="19"/>
    </row>
    <row r="888">
      <c r="C888" s="19"/>
      <c r="G888" s="19"/>
    </row>
    <row r="889">
      <c r="C889" s="19"/>
      <c r="G889" s="19"/>
    </row>
    <row r="890">
      <c r="C890" s="19"/>
      <c r="G890" s="19"/>
    </row>
    <row r="891">
      <c r="C891" s="19"/>
      <c r="G891" s="19"/>
    </row>
    <row r="892">
      <c r="C892" s="19"/>
      <c r="G892" s="19"/>
    </row>
    <row r="893">
      <c r="C893" s="19"/>
      <c r="G893" s="19"/>
    </row>
    <row r="894">
      <c r="C894" s="19"/>
      <c r="G894" s="19"/>
    </row>
    <row r="895">
      <c r="C895" s="19"/>
      <c r="G895" s="19"/>
    </row>
    <row r="896">
      <c r="C896" s="19"/>
      <c r="G896" s="19"/>
    </row>
    <row r="897">
      <c r="C897" s="19"/>
      <c r="G897" s="19"/>
    </row>
    <row r="898">
      <c r="C898" s="19"/>
      <c r="G898" s="19"/>
    </row>
    <row r="899">
      <c r="C899" s="19"/>
      <c r="G899" s="19"/>
    </row>
    <row r="900">
      <c r="C900" s="19"/>
      <c r="G900" s="19"/>
    </row>
    <row r="901">
      <c r="C901" s="19"/>
      <c r="G901" s="19"/>
    </row>
    <row r="902">
      <c r="C902" s="19"/>
      <c r="G902" s="19"/>
    </row>
    <row r="903">
      <c r="C903" s="19"/>
      <c r="G903" s="19"/>
    </row>
    <row r="904">
      <c r="C904" s="19"/>
      <c r="G904" s="19"/>
    </row>
    <row r="905">
      <c r="C905" s="19"/>
      <c r="G905" s="19"/>
    </row>
    <row r="906">
      <c r="C906" s="19"/>
      <c r="G906" s="19"/>
    </row>
    <row r="907">
      <c r="C907" s="19"/>
      <c r="G907" s="19"/>
    </row>
    <row r="908">
      <c r="C908" s="19"/>
      <c r="G908" s="19"/>
    </row>
    <row r="909">
      <c r="C909" s="19"/>
      <c r="G909" s="19"/>
    </row>
    <row r="910">
      <c r="C910" s="19"/>
      <c r="G910" s="19"/>
    </row>
    <row r="911">
      <c r="C911" s="19"/>
      <c r="G911" s="19"/>
    </row>
    <row r="912">
      <c r="C912" s="19"/>
      <c r="G912" s="19"/>
    </row>
    <row r="913">
      <c r="C913" s="19"/>
      <c r="G913" s="19"/>
    </row>
    <row r="914">
      <c r="C914" s="19"/>
      <c r="G914" s="19"/>
    </row>
    <row r="915">
      <c r="C915" s="19"/>
      <c r="G915" s="19"/>
    </row>
    <row r="916">
      <c r="C916" s="19"/>
      <c r="G916" s="19"/>
    </row>
    <row r="917">
      <c r="C917" s="19"/>
      <c r="G917" s="19"/>
    </row>
    <row r="918">
      <c r="C918" s="19"/>
      <c r="G918" s="19"/>
    </row>
    <row r="919">
      <c r="C919" s="19"/>
      <c r="G919" s="19"/>
    </row>
    <row r="920">
      <c r="C920" s="19"/>
      <c r="G920" s="19"/>
    </row>
    <row r="921">
      <c r="C921" s="19"/>
      <c r="G921" s="19"/>
    </row>
    <row r="922">
      <c r="C922" s="19"/>
      <c r="G922" s="19"/>
    </row>
    <row r="923">
      <c r="C923" s="19"/>
      <c r="G923" s="19"/>
    </row>
    <row r="924">
      <c r="C924" s="19"/>
      <c r="G924" s="19"/>
    </row>
    <row r="925">
      <c r="C925" s="19"/>
      <c r="G925" s="19"/>
    </row>
    <row r="926">
      <c r="C926" s="19"/>
      <c r="G926" s="19"/>
    </row>
    <row r="927">
      <c r="C927" s="19"/>
      <c r="G927" s="19"/>
    </row>
    <row r="928">
      <c r="C928" s="19"/>
      <c r="G928" s="19"/>
    </row>
    <row r="929">
      <c r="C929" s="19"/>
      <c r="G929" s="19"/>
    </row>
    <row r="930">
      <c r="C930" s="19"/>
      <c r="G930" s="19"/>
    </row>
    <row r="931">
      <c r="C931" s="19"/>
      <c r="G931" s="19"/>
    </row>
    <row r="932">
      <c r="C932" s="19"/>
      <c r="G932" s="19"/>
    </row>
    <row r="933">
      <c r="C933" s="19"/>
      <c r="G933" s="19"/>
    </row>
    <row r="934">
      <c r="C934" s="19"/>
      <c r="G934" s="19"/>
    </row>
    <row r="935">
      <c r="C935" s="19"/>
      <c r="G935" s="19"/>
    </row>
    <row r="936">
      <c r="C936" s="19"/>
      <c r="G936" s="19"/>
    </row>
    <row r="937">
      <c r="C937" s="19"/>
      <c r="G937" s="19"/>
    </row>
    <row r="938">
      <c r="C938" s="19"/>
      <c r="G938" s="19"/>
    </row>
    <row r="939">
      <c r="C939" s="19"/>
      <c r="G939" s="19"/>
    </row>
    <row r="940">
      <c r="C940" s="19"/>
      <c r="G940" s="19"/>
    </row>
    <row r="941">
      <c r="C941" s="19"/>
      <c r="G941" s="19"/>
    </row>
    <row r="942">
      <c r="C942" s="19"/>
      <c r="G942" s="19"/>
    </row>
    <row r="943">
      <c r="C943" s="19"/>
      <c r="G943" s="19"/>
    </row>
    <row r="944">
      <c r="C944" s="19"/>
      <c r="G944" s="19"/>
    </row>
    <row r="945">
      <c r="C945" s="19"/>
      <c r="G945" s="19"/>
    </row>
    <row r="946">
      <c r="C946" s="19"/>
      <c r="G946" s="19"/>
    </row>
    <row r="947">
      <c r="C947" s="19"/>
      <c r="G947" s="19"/>
    </row>
    <row r="948">
      <c r="C948" s="19"/>
      <c r="G948" s="19"/>
    </row>
    <row r="949">
      <c r="C949" s="19"/>
      <c r="G949" s="19"/>
    </row>
    <row r="950">
      <c r="C950" s="19"/>
      <c r="G950" s="19"/>
    </row>
    <row r="951">
      <c r="C951" s="19"/>
      <c r="G951" s="19"/>
    </row>
    <row r="952">
      <c r="C952" s="19"/>
      <c r="G952" s="19"/>
    </row>
    <row r="953">
      <c r="C953" s="19"/>
      <c r="G953" s="19"/>
    </row>
    <row r="954">
      <c r="C954" s="19"/>
      <c r="G954" s="19"/>
    </row>
    <row r="955">
      <c r="C955" s="19"/>
      <c r="G955" s="19"/>
    </row>
    <row r="956">
      <c r="C956" s="19"/>
      <c r="G956" s="19"/>
    </row>
    <row r="957">
      <c r="C957" s="19"/>
      <c r="G957" s="19"/>
    </row>
    <row r="958">
      <c r="C958" s="19"/>
      <c r="G958" s="19"/>
    </row>
    <row r="959">
      <c r="C959" s="19"/>
      <c r="G959" s="19"/>
    </row>
    <row r="960">
      <c r="C960" s="19"/>
      <c r="G960" s="19"/>
    </row>
    <row r="961">
      <c r="C961" s="19"/>
      <c r="G961" s="19"/>
    </row>
    <row r="962">
      <c r="C962" s="19"/>
      <c r="G962" s="19"/>
    </row>
    <row r="963">
      <c r="C963" s="19"/>
      <c r="G963" s="19"/>
    </row>
    <row r="964">
      <c r="C964" s="19"/>
      <c r="G964" s="19"/>
    </row>
    <row r="965">
      <c r="C965" s="19"/>
      <c r="G965" s="19"/>
    </row>
    <row r="966">
      <c r="C966" s="19"/>
      <c r="G966" s="19"/>
    </row>
    <row r="967">
      <c r="C967" s="19"/>
      <c r="G967" s="19"/>
    </row>
    <row r="968">
      <c r="C968" s="19"/>
      <c r="G968" s="19"/>
    </row>
    <row r="969">
      <c r="C969" s="19"/>
      <c r="G969" s="19"/>
    </row>
    <row r="970">
      <c r="C970" s="19"/>
      <c r="G970" s="19"/>
    </row>
    <row r="971">
      <c r="C971" s="19"/>
      <c r="G971" s="19"/>
    </row>
    <row r="972">
      <c r="C972" s="19"/>
      <c r="G972" s="19"/>
    </row>
    <row r="973">
      <c r="C973" s="19"/>
      <c r="G973" s="19"/>
    </row>
    <row r="974">
      <c r="C974" s="19"/>
      <c r="G974" s="19"/>
    </row>
    <row r="975">
      <c r="C975" s="19"/>
      <c r="G975" s="19"/>
    </row>
    <row r="976">
      <c r="C976" s="19"/>
      <c r="G976" s="19"/>
    </row>
    <row r="977">
      <c r="C977" s="19"/>
      <c r="G977" s="19"/>
    </row>
    <row r="978">
      <c r="C978" s="19"/>
      <c r="G978" s="19"/>
    </row>
    <row r="979">
      <c r="C979" s="19"/>
      <c r="G979" s="19"/>
    </row>
    <row r="980">
      <c r="C980" s="19"/>
      <c r="G980" s="19"/>
    </row>
    <row r="981">
      <c r="C981" s="19"/>
      <c r="G981" s="19"/>
    </row>
    <row r="982">
      <c r="C982" s="19"/>
      <c r="G982" s="19"/>
    </row>
    <row r="983">
      <c r="C983" s="19"/>
      <c r="G983" s="19"/>
    </row>
    <row r="984">
      <c r="C984" s="19"/>
      <c r="G984" s="19"/>
    </row>
    <row r="985">
      <c r="C985" s="19"/>
      <c r="G985" s="19"/>
    </row>
    <row r="986">
      <c r="C986" s="19"/>
      <c r="G986" s="19"/>
    </row>
    <row r="987">
      <c r="C987" s="19"/>
      <c r="G987" s="19"/>
    </row>
    <row r="988">
      <c r="C988" s="19"/>
      <c r="G988" s="19"/>
    </row>
    <row r="989">
      <c r="C989" s="19"/>
      <c r="G989" s="19"/>
    </row>
    <row r="990">
      <c r="C990" s="19"/>
      <c r="G990" s="19"/>
    </row>
    <row r="991">
      <c r="C991" s="19"/>
      <c r="G991" s="19"/>
    </row>
    <row r="992">
      <c r="C992" s="19"/>
      <c r="G992" s="19"/>
    </row>
    <row r="993">
      <c r="C993" s="19"/>
      <c r="G993" s="19"/>
    </row>
  </sheetData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outlinePr summaryBelow="0" summaryRight="0"/>
  </sheetPr>
  <sheetViews>
    <sheetView workbookViewId="0"/>
  </sheetViews>
  <sheetFormatPr customHeight="1" defaultColWidth="11.22" defaultRowHeight="15.0"/>
  <cols>
    <col customWidth="1" min="1" max="1" width="11.89"/>
    <col customWidth="1" min="2" max="2" width="13.0"/>
    <col customWidth="1" min="4" max="4" width="12.89"/>
    <col customWidth="1" min="12" max="12" width="11.22"/>
    <col customWidth="1" min="13" max="13" width="13.22"/>
  </cols>
  <sheetData>
    <row r="2">
      <c r="B2" s="34" t="s">
        <v>39</v>
      </c>
      <c r="C2" s="35"/>
      <c r="D2" s="35"/>
      <c r="E2" s="36"/>
      <c r="L2" s="37"/>
      <c r="M2" s="37" t="s">
        <v>40</v>
      </c>
      <c r="N2" s="37"/>
    </row>
    <row r="3">
      <c r="B3" s="38"/>
      <c r="C3" s="15"/>
      <c r="D3" s="15"/>
      <c r="E3" s="39">
        <f>+SUM(E4:E14)</f>
        <v>1</v>
      </c>
      <c r="F3" s="15"/>
      <c r="G3" s="15"/>
      <c r="H3" s="15"/>
      <c r="L3" s="40"/>
      <c r="M3" s="40"/>
      <c r="N3" s="40"/>
    </row>
    <row r="4">
      <c r="B4" s="41" t="s">
        <v>41</v>
      </c>
      <c r="C4" s="15"/>
      <c r="D4" s="42">
        <f>'Planilha de Rentabilidade'!E6</f>
        <v>-127324</v>
      </c>
      <c r="E4" s="39">
        <f t="shared" ref="E4:E14" si="1">D4/$E$15</f>
        <v>-0.04337182776</v>
      </c>
      <c r="F4" s="15"/>
      <c r="G4" s="15"/>
      <c r="H4" s="15"/>
      <c r="L4" s="40" t="s">
        <v>42</v>
      </c>
      <c r="M4" s="43">
        <f>SUM(D5:D7)</f>
        <v>263392.94</v>
      </c>
      <c r="N4" s="44">
        <f t="shared" ref="N4:N14" si="2">M4/$M$15</f>
        <v>0.08972254426</v>
      </c>
    </row>
    <row r="5">
      <c r="B5" s="41" t="s">
        <v>43</v>
      </c>
      <c r="C5" s="15"/>
      <c r="D5" s="42">
        <f>'Planilha de Rentabilidade'!Q6</f>
        <v>56530.06</v>
      </c>
      <c r="E5" s="39">
        <f t="shared" si="1"/>
        <v>0.01925647973</v>
      </c>
      <c r="F5" s="15"/>
      <c r="G5" s="15"/>
      <c r="H5" s="15"/>
      <c r="L5" s="40"/>
      <c r="M5" s="40">
        <v>0.0</v>
      </c>
      <c r="N5" s="44">
        <f t="shared" si="2"/>
        <v>0</v>
      </c>
    </row>
    <row r="6">
      <c r="B6" s="41" t="s">
        <v>44</v>
      </c>
      <c r="C6" s="15"/>
      <c r="D6" s="42">
        <f>+'Planilha de Rentabilidade'!P6</f>
        <v>206862.88</v>
      </c>
      <c r="E6" s="39">
        <f t="shared" si="1"/>
        <v>0.07046606453</v>
      </c>
      <c r="F6" s="15"/>
      <c r="G6" s="15"/>
      <c r="H6" s="15"/>
      <c r="L6" s="40"/>
      <c r="M6" s="40">
        <v>0.0</v>
      </c>
      <c r="N6" s="44">
        <f t="shared" si="2"/>
        <v>0</v>
      </c>
    </row>
    <row r="7">
      <c r="B7" s="41" t="s">
        <v>45</v>
      </c>
      <c r="C7" s="15"/>
      <c r="D7" s="42">
        <f>+0</f>
        <v>0</v>
      </c>
      <c r="E7" s="39">
        <f t="shared" si="1"/>
        <v>0</v>
      </c>
      <c r="F7" s="15"/>
      <c r="G7" s="15"/>
      <c r="H7" s="15"/>
      <c r="L7" s="40" t="s">
        <v>46</v>
      </c>
      <c r="M7" s="43">
        <f>+D11</f>
        <v>153167.21</v>
      </c>
      <c r="N7" s="44">
        <f t="shared" si="2"/>
        <v>0.05217509542</v>
      </c>
    </row>
    <row r="8">
      <c r="B8" s="41" t="s">
        <v>47</v>
      </c>
      <c r="C8" s="15"/>
      <c r="D8" s="42">
        <f>'Planilha de Rentabilidade'!C6+'Planilha de Rentabilidade'!D6</f>
        <v>190332.67</v>
      </c>
      <c r="E8" s="39">
        <f t="shared" si="1"/>
        <v>0.06483519038</v>
      </c>
      <c r="F8" s="15"/>
      <c r="G8" s="15"/>
      <c r="H8" s="15"/>
      <c r="L8" s="40" t="s">
        <v>48</v>
      </c>
      <c r="M8" s="43">
        <f>D8+D12+D13</f>
        <v>981596.56</v>
      </c>
      <c r="N8" s="44">
        <f t="shared" si="2"/>
        <v>0.3343724429</v>
      </c>
    </row>
    <row r="9">
      <c r="B9" s="41" t="s">
        <v>49</v>
      </c>
      <c r="C9" s="15"/>
      <c r="D9" s="42">
        <f>'Planilha de Rentabilidade'!L6</f>
        <v>71851.54</v>
      </c>
      <c r="E9" s="39">
        <f t="shared" si="1"/>
        <v>0.02447561039</v>
      </c>
      <c r="F9" s="15"/>
      <c r="G9" s="15"/>
      <c r="H9" s="15"/>
      <c r="L9" s="40" t="s">
        <v>50</v>
      </c>
      <c r="M9" s="43">
        <f>+D10</f>
        <v>94983.89</v>
      </c>
      <c r="N9" s="44">
        <f t="shared" si="2"/>
        <v>0.03235544686</v>
      </c>
    </row>
    <row r="10">
      <c r="B10" s="41" t="s">
        <v>51</v>
      </c>
      <c r="C10" s="15"/>
      <c r="D10" s="42">
        <f>'Planilha de Rentabilidade'!M6</f>
        <v>94983.89</v>
      </c>
      <c r="E10" s="39">
        <f t="shared" si="1"/>
        <v>0.03235544686</v>
      </c>
      <c r="F10" s="15"/>
      <c r="G10" s="15"/>
      <c r="H10" s="15"/>
      <c r="L10" s="40" t="s">
        <v>49</v>
      </c>
      <c r="M10" s="43">
        <f>D9</f>
        <v>71851.54</v>
      </c>
      <c r="N10" s="44">
        <f t="shared" si="2"/>
        <v>0.02447561039</v>
      </c>
    </row>
    <row r="11">
      <c r="B11" s="41" t="s">
        <v>46</v>
      </c>
      <c r="C11" s="15"/>
      <c r="D11" s="42">
        <f>'Planilha de Rentabilidade'!J6</f>
        <v>153167.21</v>
      </c>
      <c r="E11" s="39">
        <f t="shared" si="1"/>
        <v>0.05217509542</v>
      </c>
      <c r="F11" s="15"/>
      <c r="G11" s="15"/>
      <c r="H11" s="15"/>
      <c r="L11" s="40"/>
      <c r="M11" s="40"/>
      <c r="N11" s="44">
        <f t="shared" si="2"/>
        <v>0</v>
      </c>
    </row>
    <row r="12">
      <c r="B12" s="41" t="s">
        <v>52</v>
      </c>
      <c r="C12" s="15"/>
      <c r="D12" s="42">
        <f>'Planilha de Rentabilidade'!G6+'Planilha de Rentabilidade'!I6+'Planilha de Rentabilidade'!F6</f>
        <v>321108.82</v>
      </c>
      <c r="E12" s="39">
        <f t="shared" si="1"/>
        <v>0.1093829634</v>
      </c>
      <c r="F12" s="15"/>
      <c r="G12" s="15"/>
      <c r="H12" s="15"/>
      <c r="L12" s="40" t="s">
        <v>41</v>
      </c>
      <c r="M12" s="43">
        <f>+D4</f>
        <v>-127324</v>
      </c>
      <c r="N12" s="44">
        <f t="shared" si="2"/>
        <v>-0.04337182776</v>
      </c>
    </row>
    <row r="13">
      <c r="B13" s="45" t="s">
        <v>53</v>
      </c>
      <c r="C13" s="15"/>
      <c r="D13" s="46">
        <f>+'Planilha de Rentabilidade'!V6+'Planilha de Rentabilidade'!S6+'Planilha de Rentabilidade'!K6+'Planilha de Rentabilidade'!H6</f>
        <v>470155.07</v>
      </c>
      <c r="E13" s="39">
        <f t="shared" si="1"/>
        <v>0.1601542892</v>
      </c>
      <c r="F13" s="15"/>
      <c r="G13" s="15"/>
      <c r="H13" s="15"/>
      <c r="L13" s="40"/>
      <c r="M13" s="40"/>
      <c r="N13" s="44">
        <f t="shared" si="2"/>
        <v>0</v>
      </c>
    </row>
    <row r="14">
      <c r="B14" s="41" t="s">
        <v>54</v>
      </c>
      <c r="C14" s="15"/>
      <c r="D14" s="42">
        <f>B33</f>
        <v>1497970.19</v>
      </c>
      <c r="E14" s="39">
        <f t="shared" si="1"/>
        <v>0.5102706879</v>
      </c>
      <c r="F14" s="15"/>
      <c r="G14" s="15"/>
      <c r="H14" s="15"/>
      <c r="L14" s="47" t="s">
        <v>55</v>
      </c>
      <c r="M14" s="43">
        <f>D14</f>
        <v>1497970.19</v>
      </c>
      <c r="N14" s="44">
        <f t="shared" si="2"/>
        <v>0.5102706879</v>
      </c>
    </row>
    <row r="15">
      <c r="B15" s="48"/>
      <c r="C15" s="49" t="s">
        <v>56</v>
      </c>
      <c r="D15" s="49"/>
      <c r="E15" s="50">
        <f>SUM(D4:D14)</f>
        <v>2935638.33</v>
      </c>
      <c r="F15" s="15"/>
      <c r="G15" s="15"/>
      <c r="H15" s="15"/>
      <c r="L15" s="51"/>
      <c r="M15" s="52">
        <f t="shared" ref="M15:N15" si="3">SUM(M4:M14)</f>
        <v>2935638.33</v>
      </c>
      <c r="N15" s="53">
        <f t="shared" si="3"/>
        <v>1</v>
      </c>
    </row>
    <row r="16">
      <c r="C16" s="54"/>
      <c r="D16" s="15"/>
      <c r="E16" s="15"/>
      <c r="F16" s="15"/>
      <c r="G16" s="15"/>
      <c r="H16" s="15"/>
    </row>
    <row r="17">
      <c r="C17" s="54"/>
      <c r="D17" s="15"/>
      <c r="E17" s="15"/>
      <c r="F17" s="15"/>
      <c r="G17" s="15"/>
      <c r="H17" s="15"/>
    </row>
    <row r="18">
      <c r="B18" s="34" t="s">
        <v>57</v>
      </c>
      <c r="C18" s="55"/>
      <c r="D18" s="56"/>
      <c r="E18" s="57"/>
      <c r="G18" s="15"/>
      <c r="H18" s="15"/>
    </row>
    <row r="19">
      <c r="B19" s="58"/>
      <c r="C19" s="59" t="s">
        <v>58</v>
      </c>
      <c r="D19" s="15"/>
      <c r="E19" s="60"/>
      <c r="F19" s="15"/>
      <c r="G19" s="15"/>
      <c r="H19" s="15"/>
    </row>
    <row r="20">
      <c r="B20" s="61">
        <f>'Planilha de Rentabilidade'!T6+'Planilha de Rentabilidade'!W6+'Planilha de Rentabilidade'!Z6+'Planilha de Rentabilidade'!AA6+'Planilha de Rentabilidade'!AD6+'Planilha de Rentabilidade'!AF6</f>
        <v>677914.78</v>
      </c>
      <c r="C20" s="54">
        <f t="shared" ref="C20:C33" si="4">B20/$B$33</f>
        <v>0.4525555879</v>
      </c>
      <c r="D20" s="62" t="s">
        <v>59</v>
      </c>
      <c r="E20" s="60"/>
      <c r="F20" s="15"/>
      <c r="G20" s="15"/>
      <c r="H20" s="15"/>
    </row>
    <row r="21">
      <c r="B21" s="63">
        <f>'Planilha de Rentabilidade'!O6</f>
        <v>76467</v>
      </c>
      <c r="C21" s="54">
        <f t="shared" si="4"/>
        <v>0.05104707725</v>
      </c>
      <c r="D21" s="64" t="s">
        <v>60</v>
      </c>
      <c r="E21" s="60"/>
      <c r="F21" s="15"/>
      <c r="G21" s="15"/>
      <c r="H21" s="15"/>
    </row>
    <row r="22">
      <c r="B22" s="63">
        <f>'Planilha de Rentabilidade'!AB6+'Planilha de Rentabilidade'!U6</f>
        <v>365972.97</v>
      </c>
      <c r="C22" s="54">
        <f t="shared" si="4"/>
        <v>0.2443125854</v>
      </c>
      <c r="D22" s="64" t="s">
        <v>61</v>
      </c>
      <c r="E22" s="60"/>
      <c r="F22" s="15"/>
      <c r="G22" s="15"/>
      <c r="H22" s="15"/>
    </row>
    <row r="23">
      <c r="B23" s="63">
        <f>'Planilha de Rentabilidade'!AG6</f>
        <v>1302.96</v>
      </c>
      <c r="C23" s="54">
        <f t="shared" si="4"/>
        <v>0.0008698170422</v>
      </c>
      <c r="D23" s="64" t="s">
        <v>62</v>
      </c>
      <c r="E23" s="60"/>
      <c r="F23" s="15"/>
      <c r="G23" s="15"/>
      <c r="H23" s="15"/>
    </row>
    <row r="24">
      <c r="B24" s="63">
        <f>0</f>
        <v>0</v>
      </c>
      <c r="C24" s="54">
        <f t="shared" si="4"/>
        <v>0</v>
      </c>
      <c r="D24" s="64" t="s">
        <v>63</v>
      </c>
      <c r="E24" s="65"/>
      <c r="F24" s="15"/>
      <c r="G24" s="15"/>
      <c r="H24" s="15"/>
    </row>
    <row r="25">
      <c r="B25" s="63">
        <f>'Planilha de Rentabilidade'!AE6</f>
        <v>0</v>
      </c>
      <c r="C25" s="54">
        <f t="shared" si="4"/>
        <v>0</v>
      </c>
      <c r="D25" s="64" t="s">
        <v>64</v>
      </c>
      <c r="E25" s="60"/>
      <c r="F25" s="15"/>
      <c r="G25" s="15"/>
      <c r="H25" s="15"/>
    </row>
    <row r="26">
      <c r="B26" s="63">
        <f>+'Planilha de Rentabilidade'!R6</f>
        <v>0</v>
      </c>
      <c r="C26" s="54">
        <f t="shared" si="4"/>
        <v>0</v>
      </c>
      <c r="D26" s="64" t="s">
        <v>65</v>
      </c>
      <c r="E26" s="60"/>
      <c r="F26" s="15"/>
      <c r="G26" s="15"/>
      <c r="H26" s="15"/>
    </row>
    <row r="27">
      <c r="B27" s="63">
        <v>0.0</v>
      </c>
      <c r="C27" s="54">
        <f t="shared" si="4"/>
        <v>0</v>
      </c>
      <c r="D27" s="64" t="s">
        <v>66</v>
      </c>
      <c r="E27" s="60"/>
      <c r="F27" s="15"/>
      <c r="G27" s="15"/>
      <c r="H27" s="15"/>
    </row>
    <row r="28">
      <c r="B28" s="63">
        <v>0.0</v>
      </c>
      <c r="C28" s="54">
        <f t="shared" si="4"/>
        <v>0</v>
      </c>
      <c r="D28" s="64" t="s">
        <v>67</v>
      </c>
      <c r="E28" s="60"/>
      <c r="F28" s="15"/>
      <c r="G28" s="15"/>
      <c r="H28" s="15"/>
    </row>
    <row r="29">
      <c r="B29" s="63">
        <f>'Planilha de Rentabilidade'!X6+'Planilha de Rentabilidade'!Y6</f>
        <v>250839.54</v>
      </c>
      <c r="C29" s="54">
        <f t="shared" si="4"/>
        <v>0.1674529585</v>
      </c>
      <c r="D29" s="64" t="s">
        <v>68</v>
      </c>
      <c r="E29" s="60"/>
      <c r="F29" s="15"/>
      <c r="G29" s="15"/>
      <c r="H29" s="15"/>
    </row>
    <row r="30">
      <c r="B30" s="63">
        <f>0</f>
        <v>0</v>
      </c>
      <c r="C30" s="54">
        <f t="shared" si="4"/>
        <v>0</v>
      </c>
      <c r="D30" s="64" t="s">
        <v>69</v>
      </c>
      <c r="E30" s="60"/>
      <c r="F30" s="15"/>
      <c r="G30" s="15"/>
      <c r="H30" s="15"/>
    </row>
    <row r="31">
      <c r="B31" s="63">
        <f>'Planilha de Rentabilidade'!AH6+'Planilha de Rentabilidade'!N6</f>
        <v>125472.94</v>
      </c>
      <c r="C31" s="54">
        <f t="shared" si="4"/>
        <v>0.08376197393</v>
      </c>
      <c r="D31" s="64" t="s">
        <v>70</v>
      </c>
      <c r="E31" s="60"/>
      <c r="F31" s="15"/>
      <c r="G31" s="15"/>
      <c r="H31" s="15"/>
    </row>
    <row r="32">
      <c r="B32" s="63">
        <f>+'Planilha de Rentabilidade'!AC6</f>
        <v>0</v>
      </c>
      <c r="C32" s="54">
        <f t="shared" si="4"/>
        <v>0</v>
      </c>
      <c r="D32" s="66" t="s">
        <v>71</v>
      </c>
      <c r="E32" s="60"/>
      <c r="F32" s="15"/>
      <c r="G32" s="15"/>
      <c r="H32" s="15"/>
    </row>
    <row r="33">
      <c r="B33" s="67">
        <f>SUM(B20:B32)</f>
        <v>1497970.19</v>
      </c>
      <c r="C33" s="68">
        <f t="shared" si="4"/>
        <v>1</v>
      </c>
      <c r="D33" s="69"/>
      <c r="E33" s="70"/>
      <c r="F33" s="15"/>
      <c r="G33" s="15"/>
      <c r="H33" s="15"/>
    </row>
  </sheetData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outlinePr summaryBelow="0" summaryRight="0"/>
  </sheetPr>
  <sheetViews>
    <sheetView workbookViewId="0"/>
  </sheetViews>
  <sheetFormatPr customHeight="1" defaultColWidth="11.22" defaultRowHeight="15.0"/>
  <cols>
    <col customWidth="1" min="5" max="5" width="13.78"/>
    <col customWidth="1" min="13" max="13" width="13.33"/>
  </cols>
  <sheetData>
    <row r="2">
      <c r="B2" s="34" t="s">
        <v>72</v>
      </c>
      <c r="C2" s="35"/>
      <c r="D2" s="35"/>
      <c r="E2" s="36"/>
      <c r="L2" s="37"/>
      <c r="M2" s="37" t="s">
        <v>40</v>
      </c>
      <c r="N2" s="37"/>
    </row>
    <row r="3">
      <c r="B3" s="38"/>
      <c r="C3" s="15"/>
      <c r="D3" s="15"/>
      <c r="E3" s="39">
        <f>+SUM(E4:E14)</f>
        <v>1</v>
      </c>
      <c r="F3" s="15"/>
      <c r="G3" s="15"/>
      <c r="H3" s="15"/>
      <c r="L3" s="40"/>
      <c r="M3" s="40"/>
      <c r="N3" s="40"/>
    </row>
    <row r="4">
      <c r="B4" s="41" t="s">
        <v>41</v>
      </c>
      <c r="C4" s="15"/>
      <c r="D4" s="42">
        <f>+'Planilha de Rentabilidade'!E14</f>
        <v>97295.86</v>
      </c>
      <c r="E4" s="39">
        <f t="shared" ref="E4:E14" si="1">D4/$E$15</f>
        <v>0.03727275267</v>
      </c>
      <c r="F4" s="15"/>
      <c r="G4" s="15"/>
      <c r="H4" s="15"/>
      <c r="L4" s="40" t="s">
        <v>42</v>
      </c>
      <c r="M4" s="43">
        <f>SUM(D5:D7)</f>
        <v>266668.43</v>
      </c>
      <c r="N4" s="44">
        <f t="shared" ref="N4:N14" si="2">M4/$M$15</f>
        <v>0.1021571364</v>
      </c>
    </row>
    <row r="5">
      <c r="B5" s="41" t="s">
        <v>43</v>
      </c>
      <c r="C5" s="15"/>
      <c r="D5" s="42">
        <f>+'Planilha de Rentabilidade'!Q14</f>
        <v>57065.36</v>
      </c>
      <c r="E5" s="39">
        <f t="shared" si="1"/>
        <v>0.02186098206</v>
      </c>
      <c r="F5" s="15"/>
      <c r="G5" s="15"/>
      <c r="H5" s="15"/>
      <c r="L5" s="40"/>
      <c r="M5" s="40">
        <v>0.0</v>
      </c>
      <c r="N5" s="44">
        <f t="shared" si="2"/>
        <v>0</v>
      </c>
    </row>
    <row r="6">
      <c r="B6" s="41" t="s">
        <v>44</v>
      </c>
      <c r="C6" s="15"/>
      <c r="D6" s="42">
        <f>+'Planilha de Rentabilidade'!P14</f>
        <v>209603.07</v>
      </c>
      <c r="E6" s="39">
        <f t="shared" si="1"/>
        <v>0.08029615431</v>
      </c>
      <c r="F6" s="15"/>
      <c r="G6" s="15"/>
      <c r="H6" s="15"/>
      <c r="L6" s="40"/>
      <c r="M6" s="40">
        <v>0.0</v>
      </c>
      <c r="N6" s="44">
        <f t="shared" si="2"/>
        <v>0</v>
      </c>
    </row>
    <row r="7">
      <c r="B7" s="41" t="s">
        <v>45</v>
      </c>
      <c r="C7" s="15"/>
      <c r="D7" s="71">
        <v>0.0</v>
      </c>
      <c r="E7" s="39">
        <f t="shared" si="1"/>
        <v>0</v>
      </c>
      <c r="F7" s="15"/>
      <c r="G7" s="15"/>
      <c r="H7" s="15"/>
      <c r="L7" s="40" t="s">
        <v>46</v>
      </c>
      <c r="M7" s="43">
        <f>+D11</f>
        <v>0</v>
      </c>
      <c r="N7" s="44">
        <f t="shared" si="2"/>
        <v>0</v>
      </c>
    </row>
    <row r="8">
      <c r="B8" s="41" t="s">
        <v>47</v>
      </c>
      <c r="C8" s="15"/>
      <c r="D8" s="42">
        <f>+'Planilha de Rentabilidade'!C14+'Planilha de Rentabilidade'!D14</f>
        <v>192324.57</v>
      </c>
      <c r="E8" s="39">
        <f t="shared" si="1"/>
        <v>0.07367699027</v>
      </c>
      <c r="F8" s="15"/>
      <c r="G8" s="15"/>
      <c r="H8" s="15"/>
      <c r="L8" s="40" t="s">
        <v>48</v>
      </c>
      <c r="M8" s="43">
        <f>D8+D12+D13</f>
        <v>983464.26</v>
      </c>
      <c r="N8" s="44">
        <f t="shared" si="2"/>
        <v>0.3767521057</v>
      </c>
    </row>
    <row r="9">
      <c r="B9" s="41" t="s">
        <v>49</v>
      </c>
      <c r="C9" s="15"/>
      <c r="D9" s="42">
        <f>'Planilha de Rentabilidade'!L14</f>
        <v>73131.55</v>
      </c>
      <c r="E9" s="39">
        <f t="shared" si="1"/>
        <v>0.02801572622</v>
      </c>
      <c r="F9" s="15"/>
      <c r="G9" s="15"/>
      <c r="H9" s="15"/>
      <c r="L9" s="40" t="s">
        <v>50</v>
      </c>
      <c r="M9" s="43">
        <f>+D10</f>
        <v>94983.89</v>
      </c>
      <c r="N9" s="44">
        <f t="shared" si="2"/>
        <v>0.03638706765</v>
      </c>
    </row>
    <row r="10">
      <c r="B10" s="41" t="s">
        <v>51</v>
      </c>
      <c r="C10" s="15"/>
      <c r="D10" s="42">
        <f>'Planilha de Rentabilidade'!M14</f>
        <v>94983.89</v>
      </c>
      <c r="E10" s="39">
        <f t="shared" si="1"/>
        <v>0.03638706765</v>
      </c>
      <c r="F10" s="15"/>
      <c r="G10" s="15"/>
      <c r="H10" s="15"/>
      <c r="L10" s="40" t="s">
        <v>49</v>
      </c>
      <c r="M10" s="43">
        <f>D9</f>
        <v>73131.55</v>
      </c>
      <c r="N10" s="44">
        <f t="shared" si="2"/>
        <v>0.02801572622</v>
      </c>
    </row>
    <row r="11">
      <c r="B11" s="41" t="s">
        <v>46</v>
      </c>
      <c r="C11" s="15"/>
      <c r="D11" s="42">
        <f>+'Planilha de Rentabilidade'!J14</f>
        <v>0</v>
      </c>
      <c r="E11" s="39">
        <f t="shared" si="1"/>
        <v>0</v>
      </c>
      <c r="F11" s="15"/>
      <c r="G11" s="15"/>
      <c r="H11" s="15"/>
      <c r="L11" s="40"/>
      <c r="M11" s="40"/>
      <c r="N11" s="44">
        <f t="shared" si="2"/>
        <v>0</v>
      </c>
    </row>
    <row r="12">
      <c r="B12" s="41" t="s">
        <v>52</v>
      </c>
      <c r="C12" s="15"/>
      <c r="D12" s="42">
        <f>'Planilha de Rentabilidade'!G14+'Planilha de Rentabilidade'!I14</f>
        <v>324605.16</v>
      </c>
      <c r="E12" s="39">
        <f t="shared" si="1"/>
        <v>0.1243519287</v>
      </c>
      <c r="F12" s="15"/>
      <c r="G12" s="15"/>
      <c r="H12" s="15"/>
      <c r="L12" s="40" t="s">
        <v>41</v>
      </c>
      <c r="M12" s="43">
        <f>+D4</f>
        <v>97295.86</v>
      </c>
      <c r="N12" s="44">
        <f t="shared" si="2"/>
        <v>0.03727275267</v>
      </c>
    </row>
    <row r="13">
      <c r="B13" s="45" t="s">
        <v>53</v>
      </c>
      <c r="C13" s="15"/>
      <c r="D13" s="46">
        <f>+'Planilha de Rentabilidade'!H14+'Planilha de Rentabilidade'!K14+'Planilha de Rentabilidade'!S14+'Planilha de Rentabilidade'!V14</f>
        <v>466534.53</v>
      </c>
      <c r="E13" s="39">
        <f t="shared" si="1"/>
        <v>0.1787231867</v>
      </c>
      <c r="F13" s="15"/>
      <c r="G13" s="15"/>
      <c r="H13" s="15"/>
      <c r="L13" s="40"/>
      <c r="M13" s="40"/>
      <c r="N13" s="44">
        <f t="shared" si="2"/>
        <v>0</v>
      </c>
    </row>
    <row r="14">
      <c r="B14" s="41" t="s">
        <v>54</v>
      </c>
      <c r="C14" s="15"/>
      <c r="D14" s="42">
        <f>B33</f>
        <v>1094830.963</v>
      </c>
      <c r="E14" s="39">
        <f t="shared" si="1"/>
        <v>0.4194152114</v>
      </c>
      <c r="F14" s="15"/>
      <c r="G14" s="15"/>
      <c r="H14" s="15"/>
      <c r="L14" s="40" t="s">
        <v>73</v>
      </c>
      <c r="M14" s="43">
        <f>D14</f>
        <v>1094830.963</v>
      </c>
      <c r="N14" s="44">
        <f t="shared" si="2"/>
        <v>0.4194152114</v>
      </c>
    </row>
    <row r="15">
      <c r="B15" s="48"/>
      <c r="C15" s="49" t="s">
        <v>56</v>
      </c>
      <c r="D15" s="49"/>
      <c r="E15" s="72">
        <f>SUM(D4:D14)</f>
        <v>2610374.953</v>
      </c>
      <c r="F15" s="15"/>
      <c r="G15" s="15"/>
      <c r="H15" s="15"/>
      <c r="L15" s="51"/>
      <c r="M15" s="73">
        <f t="shared" ref="M15:N15" si="3">SUM(M4:M14)</f>
        <v>2610374.953</v>
      </c>
      <c r="N15" s="53">
        <f t="shared" si="3"/>
        <v>1</v>
      </c>
    </row>
    <row r="16">
      <c r="C16" s="54"/>
      <c r="D16" s="15"/>
      <c r="E16" s="15"/>
      <c r="F16" s="15"/>
      <c r="G16" s="15"/>
      <c r="H16" s="15"/>
    </row>
    <row r="17">
      <c r="C17" s="54"/>
      <c r="D17" s="15"/>
      <c r="E17" s="15"/>
      <c r="F17" s="15"/>
      <c r="G17" s="15"/>
      <c r="H17" s="15"/>
    </row>
    <row r="18">
      <c r="B18" s="34" t="s">
        <v>74</v>
      </c>
      <c r="C18" s="55"/>
      <c r="D18" s="56"/>
      <c r="E18" s="57"/>
      <c r="G18" s="15"/>
      <c r="H18" s="15"/>
    </row>
    <row r="19">
      <c r="B19" s="58"/>
      <c r="C19" s="59" t="s">
        <v>58</v>
      </c>
      <c r="D19" s="15"/>
      <c r="E19" s="60"/>
      <c r="F19" s="15"/>
      <c r="G19" s="15"/>
      <c r="H19" s="15"/>
    </row>
    <row r="20">
      <c r="B20" s="74">
        <f>'Planilha de Rentabilidade'!Z14+'Planilha de Rentabilidade'!AA14+'Planilha de Rentabilidade'!W14+'Planilha de Rentabilidade'!AD14</f>
        <v>585116.4</v>
      </c>
      <c r="C20" s="54">
        <f t="shared" ref="C20:C30" si="4">B20/$B$33</f>
        <v>0.5344353786</v>
      </c>
      <c r="D20" s="62" t="s">
        <v>59</v>
      </c>
      <c r="E20" s="60"/>
      <c r="F20" s="15"/>
      <c r="G20" s="15"/>
      <c r="H20" s="15"/>
    </row>
    <row r="21">
      <c r="B21" s="63">
        <f>+'Planilha de Rentabilidade'!O14</f>
        <v>71213</v>
      </c>
      <c r="C21" s="54">
        <f t="shared" si="4"/>
        <v>0.06504474428</v>
      </c>
      <c r="D21" s="64" t="s">
        <v>60</v>
      </c>
      <c r="E21" s="60"/>
      <c r="F21" s="15"/>
      <c r="G21" s="15"/>
      <c r="H21" s="15"/>
    </row>
    <row r="22">
      <c r="B22" s="63">
        <f>'Planilha de Rentabilidade'!AB14+'Planilha de Rentabilidade'!U14</f>
        <v>267246</v>
      </c>
      <c r="C22" s="54">
        <f t="shared" si="4"/>
        <v>0.2440979559</v>
      </c>
      <c r="D22" s="64" t="s">
        <v>61</v>
      </c>
      <c r="E22" s="60"/>
      <c r="F22" s="15"/>
      <c r="G22" s="15"/>
      <c r="H22" s="15"/>
    </row>
    <row r="23">
      <c r="B23" s="63">
        <v>0.0</v>
      </c>
      <c r="C23" s="54">
        <f t="shared" si="4"/>
        <v>0</v>
      </c>
      <c r="D23" s="64" t="s">
        <v>62</v>
      </c>
      <c r="E23" s="60"/>
      <c r="F23" s="15"/>
      <c r="G23" s="15"/>
      <c r="H23" s="15"/>
    </row>
    <row r="24">
      <c r="B24" s="63">
        <f>'Planilha de Rentabilidade'!AH14</f>
        <v>0</v>
      </c>
      <c r="C24" s="54">
        <f t="shared" si="4"/>
        <v>0</v>
      </c>
      <c r="D24" s="64" t="s">
        <v>63</v>
      </c>
      <c r="E24" s="65"/>
      <c r="F24" s="15"/>
      <c r="G24" s="15"/>
      <c r="H24" s="15"/>
    </row>
    <row r="25">
      <c r="B25" s="63">
        <v>0.0</v>
      </c>
      <c r="C25" s="54">
        <f t="shared" si="4"/>
        <v>0</v>
      </c>
      <c r="D25" s="64" t="s">
        <v>64</v>
      </c>
      <c r="E25" s="60"/>
      <c r="F25" s="15"/>
      <c r="G25" s="15"/>
      <c r="H25" s="15"/>
    </row>
    <row r="26">
      <c r="B26" s="75">
        <v>0.0</v>
      </c>
      <c r="C26" s="54">
        <f t="shared" si="4"/>
        <v>0</v>
      </c>
      <c r="D26" s="64" t="s">
        <v>65</v>
      </c>
      <c r="E26" s="60"/>
      <c r="F26" s="15"/>
      <c r="G26" s="15"/>
      <c r="H26" s="15"/>
    </row>
    <row r="27">
      <c r="B27" s="63">
        <v>0.0</v>
      </c>
      <c r="C27" s="54">
        <f t="shared" si="4"/>
        <v>0</v>
      </c>
      <c r="D27" s="64" t="s">
        <v>66</v>
      </c>
      <c r="E27" s="60"/>
      <c r="F27" s="15"/>
      <c r="G27" s="15"/>
      <c r="H27" s="15"/>
    </row>
    <row r="28">
      <c r="B28" s="63">
        <v>0.0</v>
      </c>
      <c r="C28" s="54">
        <f t="shared" si="4"/>
        <v>0</v>
      </c>
      <c r="D28" s="64" t="s">
        <v>67</v>
      </c>
      <c r="E28" s="60"/>
      <c r="F28" s="15"/>
      <c r="G28" s="15"/>
      <c r="H28" s="15"/>
    </row>
    <row r="29">
      <c r="B29" s="63">
        <f>+'Planilha de Rentabilidade'!X14+'Planilha de Rentabilidade'!Y14</f>
        <v>118964.67</v>
      </c>
      <c r="C29" s="54">
        <f t="shared" si="4"/>
        <v>0.1086603084</v>
      </c>
      <c r="D29" s="64" t="s">
        <v>68</v>
      </c>
      <c r="E29" s="60"/>
      <c r="F29" s="15"/>
      <c r="G29" s="15"/>
      <c r="H29" s="15"/>
    </row>
    <row r="30">
      <c r="B30" s="63">
        <f>'Planilha de Rentabilidade'!AB79+'Planilha de Rentabilidade'!AC79</f>
        <v>0.1626965412</v>
      </c>
      <c r="C30" s="54">
        <f t="shared" si="4"/>
        <v>0.0000001486042565</v>
      </c>
      <c r="D30" s="64" t="s">
        <v>69</v>
      </c>
      <c r="E30" s="60"/>
      <c r="F30" s="15"/>
      <c r="G30" s="15"/>
      <c r="H30" s="15"/>
    </row>
    <row r="31">
      <c r="B31" s="63">
        <f>+'Planilha de Rentabilidade'!N14</f>
        <v>52290.73</v>
      </c>
      <c r="C31" s="54">
        <f>SUM(C20:C30)</f>
        <v>0.9522385356</v>
      </c>
      <c r="D31" s="64" t="s">
        <v>70</v>
      </c>
      <c r="E31" s="60"/>
      <c r="F31" s="15"/>
      <c r="G31" s="15"/>
      <c r="H31" s="15"/>
    </row>
    <row r="32">
      <c r="B32" s="38"/>
      <c r="C32" s="54"/>
      <c r="D32" s="66" t="s">
        <v>71</v>
      </c>
      <c r="E32" s="60"/>
      <c r="F32" s="15"/>
      <c r="G32" s="15"/>
      <c r="H32" s="15"/>
    </row>
    <row r="33">
      <c r="B33" s="67">
        <f>SUM(B20:B32)</f>
        <v>1094830.963</v>
      </c>
      <c r="C33" s="68">
        <f>B33/$B$33</f>
        <v>1</v>
      </c>
      <c r="D33" s="69"/>
      <c r="E33" s="70"/>
      <c r="F33" s="15"/>
      <c r="G33" s="15"/>
      <c r="H33" s="15"/>
    </row>
  </sheetData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outlinePr summaryBelow="0" summaryRight="0"/>
  </sheetPr>
  <sheetViews>
    <sheetView workbookViewId="0"/>
  </sheetViews>
  <sheetFormatPr customHeight="1" defaultColWidth="11.22" defaultRowHeight="15.0"/>
  <cols>
    <col customWidth="1" min="1" max="1" width="6.0"/>
    <col customWidth="1" min="2" max="2" width="13.33"/>
    <col customWidth="1" min="3" max="3" width="18.33"/>
    <col customWidth="1" min="4" max="4" width="17.56"/>
    <col customWidth="1" min="5" max="5" width="14.22"/>
    <col customWidth="1" min="10" max="10" width="9.22"/>
    <col customWidth="1" min="11" max="11" width="4.56"/>
    <col customWidth="1" min="12" max="12" width="14.33"/>
    <col customWidth="1" min="13" max="13" width="12.89"/>
    <col customWidth="1" min="14" max="14" width="6.56"/>
  </cols>
  <sheetData>
    <row r="2">
      <c r="B2" s="34" t="s">
        <v>75</v>
      </c>
      <c r="C2" s="35"/>
      <c r="D2" s="35"/>
      <c r="E2" s="36"/>
      <c r="L2" s="37"/>
      <c r="M2" s="37" t="s">
        <v>40</v>
      </c>
      <c r="N2" s="37"/>
    </row>
    <row r="3">
      <c r="B3" s="38"/>
      <c r="C3" s="15"/>
      <c r="D3" s="15"/>
      <c r="E3" s="39">
        <f>+SUM(E4:E14)</f>
        <v>1</v>
      </c>
      <c r="F3" s="15"/>
      <c r="G3" s="15"/>
      <c r="H3" s="15"/>
      <c r="L3" s="40"/>
      <c r="M3" s="40"/>
      <c r="N3" s="40"/>
    </row>
    <row r="4">
      <c r="B4" s="41" t="s">
        <v>41</v>
      </c>
      <c r="C4" s="15"/>
      <c r="D4" s="42">
        <f>+'Planilha de Rentabilidade'!E30</f>
        <v>437.44</v>
      </c>
      <c r="E4" s="39">
        <f t="shared" ref="E4:E14" si="1">D4/$E$15</f>
        <v>0.0001464295386</v>
      </c>
      <c r="F4" s="15"/>
      <c r="G4" s="15"/>
      <c r="H4" s="15"/>
      <c r="L4" s="40" t="s">
        <v>42</v>
      </c>
      <c r="M4" s="43">
        <f>SUM(D5:D7)</f>
        <v>274267.43</v>
      </c>
      <c r="N4" s="44">
        <f t="shared" ref="N4:N14" si="2">M4/$M$15</f>
        <v>0.09180882688</v>
      </c>
    </row>
    <row r="5">
      <c r="B5" s="41" t="s">
        <v>43</v>
      </c>
      <c r="C5" s="15"/>
      <c r="D5" s="42">
        <f>+'Planilha de Rentabilidade'!Q30</f>
        <v>59322.84</v>
      </c>
      <c r="E5" s="39">
        <f t="shared" si="1"/>
        <v>0.01985784585</v>
      </c>
      <c r="F5" s="15"/>
      <c r="G5" s="15"/>
      <c r="H5" s="15"/>
      <c r="L5" s="40"/>
      <c r="M5" s="40">
        <v>0.0</v>
      </c>
      <c r="N5" s="44">
        <f t="shared" si="2"/>
        <v>0</v>
      </c>
    </row>
    <row r="6">
      <c r="B6" s="41" t="s">
        <v>44</v>
      </c>
      <c r="C6" s="15"/>
      <c r="D6" s="42">
        <f>+'Planilha de Rentabilidade'!P30</f>
        <v>214944.59</v>
      </c>
      <c r="E6" s="39">
        <f t="shared" si="1"/>
        <v>0.07195098102</v>
      </c>
      <c r="F6" s="15"/>
      <c r="G6" s="15"/>
      <c r="H6" s="15"/>
      <c r="L6" s="40"/>
      <c r="M6" s="40">
        <v>0.0</v>
      </c>
      <c r="N6" s="44">
        <f t="shared" si="2"/>
        <v>0</v>
      </c>
    </row>
    <row r="7">
      <c r="B7" s="41" t="s">
        <v>45</v>
      </c>
      <c r="C7" s="15"/>
      <c r="D7" s="71">
        <v>0.0</v>
      </c>
      <c r="E7" s="39">
        <f t="shared" si="1"/>
        <v>0</v>
      </c>
      <c r="F7" s="15"/>
      <c r="G7" s="15"/>
      <c r="H7" s="15"/>
      <c r="L7" s="40" t="s">
        <v>46</v>
      </c>
      <c r="M7" s="43">
        <f>+D11</f>
        <v>0</v>
      </c>
      <c r="N7" s="44">
        <f t="shared" si="2"/>
        <v>0</v>
      </c>
    </row>
    <row r="8">
      <c r="B8" s="41" t="s">
        <v>47</v>
      </c>
      <c r="C8" s="76" t="s">
        <v>76</v>
      </c>
      <c r="D8" s="42">
        <f>+'Planilha de Rentabilidade'!C30+'Planilha de Rentabilidade'!D30+'Planilha de Rentabilidade'!F30</f>
        <v>196112.79</v>
      </c>
      <c r="E8" s="39">
        <f t="shared" si="1"/>
        <v>0.06564718671</v>
      </c>
      <c r="F8" s="15"/>
      <c r="G8" s="15"/>
      <c r="H8" s="15"/>
      <c r="L8" s="40" t="s">
        <v>48</v>
      </c>
      <c r="M8" s="43">
        <f>D8+D12+D13</f>
        <v>1042830.09</v>
      </c>
      <c r="N8" s="44">
        <f t="shared" si="2"/>
        <v>0.3490790255</v>
      </c>
    </row>
    <row r="9">
      <c r="B9" s="41" t="s">
        <v>49</v>
      </c>
      <c r="C9" s="15"/>
      <c r="D9" s="42">
        <f>'Planilha de Rentabilidade'!L30</f>
        <v>59389.03</v>
      </c>
      <c r="E9" s="39">
        <f t="shared" si="1"/>
        <v>0.01988000243</v>
      </c>
      <c r="F9" s="15"/>
      <c r="G9" s="15"/>
      <c r="H9" s="15"/>
      <c r="L9" s="47" t="s">
        <v>77</v>
      </c>
      <c r="M9" s="43">
        <f>+D10+D9</f>
        <v>168411.49</v>
      </c>
      <c r="N9" s="44">
        <f t="shared" si="2"/>
        <v>0.05637439826</v>
      </c>
    </row>
    <row r="10">
      <c r="B10" s="41" t="s">
        <v>51</v>
      </c>
      <c r="C10" s="15"/>
      <c r="D10" s="42">
        <f>'Planilha de Rentabilidade'!M30</f>
        <v>109022.46</v>
      </c>
      <c r="E10" s="39">
        <f t="shared" si="1"/>
        <v>0.03649439584</v>
      </c>
      <c r="F10" s="15"/>
      <c r="G10" s="15"/>
      <c r="H10" s="15"/>
      <c r="L10" s="40"/>
      <c r="M10" s="43"/>
      <c r="N10" s="44">
        <f t="shared" si="2"/>
        <v>0</v>
      </c>
    </row>
    <row r="11">
      <c r="B11" s="41" t="s">
        <v>46</v>
      </c>
      <c r="C11" s="15"/>
      <c r="D11" s="42">
        <f>+0</f>
        <v>0</v>
      </c>
      <c r="E11" s="39">
        <f t="shared" si="1"/>
        <v>0</v>
      </c>
      <c r="F11" s="15"/>
      <c r="G11" s="15"/>
      <c r="H11" s="15"/>
      <c r="L11" s="40"/>
      <c r="M11" s="40"/>
      <c r="N11" s="44">
        <f t="shared" si="2"/>
        <v>0</v>
      </c>
    </row>
    <row r="12">
      <c r="B12" s="41" t="s">
        <v>52</v>
      </c>
      <c r="C12" s="15"/>
      <c r="D12" s="42">
        <f>+'Planilha de Rentabilidade'!G30+'Planilha de Rentabilidade'!I30</f>
        <v>331164.65</v>
      </c>
      <c r="E12" s="39">
        <f t="shared" si="1"/>
        <v>0.1108547159</v>
      </c>
      <c r="F12" s="15"/>
      <c r="G12" s="15"/>
      <c r="H12" s="15"/>
      <c r="L12" s="40" t="s">
        <v>41</v>
      </c>
      <c r="M12" s="43">
        <f>+D4</f>
        <v>437.44</v>
      </c>
      <c r="N12" s="44">
        <f t="shared" si="2"/>
        <v>0.0001464295386</v>
      </c>
    </row>
    <row r="13">
      <c r="B13" s="45" t="s">
        <v>53</v>
      </c>
      <c r="C13" s="15"/>
      <c r="D13" s="46">
        <f>+'Planilha de Rentabilidade'!H30+'Planilha de Rentabilidade'!J30+'Planilha de Rentabilidade'!K30+'Planilha de Rentabilidade'!S30+'Planilha de Rentabilidade'!V30</f>
        <v>515552.65</v>
      </c>
      <c r="E13" s="39">
        <f t="shared" si="1"/>
        <v>0.172577123</v>
      </c>
      <c r="F13" s="15"/>
      <c r="G13" s="15"/>
      <c r="H13" s="15"/>
      <c r="L13" s="40"/>
      <c r="M13" s="40"/>
      <c r="N13" s="44">
        <f t="shared" si="2"/>
        <v>0</v>
      </c>
    </row>
    <row r="14">
      <c r="B14" s="41" t="s">
        <v>54</v>
      </c>
      <c r="C14" s="15"/>
      <c r="D14" s="42">
        <f>B35</f>
        <v>1501428.94</v>
      </c>
      <c r="E14" s="39">
        <f t="shared" si="1"/>
        <v>0.5025913198</v>
      </c>
      <c r="F14" s="15"/>
      <c r="G14" s="15"/>
      <c r="H14" s="15"/>
      <c r="L14" s="40" t="s">
        <v>73</v>
      </c>
      <c r="M14" s="43">
        <f>D14</f>
        <v>1501428.94</v>
      </c>
      <c r="N14" s="44">
        <f t="shared" si="2"/>
        <v>0.5025913198</v>
      </c>
    </row>
    <row r="15">
      <c r="B15" s="48"/>
      <c r="C15" s="49"/>
      <c r="D15" s="49"/>
      <c r="E15" s="77">
        <f>SUM(D4:D14)</f>
        <v>2987375.39</v>
      </c>
      <c r="F15" s="15"/>
      <c r="G15" s="15"/>
      <c r="H15" s="15"/>
      <c r="L15" s="51"/>
      <c r="M15" s="78">
        <f t="shared" ref="M15:N15" si="3">SUM(M4:M14)</f>
        <v>2987375.39</v>
      </c>
      <c r="N15" s="53">
        <f t="shared" si="3"/>
        <v>1</v>
      </c>
    </row>
    <row r="16">
      <c r="C16" s="54"/>
      <c r="D16" s="15"/>
      <c r="E16" s="15"/>
      <c r="F16" s="15"/>
      <c r="G16" s="15"/>
      <c r="H16" s="15"/>
    </row>
    <row r="17">
      <c r="C17" s="54"/>
      <c r="D17" s="15"/>
      <c r="E17" s="15"/>
      <c r="F17" s="15"/>
      <c r="G17" s="15"/>
      <c r="H17" s="15"/>
    </row>
    <row r="18">
      <c r="B18" s="34" t="s">
        <v>78</v>
      </c>
      <c r="C18" s="55"/>
      <c r="D18" s="56"/>
      <c r="E18" s="57"/>
      <c r="G18" s="15"/>
      <c r="H18" s="15"/>
    </row>
    <row r="19">
      <c r="B19" s="58"/>
      <c r="C19" s="59" t="s">
        <v>58</v>
      </c>
      <c r="D19" s="15"/>
      <c r="E19" s="60"/>
      <c r="F19" s="15"/>
      <c r="G19" s="15"/>
      <c r="H19" s="15"/>
    </row>
    <row r="20">
      <c r="B20" s="74">
        <f>+'Planilha de Rentabilidade'!Z30</f>
        <v>365700</v>
      </c>
      <c r="C20" s="54">
        <f t="shared" ref="C20:C31" si="4">B20/$B$35</f>
        <v>0.2435679707</v>
      </c>
      <c r="D20" s="79" t="s">
        <v>79</v>
      </c>
      <c r="E20" s="60"/>
      <c r="F20" s="15"/>
      <c r="G20" s="15"/>
      <c r="H20" s="15"/>
    </row>
    <row r="21">
      <c r="B21" s="63">
        <f>+'Planilha de Rentabilidade'!O30</f>
        <v>89010</v>
      </c>
      <c r="C21" s="54">
        <f t="shared" si="4"/>
        <v>0.05928352493</v>
      </c>
      <c r="D21" s="64" t="s">
        <v>60</v>
      </c>
      <c r="E21" s="60"/>
      <c r="F21" s="15"/>
      <c r="G21" s="15"/>
      <c r="H21" s="15"/>
    </row>
    <row r="22">
      <c r="B22" s="63">
        <f>+'Planilha de Rentabilidade'!U30+'Planilha de Rentabilidade'!AB30</f>
        <v>633799.32</v>
      </c>
      <c r="C22" s="54">
        <f t="shared" si="4"/>
        <v>0.422130747</v>
      </c>
      <c r="D22" s="64" t="s">
        <v>61</v>
      </c>
      <c r="E22" s="60"/>
      <c r="F22" s="15"/>
      <c r="G22" s="15"/>
      <c r="H22" s="15"/>
    </row>
    <row r="23">
      <c r="B23" s="75">
        <v>0.0</v>
      </c>
      <c r="C23" s="54">
        <f t="shared" si="4"/>
        <v>0</v>
      </c>
      <c r="D23" s="64" t="s">
        <v>62</v>
      </c>
      <c r="E23" s="60"/>
      <c r="F23" s="15"/>
      <c r="G23" s="15"/>
      <c r="H23" s="15"/>
    </row>
    <row r="24">
      <c r="B24" s="75">
        <v>0.0</v>
      </c>
      <c r="C24" s="54">
        <f t="shared" si="4"/>
        <v>0</v>
      </c>
      <c r="D24" s="64" t="s">
        <v>63</v>
      </c>
      <c r="E24" s="60"/>
      <c r="F24" s="15"/>
      <c r="G24" s="15"/>
      <c r="H24" s="15"/>
    </row>
    <row r="25">
      <c r="B25" s="63">
        <v>0.0</v>
      </c>
      <c r="C25" s="54">
        <f t="shared" si="4"/>
        <v>0</v>
      </c>
      <c r="D25" s="64" t="s">
        <v>64</v>
      </c>
      <c r="E25" s="60"/>
      <c r="F25" s="15"/>
      <c r="G25" s="15"/>
      <c r="H25" s="15"/>
    </row>
    <row r="26">
      <c r="B26" s="75">
        <v>0.0</v>
      </c>
      <c r="C26" s="54">
        <f t="shared" si="4"/>
        <v>0</v>
      </c>
      <c r="D26" s="64" t="s">
        <v>65</v>
      </c>
      <c r="E26" s="65"/>
      <c r="F26" s="15"/>
      <c r="G26" s="15"/>
      <c r="H26" s="15"/>
    </row>
    <row r="27">
      <c r="B27" s="63">
        <f>+'Planilha de Rentabilidade'!AA30+'Planilha de Rentabilidade'!AC30</f>
        <v>51493</v>
      </c>
      <c r="C27" s="54">
        <f t="shared" si="4"/>
        <v>0.03429599539</v>
      </c>
      <c r="D27" s="66" t="s">
        <v>80</v>
      </c>
      <c r="E27" s="60"/>
      <c r="F27" s="15"/>
      <c r="G27" s="15"/>
      <c r="H27" s="15"/>
    </row>
    <row r="28">
      <c r="B28" s="75">
        <v>0.0</v>
      </c>
      <c r="C28" s="54">
        <f t="shared" si="4"/>
        <v>0</v>
      </c>
      <c r="D28" s="64" t="s">
        <v>67</v>
      </c>
      <c r="E28" s="60"/>
      <c r="F28" s="15"/>
      <c r="G28" s="15"/>
      <c r="H28" s="15"/>
    </row>
    <row r="29">
      <c r="B29" s="63">
        <f>+'Planilha de Rentabilidade'!X30+'Planilha de Rentabilidade'!Y30</f>
        <v>131427.1</v>
      </c>
      <c r="C29" s="54">
        <f t="shared" si="4"/>
        <v>0.0875346788</v>
      </c>
      <c r="D29" s="66" t="s">
        <v>81</v>
      </c>
      <c r="E29" s="60"/>
      <c r="F29" s="15"/>
      <c r="G29" s="15"/>
      <c r="H29" s="15"/>
    </row>
    <row r="30">
      <c r="B30" s="63">
        <f>+'Planilha de Rentabilidade'!T30</f>
        <v>52417.5</v>
      </c>
      <c r="C30" s="54">
        <f t="shared" si="4"/>
        <v>0.03491174214</v>
      </c>
      <c r="D30" s="64" t="s">
        <v>69</v>
      </c>
      <c r="E30" s="60"/>
      <c r="F30" s="15"/>
      <c r="G30" s="15"/>
      <c r="H30" s="15"/>
    </row>
    <row r="31">
      <c r="B31" s="63">
        <f>+'Planilha de Rentabilidade'!N30+'Planilha de Rentabilidade'!AH30</f>
        <v>177582.02</v>
      </c>
      <c r="C31" s="54">
        <f t="shared" si="4"/>
        <v>0.1182753411</v>
      </c>
      <c r="D31" s="64" t="s">
        <v>70</v>
      </c>
      <c r="E31" s="60"/>
      <c r="F31" s="15"/>
      <c r="G31" s="15"/>
      <c r="H31" s="15"/>
    </row>
    <row r="32">
      <c r="B32" s="75">
        <v>0.0</v>
      </c>
      <c r="C32" s="80">
        <v>0.0</v>
      </c>
      <c r="D32" s="66" t="s">
        <v>71</v>
      </c>
      <c r="E32" s="60"/>
      <c r="F32" s="15"/>
      <c r="G32" s="15"/>
      <c r="H32" s="15"/>
    </row>
    <row r="33">
      <c r="B33" s="38"/>
      <c r="C33" s="54">
        <f>SUM(C20:C32)</f>
        <v>1</v>
      </c>
      <c r="D33" s="15"/>
      <c r="E33" s="60"/>
      <c r="F33" s="15"/>
      <c r="G33" s="15"/>
      <c r="H33" s="15"/>
    </row>
    <row r="34">
      <c r="B34" s="38"/>
      <c r="C34" s="54"/>
      <c r="D34" s="15"/>
      <c r="E34" s="60"/>
      <c r="F34" s="15"/>
      <c r="G34" s="15"/>
      <c r="H34" s="15"/>
    </row>
    <row r="35">
      <c r="B35" s="67">
        <f>SUM(B20:B34)</f>
        <v>1501428.94</v>
      </c>
      <c r="C35" s="68">
        <f>B35/$B$35</f>
        <v>1</v>
      </c>
      <c r="D35" s="69"/>
      <c r="E35" s="70"/>
      <c r="F35" s="15"/>
      <c r="G35" s="15"/>
      <c r="H35" s="15"/>
    </row>
  </sheetData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outlinePr summaryBelow="0" summaryRight="0"/>
  </sheetPr>
  <sheetViews>
    <sheetView workbookViewId="0"/>
  </sheetViews>
  <sheetFormatPr customHeight="1" defaultColWidth="11.22" defaultRowHeight="15.0"/>
  <cols>
    <col customWidth="1" min="2" max="2" width="13.33"/>
    <col customWidth="1" min="3" max="3" width="13.0"/>
    <col customWidth="1" min="4" max="4" width="15.33"/>
    <col customWidth="1" min="5" max="5" width="14.22"/>
    <col customWidth="1" min="12" max="12" width="9.56"/>
    <col customWidth="1" min="13" max="13" width="12.56"/>
    <col customWidth="1" min="14" max="14" width="7.67"/>
    <col customWidth="1" min="15" max="15" width="9.22"/>
  </cols>
  <sheetData>
    <row r="2">
      <c r="B2" s="34" t="s">
        <v>82</v>
      </c>
      <c r="C2" s="35"/>
      <c r="D2" s="35"/>
      <c r="E2" s="36"/>
      <c r="L2" s="37"/>
      <c r="M2" s="37" t="s">
        <v>40</v>
      </c>
      <c r="N2" s="37"/>
    </row>
    <row r="3">
      <c r="B3" s="38"/>
      <c r="C3" s="15"/>
      <c r="D3" s="15"/>
      <c r="E3" s="39">
        <f>+SUM(E4:E14)</f>
        <v>1</v>
      </c>
      <c r="F3" s="15"/>
      <c r="G3" s="15"/>
      <c r="H3" s="15"/>
      <c r="L3" s="40"/>
      <c r="M3" s="40"/>
      <c r="N3" s="40"/>
    </row>
    <row r="4">
      <c r="B4" s="41" t="s">
        <v>41</v>
      </c>
      <c r="C4" s="15"/>
      <c r="D4" s="42">
        <f>+'Planilha de Rentabilidade'!E22</f>
        <v>-1327</v>
      </c>
      <c r="E4" s="39">
        <f t="shared" ref="E4:E14" si="1">D4/$E$15</f>
        <v>-0.00048389682</v>
      </c>
      <c r="F4" s="15"/>
      <c r="G4" s="15"/>
      <c r="H4" s="15"/>
      <c r="L4" s="40" t="s">
        <v>42</v>
      </c>
      <c r="M4" s="43">
        <f>SUM(D5:D7)</f>
        <v>270367.79</v>
      </c>
      <c r="N4" s="44">
        <f t="shared" ref="N4:N14" si="2">M4/$M$15</f>
        <v>0.0985908921</v>
      </c>
    </row>
    <row r="5">
      <c r="B5" s="41" t="s">
        <v>43</v>
      </c>
      <c r="C5" s="15"/>
      <c r="D5" s="42">
        <f>+'Planilha de Rentabilidade'!Q22</f>
        <v>57688.06</v>
      </c>
      <c r="E5" s="39">
        <f t="shared" si="1"/>
        <v>0.02103622365</v>
      </c>
      <c r="F5" s="15"/>
      <c r="G5" s="15"/>
      <c r="H5" s="15"/>
      <c r="L5" s="40"/>
      <c r="M5" s="40">
        <v>0.0</v>
      </c>
      <c r="N5" s="44">
        <f t="shared" si="2"/>
        <v>0</v>
      </c>
    </row>
    <row r="6">
      <c r="B6" s="41" t="s">
        <v>44</v>
      </c>
      <c r="C6" s="15"/>
      <c r="D6" s="42">
        <f>+'Planilha de Rentabilidade'!P22</f>
        <v>212679.73</v>
      </c>
      <c r="E6" s="39">
        <f t="shared" si="1"/>
        <v>0.07755466844</v>
      </c>
      <c r="F6" s="15"/>
      <c r="G6" s="15"/>
      <c r="H6" s="15"/>
      <c r="L6" s="40"/>
      <c r="M6" s="40">
        <v>0.0</v>
      </c>
      <c r="N6" s="44">
        <f t="shared" si="2"/>
        <v>0</v>
      </c>
    </row>
    <row r="7">
      <c r="B7" s="41" t="s">
        <v>45</v>
      </c>
      <c r="C7" s="15"/>
      <c r="D7" s="71">
        <v>0.0</v>
      </c>
      <c r="E7" s="39">
        <f t="shared" si="1"/>
        <v>0</v>
      </c>
      <c r="F7" s="15"/>
      <c r="G7" s="15"/>
      <c r="H7" s="15"/>
      <c r="L7" s="40" t="s">
        <v>46</v>
      </c>
      <c r="M7" s="43">
        <f>+D11</f>
        <v>0</v>
      </c>
      <c r="N7" s="44">
        <f t="shared" si="2"/>
        <v>0</v>
      </c>
    </row>
    <row r="8">
      <c r="B8" s="41" t="s">
        <v>47</v>
      </c>
      <c r="C8" s="15"/>
      <c r="D8" s="42">
        <f>'Planilha de Rentabilidade'!C22+'Planilha de Rentabilidade'!D22+'Planilha de Rentabilidade'!F22</f>
        <v>291149.49</v>
      </c>
      <c r="E8" s="39">
        <f t="shared" si="1"/>
        <v>0.1061690372</v>
      </c>
      <c r="F8" s="15"/>
      <c r="G8" s="15"/>
      <c r="H8" s="15"/>
      <c r="L8" s="40" t="s">
        <v>48</v>
      </c>
      <c r="M8" s="43">
        <f>D8+D12+D13</f>
        <v>1140239.43</v>
      </c>
      <c r="N8" s="44">
        <f t="shared" si="2"/>
        <v>0.4157936957</v>
      </c>
    </row>
    <row r="9">
      <c r="B9" s="41" t="s">
        <v>49</v>
      </c>
      <c r="C9" s="15"/>
      <c r="D9" s="42">
        <f>'Planilha de Rentabilidade'!L22</f>
        <v>60175.44</v>
      </c>
      <c r="E9" s="39">
        <f t="shared" si="1"/>
        <v>0.02194325852</v>
      </c>
      <c r="F9" s="15"/>
      <c r="G9" s="15"/>
      <c r="H9" s="15"/>
      <c r="L9" s="40" t="s">
        <v>50</v>
      </c>
      <c r="M9" s="43">
        <f>+D10</f>
        <v>101893.69</v>
      </c>
      <c r="N9" s="44">
        <f t="shared" si="2"/>
        <v>0.0371560155</v>
      </c>
    </row>
    <row r="10">
      <c r="B10" s="41" t="s">
        <v>51</v>
      </c>
      <c r="C10" s="15"/>
      <c r="D10" s="42">
        <f>'Planilha de Rentabilidade'!M22</f>
        <v>101893.69</v>
      </c>
      <c r="E10" s="39">
        <f t="shared" si="1"/>
        <v>0.0371560155</v>
      </c>
      <c r="F10" s="15"/>
      <c r="G10" s="15"/>
      <c r="H10" s="15"/>
      <c r="L10" s="40" t="s">
        <v>49</v>
      </c>
      <c r="M10" s="43">
        <f>D9</f>
        <v>60175.44</v>
      </c>
      <c r="N10" s="44">
        <f t="shared" si="2"/>
        <v>0.02194325852</v>
      </c>
    </row>
    <row r="11">
      <c r="B11" s="41" t="s">
        <v>46</v>
      </c>
      <c r="C11" s="15"/>
      <c r="D11" s="71">
        <v>0.0</v>
      </c>
      <c r="E11" s="39">
        <f t="shared" si="1"/>
        <v>0</v>
      </c>
      <c r="F11" s="15"/>
      <c r="G11" s="15"/>
      <c r="H11" s="15"/>
      <c r="L11" s="40"/>
      <c r="M11" s="40"/>
      <c r="N11" s="44">
        <f t="shared" si="2"/>
        <v>0</v>
      </c>
    </row>
    <row r="12">
      <c r="B12" s="41" t="s">
        <v>52</v>
      </c>
      <c r="C12" s="15"/>
      <c r="D12" s="42">
        <f>'Planilha de Rentabilidade'!I22+'Planilha de Rentabilidade'!G22</f>
        <v>327893.76</v>
      </c>
      <c r="E12" s="39">
        <f t="shared" si="1"/>
        <v>0.1195680089</v>
      </c>
      <c r="F12" s="15"/>
      <c r="G12" s="15"/>
      <c r="H12" s="15"/>
      <c r="L12" s="40" t="s">
        <v>41</v>
      </c>
      <c r="M12" s="43">
        <f>+D4</f>
        <v>-1327</v>
      </c>
      <c r="N12" s="44">
        <f t="shared" si="2"/>
        <v>-0.00048389682</v>
      </c>
    </row>
    <row r="13">
      <c r="B13" s="45" t="s">
        <v>53</v>
      </c>
      <c r="C13" s="15"/>
      <c r="D13" s="46">
        <f>+'Planilha de Rentabilidade'!H22+'Planilha de Rentabilidade'!K22+'Planilha de Rentabilidade'!S22+'Planilha de Rentabilidade'!V22+'Planilha de Rentabilidade'!J22</f>
        <v>521196.18</v>
      </c>
      <c r="E13" s="39">
        <f t="shared" si="1"/>
        <v>0.1900566497</v>
      </c>
      <c r="F13" s="15"/>
      <c r="G13" s="15"/>
      <c r="H13" s="15"/>
      <c r="L13" s="40"/>
      <c r="M13" s="40"/>
      <c r="N13" s="44">
        <f t="shared" si="2"/>
        <v>0</v>
      </c>
    </row>
    <row r="14">
      <c r="B14" s="41" t="s">
        <v>54</v>
      </c>
      <c r="C14" s="15"/>
      <c r="D14" s="42">
        <f>B35</f>
        <v>1170970.8</v>
      </c>
      <c r="E14" s="39">
        <f t="shared" si="1"/>
        <v>0.427000035</v>
      </c>
      <c r="F14" s="15"/>
      <c r="G14" s="15"/>
      <c r="H14" s="15"/>
      <c r="L14" s="40" t="s">
        <v>73</v>
      </c>
      <c r="M14" s="43">
        <f>D14</f>
        <v>1170970.8</v>
      </c>
      <c r="N14" s="44">
        <f t="shared" si="2"/>
        <v>0.427000035</v>
      </c>
    </row>
    <row r="15">
      <c r="B15" s="48"/>
      <c r="C15" s="49" t="s">
        <v>56</v>
      </c>
      <c r="D15" s="49"/>
      <c r="E15" s="77">
        <f>SUM(D4:D14)</f>
        <v>2742320.15</v>
      </c>
      <c r="F15" s="15"/>
      <c r="G15" s="15"/>
      <c r="H15" s="15"/>
      <c r="L15" s="51"/>
      <c r="M15" s="78">
        <f t="shared" ref="M15:N15" si="3">SUM(M4:M14)</f>
        <v>2742320.15</v>
      </c>
      <c r="N15" s="53">
        <f t="shared" si="3"/>
        <v>1</v>
      </c>
    </row>
    <row r="16">
      <c r="C16" s="54"/>
      <c r="D16" s="15"/>
      <c r="E16" s="15"/>
      <c r="F16" s="15"/>
      <c r="G16" s="15"/>
      <c r="H16" s="15"/>
    </row>
    <row r="17">
      <c r="C17" s="54"/>
      <c r="D17" s="15"/>
      <c r="E17" s="15"/>
      <c r="F17" s="15"/>
      <c r="G17" s="15"/>
      <c r="H17" s="15"/>
    </row>
    <row r="18">
      <c r="B18" s="34" t="s">
        <v>83</v>
      </c>
      <c r="C18" s="55"/>
      <c r="D18" s="56"/>
      <c r="E18" s="57"/>
      <c r="G18" s="15"/>
      <c r="H18" s="15"/>
    </row>
    <row r="19">
      <c r="B19" s="58"/>
      <c r="C19" s="59" t="s">
        <v>58</v>
      </c>
      <c r="D19" s="15"/>
      <c r="E19" s="60"/>
      <c r="F19" s="15"/>
      <c r="G19" s="15"/>
      <c r="H19" s="15"/>
    </row>
    <row r="20">
      <c r="B20" s="74">
        <f>'Planilha de Rentabilidade'!Z22+'Planilha de Rentabilidade'!W22</f>
        <v>391230</v>
      </c>
      <c r="C20" s="54">
        <f t="shared" ref="C20:C32" si="4">B20/$B$35</f>
        <v>0.3341073919</v>
      </c>
      <c r="D20" s="62" t="s">
        <v>59</v>
      </c>
      <c r="E20" s="60"/>
      <c r="F20" s="15"/>
      <c r="G20" s="15"/>
      <c r="H20" s="15"/>
    </row>
    <row r="21">
      <c r="B21" s="63">
        <f>+'Planilha de Rentabilidade'!O22</f>
        <v>80080</v>
      </c>
      <c r="C21" s="54">
        <f t="shared" si="4"/>
        <v>0.06838770019</v>
      </c>
      <c r="D21" s="64" t="s">
        <v>60</v>
      </c>
      <c r="E21" s="60"/>
      <c r="F21" s="15"/>
      <c r="G21" s="15"/>
      <c r="H21" s="15"/>
    </row>
    <row r="22">
      <c r="B22" s="63">
        <f>'Planilha de Rentabilidade'!AB22+'Planilha de Rentabilidade'!U22</f>
        <v>426459.04</v>
      </c>
      <c r="C22" s="54">
        <f t="shared" si="4"/>
        <v>0.3641927194</v>
      </c>
      <c r="D22" s="64" t="s">
        <v>61</v>
      </c>
      <c r="E22" s="60"/>
      <c r="F22" s="15"/>
      <c r="G22" s="15"/>
      <c r="H22" s="15"/>
    </row>
    <row r="23">
      <c r="B23" s="75">
        <v>0.0</v>
      </c>
      <c r="C23" s="54">
        <f t="shared" si="4"/>
        <v>0</v>
      </c>
      <c r="D23" s="64" t="s">
        <v>62</v>
      </c>
      <c r="E23" s="60"/>
      <c r="F23" s="15"/>
      <c r="G23" s="15"/>
      <c r="H23" s="15"/>
    </row>
    <row r="24">
      <c r="B24" s="75">
        <v>0.0</v>
      </c>
      <c r="C24" s="54">
        <f t="shared" si="4"/>
        <v>0</v>
      </c>
      <c r="D24" s="64" t="s">
        <v>63</v>
      </c>
      <c r="E24" s="60"/>
      <c r="F24" s="15"/>
      <c r="G24" s="15"/>
      <c r="H24" s="15"/>
    </row>
    <row r="25">
      <c r="B25" s="63">
        <v>0.0</v>
      </c>
      <c r="C25" s="54">
        <f t="shared" si="4"/>
        <v>0</v>
      </c>
      <c r="D25" s="64" t="s">
        <v>64</v>
      </c>
      <c r="E25" s="60"/>
      <c r="F25" s="15"/>
      <c r="G25" s="15"/>
      <c r="H25" s="15"/>
    </row>
    <row r="26">
      <c r="B26" s="63">
        <f>'Planilha de Rentabilidade'!AH22</f>
        <v>0</v>
      </c>
      <c r="C26" s="54">
        <f t="shared" si="4"/>
        <v>0</v>
      </c>
      <c r="D26" s="64" t="s">
        <v>65</v>
      </c>
      <c r="E26" s="65"/>
      <c r="F26" s="15"/>
      <c r="G26" s="15"/>
      <c r="H26" s="15"/>
    </row>
    <row r="27">
      <c r="B27" s="63">
        <f>'Planilha de Rentabilidade'!AA22+'Planilha de Rentabilidade'!AC22</f>
        <v>47294</v>
      </c>
      <c r="C27" s="54">
        <f t="shared" si="4"/>
        <v>0.04038870995</v>
      </c>
      <c r="D27" s="66" t="s">
        <v>80</v>
      </c>
      <c r="E27" s="60"/>
      <c r="F27" s="15"/>
      <c r="G27" s="15"/>
      <c r="H27" s="15"/>
    </row>
    <row r="28">
      <c r="B28" s="75">
        <v>0.0</v>
      </c>
      <c r="C28" s="54">
        <f t="shared" si="4"/>
        <v>0</v>
      </c>
      <c r="D28" s="64" t="s">
        <v>67</v>
      </c>
      <c r="E28" s="60"/>
      <c r="F28" s="15"/>
      <c r="G28" s="15"/>
      <c r="H28" s="15"/>
    </row>
    <row r="29">
      <c r="B29" s="63">
        <f>+'Planilha de Rentabilidade'!Y22+'Planilha de Rentabilidade'!X22</f>
        <v>107856.3</v>
      </c>
      <c r="C29" s="54">
        <f t="shared" si="4"/>
        <v>0.0921084454</v>
      </c>
      <c r="D29" s="66" t="s">
        <v>81</v>
      </c>
      <c r="E29" s="60"/>
      <c r="F29" s="15"/>
      <c r="G29" s="15"/>
      <c r="H29" s="15"/>
    </row>
    <row r="30">
      <c r="B30" s="75">
        <v>0.0</v>
      </c>
      <c r="C30" s="54">
        <f t="shared" si="4"/>
        <v>0</v>
      </c>
      <c r="D30" s="64" t="s">
        <v>69</v>
      </c>
      <c r="E30" s="60"/>
      <c r="F30" s="15"/>
      <c r="G30" s="15"/>
      <c r="H30" s="15"/>
    </row>
    <row r="31">
      <c r="B31" s="63">
        <f>+'Planilha de Rentabilidade'!N22</f>
        <v>118051.46</v>
      </c>
      <c r="C31" s="54">
        <f t="shared" si="4"/>
        <v>0.1008150331</v>
      </c>
      <c r="D31" s="64" t="s">
        <v>70</v>
      </c>
      <c r="E31" s="60"/>
      <c r="F31" s="15"/>
      <c r="G31" s="15"/>
      <c r="H31" s="15"/>
    </row>
    <row r="32">
      <c r="B32" s="75">
        <v>0.0</v>
      </c>
      <c r="C32" s="54">
        <f t="shared" si="4"/>
        <v>0</v>
      </c>
      <c r="D32" s="66" t="s">
        <v>71</v>
      </c>
      <c r="E32" s="60"/>
      <c r="F32" s="15"/>
      <c r="G32" s="15"/>
      <c r="H32" s="15"/>
    </row>
    <row r="33">
      <c r="B33" s="38"/>
      <c r="C33" s="54">
        <f>SUM(C20:C32)</f>
        <v>1</v>
      </c>
      <c r="D33" s="15"/>
      <c r="E33" s="60"/>
      <c r="F33" s="15"/>
      <c r="G33" s="15"/>
      <c r="H33" s="15"/>
    </row>
    <row r="34">
      <c r="B34" s="38"/>
      <c r="C34" s="54"/>
      <c r="D34" s="15"/>
      <c r="E34" s="60"/>
      <c r="F34" s="15"/>
      <c r="G34" s="15"/>
      <c r="H34" s="15"/>
    </row>
    <row r="35">
      <c r="B35" s="67">
        <f>SUM(B20:B34)</f>
        <v>1170970.8</v>
      </c>
      <c r="C35" s="68">
        <f>B35/$B$35</f>
        <v>1</v>
      </c>
      <c r="D35" s="69"/>
      <c r="E35" s="70"/>
      <c r="F35" s="15"/>
      <c r="G35" s="15"/>
      <c r="H35" s="15"/>
    </row>
  </sheetData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outlinePr summaryBelow="0" summaryRight="0"/>
  </sheetPr>
  <sheetViews>
    <sheetView workbookViewId="0"/>
  </sheetViews>
  <sheetFormatPr customHeight="1" defaultColWidth="11.22" defaultRowHeight="15.0"/>
  <cols>
    <col customWidth="1" min="2" max="2" width="21.0"/>
    <col customWidth="1" min="3" max="3" width="19.33"/>
    <col customWidth="1" min="4" max="4" width="18.0"/>
    <col customWidth="1" min="5" max="5" width="17.11"/>
    <col customWidth="1" min="12" max="13" width="14.33"/>
  </cols>
  <sheetData>
    <row r="2">
      <c r="B2" s="81" t="s">
        <v>84</v>
      </c>
      <c r="C2" s="23"/>
      <c r="D2" s="23"/>
      <c r="E2" s="82"/>
      <c r="L2" s="37"/>
      <c r="M2" s="37" t="s">
        <v>40</v>
      </c>
      <c r="N2" s="37"/>
    </row>
    <row r="3">
      <c r="B3" s="83"/>
      <c r="C3" s="15"/>
      <c r="D3" s="15"/>
      <c r="E3" s="84" t="str">
        <f>SUM(E4:E14)</f>
        <v>#ERROR!</v>
      </c>
      <c r="F3" s="15"/>
      <c r="G3" s="15"/>
      <c r="H3" s="15"/>
      <c r="L3" s="40"/>
      <c r="M3" s="40"/>
      <c r="N3" s="40"/>
    </row>
    <row r="4">
      <c r="B4" s="85" t="s">
        <v>41</v>
      </c>
      <c r="C4" s="15"/>
      <c r="D4" s="42">
        <f>'Planilha de Rentabilidade'!E38</f>
        <v>-44341.49</v>
      </c>
      <c r="E4" s="86" t="str">
        <f t="shared" ref="E4:E14" si="1">D4/$D$15</f>
        <v>#ERROR!</v>
      </c>
      <c r="F4" s="15"/>
      <c r="G4" s="15"/>
      <c r="H4" s="15"/>
      <c r="L4" s="40" t="s">
        <v>42</v>
      </c>
      <c r="M4" s="43">
        <f>SUM(D5:D7)</f>
        <v>276888.09</v>
      </c>
      <c r="N4" s="44" t="str">
        <f t="shared" ref="N4:N14" si="2">M4/$M$15</f>
        <v>#ERROR!</v>
      </c>
    </row>
    <row r="5">
      <c r="B5" s="85" t="s">
        <v>43</v>
      </c>
      <c r="C5" s="15"/>
      <c r="D5" s="42">
        <f>'Planilha de Rentabilidade'!Q38</f>
        <v>59800.69</v>
      </c>
      <c r="E5" s="86" t="str">
        <f t="shared" si="1"/>
        <v>#ERROR!</v>
      </c>
      <c r="F5" s="15"/>
      <c r="G5" s="15"/>
      <c r="H5" s="15"/>
      <c r="L5" s="40"/>
      <c r="M5" s="40"/>
      <c r="N5" s="44" t="str">
        <f t="shared" si="2"/>
        <v>#ERROR!</v>
      </c>
    </row>
    <row r="6">
      <c r="B6" s="85" t="s">
        <v>44</v>
      </c>
      <c r="C6" s="15"/>
      <c r="D6" s="42">
        <f>'Planilha de Rentabilidade'!P38</f>
        <v>217087.4</v>
      </c>
      <c r="E6" s="86" t="str">
        <f t="shared" si="1"/>
        <v>#ERROR!</v>
      </c>
      <c r="F6" s="15"/>
      <c r="G6" s="15"/>
      <c r="H6" s="15"/>
      <c r="L6" s="40"/>
      <c r="M6" s="87">
        <v>0.0</v>
      </c>
      <c r="N6" s="44" t="str">
        <f t="shared" si="2"/>
        <v>#ERROR!</v>
      </c>
    </row>
    <row r="7">
      <c r="B7" s="85" t="s">
        <v>45</v>
      </c>
      <c r="C7" s="15"/>
      <c r="D7" s="71">
        <v>0.0</v>
      </c>
      <c r="E7" s="86" t="str">
        <f t="shared" si="1"/>
        <v>#ERROR!</v>
      </c>
      <c r="F7" s="15"/>
      <c r="G7" s="15"/>
      <c r="H7" s="15"/>
      <c r="L7" s="40" t="s">
        <v>46</v>
      </c>
      <c r="M7" s="40"/>
      <c r="N7" s="44" t="str">
        <f t="shared" si="2"/>
        <v>#ERROR!</v>
      </c>
    </row>
    <row r="8">
      <c r="B8" s="85" t="s">
        <v>47</v>
      </c>
      <c r="C8" s="15"/>
      <c r="D8" s="42">
        <f>'Planilha de Rentabilidade'!C38+'Planilha de Rentabilidade'!D38+'Planilha de Rentabilidade'!F38</f>
        <v>198379.34</v>
      </c>
      <c r="E8" s="86" t="str">
        <f t="shared" si="1"/>
        <v>#ERROR!</v>
      </c>
      <c r="F8" s="15"/>
      <c r="G8" s="15"/>
      <c r="H8" s="15"/>
      <c r="L8" s="40" t="s">
        <v>48</v>
      </c>
      <c r="M8" s="43">
        <f>SUM(D8,D12,D13)</f>
        <v>1030693.27</v>
      </c>
      <c r="N8" s="44" t="str">
        <f t="shared" si="2"/>
        <v>#ERROR!</v>
      </c>
    </row>
    <row r="9">
      <c r="B9" s="85" t="s">
        <v>49</v>
      </c>
      <c r="C9" s="15"/>
      <c r="D9" s="42">
        <f>'Planilha de Rentabilidade'!L38</f>
        <v>119946.6</v>
      </c>
      <c r="E9" s="86" t="str">
        <f t="shared" si="1"/>
        <v>#ERROR!</v>
      </c>
      <c r="F9" s="15"/>
      <c r="G9" s="15"/>
      <c r="H9" s="15"/>
      <c r="L9" s="47" t="s">
        <v>77</v>
      </c>
      <c r="M9" s="43">
        <f>SUM(D9+D10)</f>
        <v>235918.49</v>
      </c>
      <c r="N9" s="44" t="str">
        <f t="shared" si="2"/>
        <v>#ERROR!</v>
      </c>
    </row>
    <row r="10">
      <c r="B10" s="85" t="s">
        <v>51</v>
      </c>
      <c r="C10" s="15"/>
      <c r="D10" s="42">
        <f>'Planilha de Rentabilidade'!M38</f>
        <v>115971.89</v>
      </c>
      <c r="E10" s="86" t="str">
        <f t="shared" si="1"/>
        <v>#ERROR!</v>
      </c>
      <c r="F10" s="15"/>
      <c r="G10" s="15"/>
      <c r="H10" s="15"/>
      <c r="L10" s="40"/>
      <c r="M10" s="43"/>
      <c r="N10" s="44" t="str">
        <f t="shared" si="2"/>
        <v>#ERROR!</v>
      </c>
    </row>
    <row r="11">
      <c r="B11" s="85" t="s">
        <v>46</v>
      </c>
      <c r="C11" s="15"/>
      <c r="D11" s="88">
        <v>0.0</v>
      </c>
      <c r="E11" s="86" t="str">
        <f t="shared" si="1"/>
        <v>#ERROR!</v>
      </c>
      <c r="F11" s="15"/>
      <c r="G11" s="15"/>
      <c r="H11" s="15"/>
      <c r="L11" s="40"/>
      <c r="M11" s="40"/>
      <c r="N11" s="44" t="str">
        <f t="shared" si="2"/>
        <v>#ERROR!</v>
      </c>
    </row>
    <row r="12">
      <c r="B12" s="85" t="s">
        <v>52</v>
      </c>
      <c r="C12" s="15"/>
      <c r="D12" s="46">
        <f>'Planilha de Rentabilidade'!G38+'Planilha de Rentabilidade'!I38</f>
        <v>332131.9</v>
      </c>
      <c r="E12" s="86" t="str">
        <f t="shared" si="1"/>
        <v>#ERROR!</v>
      </c>
      <c r="F12" s="15"/>
      <c r="G12" s="15"/>
      <c r="H12" s="15"/>
      <c r="L12" s="40" t="s">
        <v>41</v>
      </c>
      <c r="M12" s="43">
        <f>D4</f>
        <v>-44341.49</v>
      </c>
      <c r="N12" s="44" t="str">
        <f t="shared" si="2"/>
        <v>#ERROR!</v>
      </c>
    </row>
    <row r="13">
      <c r="B13" s="89" t="s">
        <v>53</v>
      </c>
      <c r="C13" s="15"/>
      <c r="D13" s="46">
        <f>'Planilha de Rentabilidade'!H38+'Planilha de Rentabilidade'!J38+'Planilha de Rentabilidade'!K38+'Planilha de Rentabilidade'!S38+'Planilha de Rentabilidade'!V38</f>
        <v>500182.03</v>
      </c>
      <c r="E13" s="86" t="str">
        <f t="shared" si="1"/>
        <v>#ERROR!</v>
      </c>
      <c r="F13" s="15"/>
      <c r="G13" s="15"/>
      <c r="H13" s="15"/>
      <c r="L13" s="40"/>
      <c r="M13" s="43"/>
      <c r="N13" s="44" t="str">
        <f t="shared" si="2"/>
        <v>#ERROR!</v>
      </c>
    </row>
    <row r="14">
      <c r="B14" s="85" t="s">
        <v>54</v>
      </c>
      <c r="C14" s="15"/>
      <c r="D14" s="46" t="str">
        <f>B33</f>
        <v>#ERROR!</v>
      </c>
      <c r="E14" s="86" t="str">
        <f t="shared" si="1"/>
        <v>#ERROR!</v>
      </c>
      <c r="F14" s="15"/>
      <c r="G14" s="15"/>
      <c r="H14" s="15"/>
      <c r="L14" s="47" t="s">
        <v>85</v>
      </c>
      <c r="M14" s="43" t="str">
        <f>D14</f>
        <v>#ERROR!</v>
      </c>
      <c r="N14" s="44" t="str">
        <f t="shared" si="2"/>
        <v>#ERROR!</v>
      </c>
    </row>
    <row r="15">
      <c r="B15" s="90" t="s">
        <v>56</v>
      </c>
      <c r="C15" s="91"/>
      <c r="D15" s="92" t="str">
        <f t="shared" ref="D15:E15" si="3">SUM(D4:D14)</f>
        <v>#ERROR!</v>
      </c>
      <c r="E15" s="93" t="str">
        <f t="shared" si="3"/>
        <v>#ERROR!</v>
      </c>
      <c r="F15" s="15"/>
      <c r="G15" s="15"/>
      <c r="H15" s="15"/>
      <c r="L15" s="51"/>
      <c r="M15" s="78" t="str">
        <f t="shared" ref="M15:N15" si="4">SUM(M4:M14)</f>
        <v>#ERROR!</v>
      </c>
      <c r="N15" s="94" t="str">
        <f t="shared" si="4"/>
        <v>#ERROR!</v>
      </c>
    </row>
    <row r="16">
      <c r="B16" s="66" t="s">
        <v>86</v>
      </c>
      <c r="C16" s="54"/>
      <c r="D16" s="88" t="s">
        <v>86</v>
      </c>
      <c r="E16" s="95" t="s">
        <v>86</v>
      </c>
      <c r="F16" s="15"/>
      <c r="G16" s="15"/>
      <c r="H16" s="15"/>
    </row>
    <row r="17">
      <c r="C17" s="54"/>
      <c r="D17" s="15"/>
      <c r="E17" s="15"/>
      <c r="F17" s="15"/>
      <c r="G17" s="15"/>
      <c r="H17" s="15"/>
    </row>
    <row r="18">
      <c r="B18" s="34" t="s">
        <v>87</v>
      </c>
      <c r="C18" s="55"/>
      <c r="D18" s="56"/>
      <c r="E18" s="57"/>
      <c r="F18" s="15"/>
      <c r="G18" s="15"/>
      <c r="H18" s="15"/>
    </row>
    <row r="19">
      <c r="B19" s="58"/>
      <c r="C19" s="59" t="s">
        <v>58</v>
      </c>
      <c r="D19" s="15"/>
      <c r="E19" s="60"/>
      <c r="F19" s="15"/>
      <c r="G19" s="15"/>
      <c r="H19" s="15"/>
    </row>
    <row r="20">
      <c r="B20" s="74">
        <f>'Planilha de Rentabilidade'!Z38</f>
        <v>359490</v>
      </c>
      <c r="C20" s="54" t="str">
        <f t="shared" ref="C20:C33" si="5">B20/$B$33</f>
        <v>#ERROR!</v>
      </c>
      <c r="D20" s="79" t="s">
        <v>79</v>
      </c>
      <c r="E20" s="60"/>
      <c r="F20" s="15"/>
      <c r="G20" s="15"/>
      <c r="H20" s="15"/>
    </row>
    <row r="21">
      <c r="B21" s="63">
        <f>'Planilha de Rentabilidade'!O38</f>
        <v>117600</v>
      </c>
      <c r="C21" s="54" t="str">
        <f t="shared" si="5"/>
        <v>#ERROR!</v>
      </c>
      <c r="D21" s="64" t="s">
        <v>60</v>
      </c>
      <c r="E21" s="60"/>
      <c r="F21" s="15"/>
      <c r="G21" s="15"/>
      <c r="H21" s="15"/>
    </row>
    <row r="22">
      <c r="A22" s="15" t="s">
        <v>88</v>
      </c>
      <c r="B22" s="63">
        <f>'Planilha de Rentabilidade'!U38+'Planilha de Rentabilidade'!AB38</f>
        <v>786145.8</v>
      </c>
      <c r="C22" s="54" t="str">
        <f t="shared" si="5"/>
        <v>#ERROR!</v>
      </c>
      <c r="D22" s="64" t="s">
        <v>61</v>
      </c>
      <c r="E22" s="60"/>
      <c r="F22" s="15"/>
      <c r="G22" s="15"/>
      <c r="H22" s="15"/>
    </row>
    <row r="23">
      <c r="A23" s="15" t="s">
        <v>89</v>
      </c>
      <c r="B23" s="75">
        <f>+'Planilha de Rentabilidade'!AG38</f>
        <v>0</v>
      </c>
      <c r="C23" s="54" t="str">
        <f t="shared" si="5"/>
        <v>#ERROR!</v>
      </c>
      <c r="D23" s="64" t="s">
        <v>62</v>
      </c>
      <c r="E23" s="60"/>
      <c r="F23" s="15"/>
      <c r="G23" s="15"/>
      <c r="H23" s="15"/>
    </row>
    <row r="24">
      <c r="A24" s="15" t="s">
        <v>90</v>
      </c>
      <c r="B24" s="75" t="str">
        <f>+</f>
        <v>#ERROR!</v>
      </c>
      <c r="C24" s="54" t="str">
        <f t="shared" si="5"/>
        <v>#ERROR!</v>
      </c>
      <c r="D24" s="64" t="s">
        <v>63</v>
      </c>
      <c r="E24" s="65"/>
      <c r="F24" s="15"/>
      <c r="G24" s="15"/>
      <c r="H24" s="15"/>
    </row>
    <row r="25">
      <c r="A25" s="15" t="s">
        <v>91</v>
      </c>
      <c r="B25" s="63">
        <f>+'Planilha de Rentabilidade'!AE38</f>
        <v>46840</v>
      </c>
      <c r="C25" s="54" t="str">
        <f t="shared" si="5"/>
        <v>#ERROR!</v>
      </c>
      <c r="D25" s="66" t="s">
        <v>92</v>
      </c>
      <c r="E25" s="60"/>
      <c r="F25" s="15"/>
      <c r="G25" s="15"/>
      <c r="H25" s="15"/>
    </row>
    <row r="26">
      <c r="A26" s="15" t="s">
        <v>93</v>
      </c>
      <c r="B26" s="75">
        <v>0.0</v>
      </c>
      <c r="C26" s="54" t="str">
        <f t="shared" si="5"/>
        <v>#ERROR!</v>
      </c>
      <c r="D26" s="64" t="s">
        <v>65</v>
      </c>
      <c r="E26" s="60"/>
      <c r="F26" s="15"/>
      <c r="G26" s="15"/>
      <c r="H26" s="15"/>
    </row>
    <row r="27">
      <c r="A27" s="15" t="s">
        <v>94</v>
      </c>
      <c r="B27" s="63">
        <f>'Planilha de Rentabilidade'!AA38+'Planilha de Rentabilidade'!AC38</f>
        <v>0</v>
      </c>
      <c r="C27" s="54" t="str">
        <f t="shared" si="5"/>
        <v>#ERROR!</v>
      </c>
      <c r="D27" s="66" t="s">
        <v>80</v>
      </c>
      <c r="E27" s="60"/>
      <c r="F27" s="15"/>
      <c r="G27" s="15"/>
      <c r="H27" s="15"/>
    </row>
    <row r="28">
      <c r="A28" s="15" t="s">
        <v>95</v>
      </c>
      <c r="B28" s="75">
        <v>0.0</v>
      </c>
      <c r="C28" s="54" t="str">
        <f t="shared" si="5"/>
        <v>#ERROR!</v>
      </c>
      <c r="D28" s="64" t="s">
        <v>67</v>
      </c>
      <c r="E28" s="60"/>
      <c r="F28" s="15"/>
      <c r="G28" s="15"/>
      <c r="H28" s="15"/>
    </row>
    <row r="29">
      <c r="A29" s="15" t="s">
        <v>96</v>
      </c>
      <c r="B29" s="63">
        <f>'Planilha de Rentabilidade'!Y38+'Planilha de Rentabilidade'!X38</f>
        <v>158488.75</v>
      </c>
      <c r="C29" s="54" t="str">
        <f t="shared" si="5"/>
        <v>#ERROR!</v>
      </c>
      <c r="D29" s="66" t="s">
        <v>81</v>
      </c>
      <c r="E29" s="60"/>
      <c r="F29" s="15"/>
      <c r="G29" s="15"/>
      <c r="H29" s="15"/>
    </row>
    <row r="30">
      <c r="A30" s="15" t="s">
        <v>97</v>
      </c>
      <c r="B30" s="63">
        <f>'Planilha de Rentabilidade'!T38</f>
        <v>49851</v>
      </c>
      <c r="C30" s="54" t="str">
        <f t="shared" si="5"/>
        <v>#ERROR!</v>
      </c>
      <c r="D30" s="64" t="s">
        <v>69</v>
      </c>
      <c r="E30" s="60"/>
      <c r="F30" s="15"/>
      <c r="G30" s="15"/>
      <c r="H30" s="15"/>
    </row>
    <row r="31">
      <c r="A31" s="15"/>
      <c r="B31" s="63">
        <f>'Planilha de Rentabilidade'!AH38+'Planilha de Rentabilidade'!N38</f>
        <v>174507.41</v>
      </c>
      <c r="C31" s="54" t="str">
        <f t="shared" si="5"/>
        <v>#ERROR!</v>
      </c>
      <c r="D31" s="64" t="s">
        <v>70</v>
      </c>
      <c r="E31" s="60"/>
      <c r="F31" s="15"/>
      <c r="G31" s="15"/>
      <c r="H31" s="15"/>
    </row>
    <row r="32">
      <c r="A32" s="15"/>
      <c r="B32" s="63">
        <v>0.0</v>
      </c>
      <c r="C32" s="54" t="str">
        <f t="shared" si="5"/>
        <v>#ERROR!</v>
      </c>
      <c r="D32" s="66" t="s">
        <v>71</v>
      </c>
      <c r="E32" s="60"/>
      <c r="F32" s="15"/>
      <c r="G32" s="15"/>
      <c r="H32" s="15"/>
    </row>
    <row r="33">
      <c r="A33" s="15"/>
      <c r="B33" s="67" t="str">
        <f>SUM(B20:B32)</f>
        <v>#ERROR!</v>
      </c>
      <c r="C33" s="68" t="str">
        <f t="shared" si="5"/>
        <v>#ERROR!</v>
      </c>
      <c r="D33" s="69"/>
      <c r="E33" s="70"/>
      <c r="F33" s="15"/>
      <c r="G33" s="15"/>
      <c r="H33" s="15"/>
    </row>
  </sheetData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outlinePr summaryBelow="0" summaryRight="0"/>
  </sheetPr>
  <sheetViews>
    <sheetView workbookViewId="0"/>
  </sheetViews>
  <sheetFormatPr customHeight="1" defaultColWidth="11.22" defaultRowHeight="15.0"/>
  <cols>
    <col customWidth="1" min="4" max="4" width="14.89"/>
    <col customWidth="1" min="5" max="5" width="13.67"/>
    <col customWidth="1" min="11" max="11" width="14.33"/>
    <col customWidth="1" min="12" max="12" width="13.44"/>
    <col customWidth="1" min="13" max="13" width="13.22"/>
  </cols>
  <sheetData>
    <row r="2">
      <c r="B2" s="96" t="s">
        <v>98</v>
      </c>
      <c r="C2" s="35"/>
      <c r="D2" s="35"/>
      <c r="E2" s="36"/>
      <c r="L2" s="37"/>
      <c r="M2" s="37" t="s">
        <v>40</v>
      </c>
      <c r="N2" s="37"/>
    </row>
    <row r="3">
      <c r="B3" s="38"/>
      <c r="C3" s="15"/>
      <c r="D3" s="15"/>
      <c r="E3" s="39">
        <f>+SUM(E4:E14)</f>
        <v>1</v>
      </c>
      <c r="F3" s="15"/>
      <c r="G3" s="15"/>
      <c r="H3" s="15"/>
      <c r="L3" s="40"/>
      <c r="M3" s="40"/>
      <c r="N3" s="40"/>
    </row>
    <row r="4">
      <c r="B4" s="85" t="s">
        <v>41</v>
      </c>
      <c r="C4" s="15"/>
      <c r="D4" s="42">
        <f>+'Planilha de Rentabilidade'!E46</f>
        <v>-301628</v>
      </c>
      <c r="E4" s="39">
        <f t="shared" ref="E4:E14" si="1">D4/$E$15</f>
        <v>-0.1053826508</v>
      </c>
      <c r="F4" s="15"/>
      <c r="G4" s="15"/>
      <c r="H4" s="15"/>
      <c r="L4" s="40" t="s">
        <v>42</v>
      </c>
      <c r="M4" s="43">
        <f>+D5+D6</f>
        <v>278635.61</v>
      </c>
      <c r="N4" s="44">
        <f t="shared" ref="N4:N14" si="2">M4/$M$15</f>
        <v>0.09734958028</v>
      </c>
    </row>
    <row r="5">
      <c r="B5" s="85" t="s">
        <v>43</v>
      </c>
      <c r="C5" s="15"/>
      <c r="D5" s="42">
        <f>+'Planilha de Rentabilidade'!Q46</f>
        <v>59938.31</v>
      </c>
      <c r="E5" s="39">
        <f t="shared" si="1"/>
        <v>0.02094121897</v>
      </c>
      <c r="F5" s="15"/>
      <c r="G5" s="15"/>
      <c r="H5" s="15"/>
      <c r="L5" s="40"/>
      <c r="M5" s="40"/>
      <c r="N5" s="44">
        <f t="shared" si="2"/>
        <v>0</v>
      </c>
    </row>
    <row r="6">
      <c r="B6" s="85" t="s">
        <v>44</v>
      </c>
      <c r="C6" s="15"/>
      <c r="D6" s="42">
        <f>+'Planilha de Rentabilidade'!P46</f>
        <v>218697.3</v>
      </c>
      <c r="E6" s="39">
        <f t="shared" si="1"/>
        <v>0.07640836131</v>
      </c>
      <c r="F6" s="15"/>
      <c r="G6" s="15"/>
      <c r="H6" s="15"/>
      <c r="L6" s="40"/>
      <c r="M6" s="43"/>
      <c r="N6" s="44">
        <f t="shared" si="2"/>
        <v>0</v>
      </c>
    </row>
    <row r="7">
      <c r="B7" s="85" t="s">
        <v>45</v>
      </c>
      <c r="C7" s="15"/>
      <c r="D7" s="71">
        <v>0.0</v>
      </c>
      <c r="E7" s="39">
        <f t="shared" si="1"/>
        <v>0</v>
      </c>
      <c r="F7" s="15"/>
      <c r="G7" s="15"/>
      <c r="H7" s="15"/>
      <c r="L7" s="40" t="s">
        <v>46</v>
      </c>
      <c r="M7" s="47">
        <v>0.0</v>
      </c>
      <c r="N7" s="44">
        <f t="shared" si="2"/>
        <v>0</v>
      </c>
    </row>
    <row r="8">
      <c r="B8" s="85" t="s">
        <v>47</v>
      </c>
      <c r="C8" s="15"/>
      <c r="D8" s="42">
        <f>+'Planilha de Rentabilidade'!C46+'Planilha de Rentabilidade'!D46+'Planilha de Rentabilidade'!F46</f>
        <v>200569.2</v>
      </c>
      <c r="E8" s="39">
        <f t="shared" si="1"/>
        <v>0.07007477414</v>
      </c>
      <c r="F8" s="15"/>
      <c r="G8" s="15"/>
      <c r="H8" s="15"/>
      <c r="L8" s="40" t="s">
        <v>48</v>
      </c>
      <c r="M8" s="43">
        <f>+D8+D12+D13</f>
        <v>972982.22</v>
      </c>
      <c r="N8" s="44">
        <f t="shared" si="2"/>
        <v>0.3399400771</v>
      </c>
    </row>
    <row r="9">
      <c r="B9" s="85" t="s">
        <v>49</v>
      </c>
      <c r="C9" s="15"/>
      <c r="D9" s="42">
        <f>+'Planilha de Rentabilidade'!L46</f>
        <v>117945.9</v>
      </c>
      <c r="E9" s="39">
        <f t="shared" si="1"/>
        <v>0.04120788388</v>
      </c>
      <c r="F9" s="15"/>
      <c r="G9" s="15"/>
      <c r="H9" s="15"/>
      <c r="L9" s="47" t="s">
        <v>77</v>
      </c>
      <c r="M9" s="43">
        <f>+D9+D10</f>
        <v>233917.79</v>
      </c>
      <c r="N9" s="44">
        <f t="shared" si="2"/>
        <v>0.08172608906</v>
      </c>
    </row>
    <row r="10">
      <c r="B10" s="85" t="s">
        <v>51</v>
      </c>
      <c r="C10" s="15"/>
      <c r="D10" s="42">
        <f>+'Planilha de Rentabilidade'!M46</f>
        <v>115971.89</v>
      </c>
      <c r="E10" s="39">
        <f t="shared" si="1"/>
        <v>0.04051820518</v>
      </c>
      <c r="F10" s="15"/>
      <c r="G10" s="15"/>
      <c r="H10" s="15"/>
      <c r="L10" s="40"/>
      <c r="M10" s="87">
        <v>0.0</v>
      </c>
      <c r="N10" s="44">
        <f t="shared" si="2"/>
        <v>0</v>
      </c>
    </row>
    <row r="11">
      <c r="B11" s="85" t="s">
        <v>46</v>
      </c>
      <c r="C11" s="15"/>
      <c r="D11" s="71">
        <v>0.0</v>
      </c>
      <c r="E11" s="39">
        <f t="shared" si="1"/>
        <v>0</v>
      </c>
      <c r="F11" s="15"/>
      <c r="G11" s="15"/>
      <c r="H11" s="15"/>
      <c r="L11" s="40"/>
      <c r="M11" s="40"/>
      <c r="N11" s="44">
        <f t="shared" si="2"/>
        <v>0</v>
      </c>
    </row>
    <row r="12">
      <c r="B12" s="85" t="s">
        <v>52</v>
      </c>
      <c r="C12" s="15"/>
      <c r="D12" s="42">
        <f>+'Planilha de Rentabilidade'!G46+'Planilha de Rentabilidade'!I46</f>
        <v>333752.82</v>
      </c>
      <c r="E12" s="39">
        <f t="shared" si="1"/>
        <v>0.1166064056</v>
      </c>
      <c r="F12" s="15"/>
      <c r="G12" s="15"/>
      <c r="H12" s="15"/>
      <c r="L12" s="40" t="s">
        <v>41</v>
      </c>
      <c r="M12" s="43">
        <f>+D4</f>
        <v>-301628</v>
      </c>
      <c r="N12" s="44">
        <f t="shared" si="2"/>
        <v>-0.1053826508</v>
      </c>
    </row>
    <row r="13">
      <c r="B13" s="89" t="s">
        <v>53</v>
      </c>
      <c r="C13" s="15"/>
      <c r="D13" s="46">
        <f>+'Planilha de Rentabilidade'!H46+'Planilha de Rentabilidade'!J46+'Planilha de Rentabilidade'!K46+'Planilha de Rentabilidade'!S46+'Planilha de Rentabilidade'!V46</f>
        <v>438660.2</v>
      </c>
      <c r="E13" s="39">
        <f t="shared" si="1"/>
        <v>0.1532588974</v>
      </c>
      <c r="F13" s="15"/>
      <c r="G13" s="15"/>
      <c r="H13" s="15"/>
      <c r="L13" s="40"/>
      <c r="M13" s="40"/>
      <c r="N13" s="44">
        <f t="shared" si="2"/>
        <v>0</v>
      </c>
    </row>
    <row r="14">
      <c r="B14" s="85" t="s">
        <v>54</v>
      </c>
      <c r="C14" s="15"/>
      <c r="D14" s="42">
        <f>B33</f>
        <v>1678309.24</v>
      </c>
      <c r="E14" s="39">
        <f t="shared" si="1"/>
        <v>0.5863669044</v>
      </c>
      <c r="F14" s="15"/>
      <c r="G14" s="15"/>
      <c r="H14" s="15"/>
      <c r="L14" s="47" t="s">
        <v>85</v>
      </c>
      <c r="M14" s="43">
        <f>D14</f>
        <v>1678309.24</v>
      </c>
      <c r="N14" s="44">
        <f t="shared" si="2"/>
        <v>0.5863669044</v>
      </c>
    </row>
    <row r="15">
      <c r="B15" s="48"/>
      <c r="C15" s="49" t="s">
        <v>56</v>
      </c>
      <c r="D15" s="49"/>
      <c r="E15" s="77">
        <f>SUM(D4:D14)</f>
        <v>2862216.86</v>
      </c>
      <c r="F15" s="15"/>
      <c r="G15" s="15"/>
      <c r="H15" s="15"/>
      <c r="L15" s="51"/>
      <c r="M15" s="97">
        <f t="shared" ref="M15:N15" si="3">SUM(M4:M14)</f>
        <v>2862216.86</v>
      </c>
      <c r="N15" s="94">
        <f t="shared" si="3"/>
        <v>1</v>
      </c>
    </row>
    <row r="16">
      <c r="C16" s="54"/>
      <c r="D16" s="15"/>
      <c r="E16" s="15"/>
      <c r="F16" s="15"/>
      <c r="G16" s="15"/>
      <c r="H16" s="15"/>
    </row>
    <row r="17">
      <c r="C17" s="54"/>
      <c r="D17" s="15"/>
      <c r="E17" s="15"/>
      <c r="F17" s="15"/>
      <c r="G17" s="15"/>
      <c r="H17" s="15"/>
    </row>
    <row r="18">
      <c r="B18" s="96" t="s">
        <v>99</v>
      </c>
      <c r="C18" s="55"/>
      <c r="D18" s="56"/>
      <c r="E18" s="57"/>
      <c r="F18" s="15"/>
      <c r="G18" s="15"/>
      <c r="H18" s="15"/>
    </row>
    <row r="19">
      <c r="B19" s="58"/>
      <c r="C19" s="59" t="s">
        <v>58</v>
      </c>
      <c r="D19" s="15"/>
      <c r="E19" s="60"/>
      <c r="F19" s="15"/>
      <c r="G19" s="15"/>
      <c r="H19" s="15"/>
    </row>
    <row r="20">
      <c r="B20" s="74">
        <f>+'Planilha de Rentabilidade'!Z46</f>
        <v>363285</v>
      </c>
      <c r="C20" s="54">
        <f t="shared" ref="C20:C33" si="4">B20/$B$33</f>
        <v>0.2164589167</v>
      </c>
      <c r="D20" s="79" t="s">
        <v>79</v>
      </c>
      <c r="E20" s="60"/>
      <c r="F20" s="15"/>
      <c r="G20" s="15"/>
      <c r="H20" s="15"/>
    </row>
    <row r="21">
      <c r="B21" s="63">
        <f>+'Planilha de Rentabilidade'!O46</f>
        <v>120750</v>
      </c>
      <c r="C21" s="54">
        <f t="shared" si="4"/>
        <v>0.07194740821</v>
      </c>
      <c r="D21" s="64" t="s">
        <v>60</v>
      </c>
      <c r="E21" s="60"/>
      <c r="F21" s="15"/>
      <c r="G21" s="15"/>
      <c r="H21" s="15"/>
    </row>
    <row r="22">
      <c r="A22" s="15"/>
      <c r="B22" s="63">
        <f>+'Planilha de Rentabilidade'!U46+'Planilha de Rentabilidade'!AB46+'Planilha de Rentabilidade'!AF46</f>
        <v>729540</v>
      </c>
      <c r="C22" s="54">
        <f t="shared" si="4"/>
        <v>0.4346874715</v>
      </c>
      <c r="D22" s="64" t="s">
        <v>61</v>
      </c>
      <c r="E22" s="60"/>
      <c r="F22" s="15"/>
      <c r="G22" s="15"/>
      <c r="H22" s="15"/>
    </row>
    <row r="23">
      <c r="A23" s="15"/>
      <c r="B23" s="75">
        <v>0.0</v>
      </c>
      <c r="C23" s="54">
        <f t="shared" si="4"/>
        <v>0</v>
      </c>
      <c r="D23" s="64" t="s">
        <v>62</v>
      </c>
      <c r="E23" s="60"/>
      <c r="F23" s="15"/>
      <c r="G23" s="15"/>
      <c r="H23" s="15"/>
    </row>
    <row r="24">
      <c r="A24" s="15"/>
      <c r="B24" s="75">
        <v>0.0</v>
      </c>
      <c r="C24" s="54">
        <f t="shared" si="4"/>
        <v>0</v>
      </c>
      <c r="D24" s="64" t="s">
        <v>63</v>
      </c>
      <c r="E24" s="65"/>
      <c r="F24" s="15"/>
      <c r="G24" s="15"/>
      <c r="H24" s="15"/>
    </row>
    <row r="25">
      <c r="A25" s="15"/>
      <c r="B25" s="63">
        <f>'Planilha de Rentabilidade'!AE46</f>
        <v>57434</v>
      </c>
      <c r="C25" s="54">
        <f t="shared" si="4"/>
        <v>0.03422134529</v>
      </c>
      <c r="D25" s="66" t="s">
        <v>92</v>
      </c>
      <c r="E25" s="60"/>
      <c r="F25" s="15"/>
      <c r="G25" s="15"/>
      <c r="H25" s="15"/>
    </row>
    <row r="26">
      <c r="A26" s="15"/>
      <c r="B26" s="63">
        <f>'Planilha de Rentabilidade'!R46</f>
        <v>0</v>
      </c>
      <c r="C26" s="54">
        <f t="shared" si="4"/>
        <v>0</v>
      </c>
      <c r="D26" s="64" t="s">
        <v>65</v>
      </c>
      <c r="E26" s="60"/>
      <c r="F26" s="15"/>
      <c r="G26" s="15"/>
      <c r="H26" s="15"/>
    </row>
    <row r="27">
      <c r="A27" s="15"/>
      <c r="B27" s="63">
        <v>0.0</v>
      </c>
      <c r="C27" s="54">
        <f t="shared" si="4"/>
        <v>0</v>
      </c>
      <c r="D27" s="66" t="s">
        <v>80</v>
      </c>
      <c r="E27" s="60"/>
      <c r="F27" s="15"/>
      <c r="G27" s="15"/>
      <c r="H27" s="15"/>
    </row>
    <row r="28">
      <c r="A28" s="15"/>
      <c r="B28" s="75">
        <v>0.0</v>
      </c>
      <c r="C28" s="54">
        <f t="shared" si="4"/>
        <v>0</v>
      </c>
      <c r="D28" s="64" t="s">
        <v>67</v>
      </c>
      <c r="E28" s="60"/>
      <c r="F28" s="15"/>
      <c r="G28" s="15"/>
      <c r="H28" s="15"/>
    </row>
    <row r="29">
      <c r="A29" s="15"/>
      <c r="B29" s="63">
        <f>+'Planilha de Rentabilidade'!X46+'Planilha de Rentabilidade'!Y46</f>
        <v>133961.02</v>
      </c>
      <c r="C29" s="54">
        <f t="shared" si="4"/>
        <v>0.07981903264</v>
      </c>
      <c r="D29" s="66" t="s">
        <v>81</v>
      </c>
      <c r="E29" s="60"/>
      <c r="F29" s="15"/>
      <c r="G29" s="15"/>
      <c r="H29" s="15"/>
    </row>
    <row r="30">
      <c r="A30" s="15"/>
      <c r="B30" s="63">
        <f>+'Planilha de Rentabilidade'!T46+'Planilha de Rentabilidade'!AG46</f>
        <v>66461.5</v>
      </c>
      <c r="C30" s="54">
        <f t="shared" si="4"/>
        <v>0.03960027057</v>
      </c>
      <c r="D30" s="64" t="s">
        <v>69</v>
      </c>
      <c r="E30" s="60"/>
      <c r="F30" s="15"/>
      <c r="G30" s="15"/>
      <c r="H30" s="15"/>
    </row>
    <row r="31">
      <c r="A31" s="15"/>
      <c r="B31" s="63">
        <f>+'Planilha de Rentabilidade'!AH46+'Planilha de Rentabilidade'!N46</f>
        <v>206877.72</v>
      </c>
      <c r="C31" s="54">
        <f t="shared" si="4"/>
        <v>0.123265555</v>
      </c>
      <c r="D31" s="64" t="s">
        <v>70</v>
      </c>
      <c r="E31" s="60"/>
      <c r="F31" s="15"/>
      <c r="G31" s="15"/>
      <c r="H31" s="15"/>
    </row>
    <row r="32">
      <c r="A32" s="15"/>
      <c r="B32" s="63">
        <v>0.0</v>
      </c>
      <c r="C32" s="54">
        <f t="shared" si="4"/>
        <v>0</v>
      </c>
      <c r="D32" s="66" t="s">
        <v>71</v>
      </c>
      <c r="E32" s="60"/>
      <c r="F32" s="15"/>
      <c r="G32" s="15"/>
      <c r="H32" s="15"/>
    </row>
    <row r="33">
      <c r="A33" s="15"/>
      <c r="B33" s="67">
        <f>SUM(B20:B32)</f>
        <v>1678309.24</v>
      </c>
      <c r="C33" s="68">
        <f t="shared" si="4"/>
        <v>1</v>
      </c>
      <c r="D33" s="69"/>
      <c r="E33" s="70"/>
      <c r="F33" s="15"/>
      <c r="G33" s="15"/>
      <c r="H33" s="15"/>
    </row>
  </sheetData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outlinePr summaryBelow="0" summaryRight="0"/>
  </sheetPr>
  <sheetViews>
    <sheetView workbookViewId="0"/>
  </sheetViews>
  <sheetFormatPr customHeight="1" defaultColWidth="11.22" defaultRowHeight="15.0"/>
  <cols>
    <col customWidth="1" min="4" max="4" width="13.0"/>
    <col customWidth="1" min="5" max="5" width="14.78"/>
    <col customWidth="1" min="8" max="8" width="16.11"/>
    <col customWidth="1" min="13" max="13" width="12.89"/>
  </cols>
  <sheetData>
    <row r="2">
      <c r="B2" s="96" t="s">
        <v>100</v>
      </c>
      <c r="C2" s="35"/>
      <c r="D2" s="35"/>
      <c r="E2" s="36"/>
      <c r="L2" s="37"/>
      <c r="M2" s="37" t="s">
        <v>40</v>
      </c>
      <c r="N2" s="37"/>
    </row>
    <row r="3">
      <c r="B3" s="38"/>
      <c r="C3" s="15"/>
      <c r="D3" s="15"/>
      <c r="E3" s="39">
        <f>+SUM(E4:E12)</f>
        <v>0.3816207898</v>
      </c>
      <c r="F3" s="15"/>
      <c r="G3" s="15"/>
      <c r="H3" s="15"/>
      <c r="L3" s="40"/>
      <c r="M3" s="40"/>
      <c r="N3" s="40"/>
    </row>
    <row r="4">
      <c r="B4" s="85" t="s">
        <v>41</v>
      </c>
      <c r="C4" s="15"/>
      <c r="D4" s="42">
        <f>+'Planilha de Rentabilidade'!E54</f>
        <v>-130190</v>
      </c>
      <c r="E4" s="39">
        <f t="shared" ref="E4:E14" si="1">D4/$E$15</f>
        <v>-0.04415103358</v>
      </c>
      <c r="F4" s="15"/>
      <c r="G4" s="15"/>
      <c r="H4" s="15"/>
      <c r="L4" s="40" t="s">
        <v>42</v>
      </c>
      <c r="M4" s="43">
        <f>+D5+D6</f>
        <v>280828.92</v>
      </c>
      <c r="N4" s="44">
        <f t="shared" ref="N4:N14" si="2">M4/$M$15</f>
        <v>0.09523686211</v>
      </c>
    </row>
    <row r="5">
      <c r="B5" s="89" t="s">
        <v>101</v>
      </c>
      <c r="C5" s="15"/>
      <c r="D5" s="42">
        <f>+'Planilha de Rentabilidade'!Q54</f>
        <v>59956.26</v>
      </c>
      <c r="E5" s="39">
        <f t="shared" si="1"/>
        <v>0.02033282778</v>
      </c>
      <c r="F5" s="15"/>
      <c r="G5" s="15"/>
      <c r="H5" s="15"/>
      <c r="L5" s="40"/>
      <c r="M5" s="40"/>
      <c r="N5" s="44">
        <f t="shared" si="2"/>
        <v>0</v>
      </c>
    </row>
    <row r="6">
      <c r="B6" s="85" t="s">
        <v>44</v>
      </c>
      <c r="C6" s="15"/>
      <c r="D6" s="42">
        <f>+'Planilha de Rentabilidade'!P54</f>
        <v>220872.66</v>
      </c>
      <c r="E6" s="39">
        <f t="shared" si="1"/>
        <v>0.07490403433</v>
      </c>
      <c r="F6" s="15"/>
      <c r="G6" s="15"/>
      <c r="H6" s="15"/>
      <c r="L6" s="40"/>
      <c r="M6" s="43"/>
      <c r="N6" s="44">
        <f t="shared" si="2"/>
        <v>0</v>
      </c>
    </row>
    <row r="7">
      <c r="B7" s="85" t="s">
        <v>45</v>
      </c>
      <c r="C7" s="15"/>
      <c r="D7" s="71">
        <v>0.0</v>
      </c>
      <c r="E7" s="39">
        <f t="shared" si="1"/>
        <v>0</v>
      </c>
      <c r="F7" s="15"/>
      <c r="G7" s="15"/>
      <c r="H7" s="15"/>
      <c r="L7" s="47" t="s">
        <v>102</v>
      </c>
      <c r="M7" s="87">
        <f>+D12</f>
        <v>509519.27</v>
      </c>
      <c r="N7" s="44">
        <f t="shared" si="2"/>
        <v>0.1727920916</v>
      </c>
    </row>
    <row r="8">
      <c r="B8" s="89" t="s">
        <v>103</v>
      </c>
      <c r="C8" s="15"/>
      <c r="D8" s="42">
        <f>+'Planilha de Rentabilidade'!C54+'Planilha de Rentabilidade'!D54+'Planilha de Rentabilidade'!F54</f>
        <v>228975.11</v>
      </c>
      <c r="E8" s="39">
        <f t="shared" si="1"/>
        <v>0.07765179945</v>
      </c>
      <c r="F8" s="15"/>
      <c r="G8" s="15"/>
      <c r="H8" s="15"/>
      <c r="L8" s="40" t="s">
        <v>48</v>
      </c>
      <c r="M8" s="43">
        <f>+D8+D13</f>
        <v>443583.18</v>
      </c>
      <c r="N8" s="44">
        <f t="shared" si="2"/>
        <v>0.1504313379</v>
      </c>
    </row>
    <row r="9">
      <c r="B9" s="85" t="s">
        <v>49</v>
      </c>
      <c r="C9" s="15"/>
      <c r="D9" s="42">
        <f>+'Planilha de Rentabilidade'!L54</f>
        <v>87154</v>
      </c>
      <c r="E9" s="39">
        <f t="shared" si="1"/>
        <v>0.02955633444</v>
      </c>
      <c r="F9" s="15"/>
      <c r="G9" s="15"/>
      <c r="H9" s="15"/>
      <c r="L9" s="47" t="s">
        <v>77</v>
      </c>
      <c r="M9" s="43">
        <f>+D9+D10</f>
        <v>236167.89</v>
      </c>
      <c r="N9" s="44">
        <f t="shared" si="2"/>
        <v>0.0800910703</v>
      </c>
    </row>
    <row r="10">
      <c r="B10" s="85" t="s">
        <v>51</v>
      </c>
      <c r="C10" s="15"/>
      <c r="D10" s="42">
        <f>+'Planilha de Rentabilidade'!M54</f>
        <v>149013.89</v>
      </c>
      <c r="E10" s="39">
        <f t="shared" si="1"/>
        <v>0.05053473586</v>
      </c>
      <c r="F10" s="15"/>
      <c r="G10" s="15"/>
      <c r="H10" s="15"/>
      <c r="L10" s="40"/>
      <c r="M10" s="87">
        <v>0.0</v>
      </c>
      <c r="N10" s="44">
        <f t="shared" si="2"/>
        <v>0</v>
      </c>
    </row>
    <row r="11">
      <c r="B11" s="85" t="s">
        <v>46</v>
      </c>
      <c r="C11" s="15"/>
      <c r="D11" s="71">
        <v>0.0</v>
      </c>
      <c r="E11" s="39">
        <f t="shared" si="1"/>
        <v>0</v>
      </c>
      <c r="F11" s="15"/>
      <c r="G11" s="15"/>
      <c r="H11" s="15"/>
      <c r="L11" s="40"/>
      <c r="M11" s="40"/>
      <c r="N11" s="44">
        <f t="shared" si="2"/>
        <v>0</v>
      </c>
    </row>
    <row r="12">
      <c r="B12" s="85" t="s">
        <v>52</v>
      </c>
      <c r="C12" s="15"/>
      <c r="D12" s="42">
        <f>+'Planilha de Rentabilidade'!G54+'Planilha de Rentabilidade'!I54+'Planilha de Rentabilidade'!J54</f>
        <v>509519.27</v>
      </c>
      <c r="E12" s="39">
        <f t="shared" si="1"/>
        <v>0.1727920916</v>
      </c>
      <c r="F12" s="15"/>
      <c r="G12" s="15"/>
      <c r="H12" s="15"/>
      <c r="L12" s="40" t="s">
        <v>41</v>
      </c>
      <c r="M12" s="43">
        <f>+D4</f>
        <v>-130190</v>
      </c>
      <c r="N12" s="44">
        <f t="shared" si="2"/>
        <v>-0.04415103358</v>
      </c>
    </row>
    <row r="13">
      <c r="B13" s="89" t="s">
        <v>53</v>
      </c>
      <c r="C13" s="15"/>
      <c r="D13" s="46">
        <f>+'Planilha de Rentabilidade'!H54+'Planilha de Rentabilidade'!K54+'Planilha de Rentabilidade'!S54+'Planilha de Rentabilidade'!V54</f>
        <v>214608.07</v>
      </c>
      <c r="E13" s="39">
        <f t="shared" si="1"/>
        <v>0.07277953841</v>
      </c>
      <c r="F13" s="15"/>
      <c r="G13" s="15"/>
      <c r="H13" s="15"/>
      <c r="L13" s="40"/>
      <c r="M13" s="40"/>
      <c r="N13" s="44">
        <f t="shared" si="2"/>
        <v>0</v>
      </c>
    </row>
    <row r="14">
      <c r="B14" s="85" t="s">
        <v>54</v>
      </c>
      <c r="C14" s="15"/>
      <c r="D14" s="42">
        <f>B33</f>
        <v>1608832.58</v>
      </c>
      <c r="E14" s="39">
        <f t="shared" si="1"/>
        <v>0.5455996718</v>
      </c>
      <c r="F14" s="15"/>
      <c r="G14" s="15"/>
      <c r="H14" s="15"/>
      <c r="L14" s="47" t="s">
        <v>85</v>
      </c>
      <c r="M14" s="43">
        <f>D14</f>
        <v>1608832.58</v>
      </c>
      <c r="N14" s="44">
        <f t="shared" si="2"/>
        <v>0.5455996718</v>
      </c>
    </row>
    <row r="15">
      <c r="B15" s="48"/>
      <c r="C15" s="49" t="s">
        <v>56</v>
      </c>
      <c r="D15" s="49"/>
      <c r="E15" s="77">
        <f>SUM(D4:D14)</f>
        <v>2948741.84</v>
      </c>
      <c r="F15" s="15"/>
      <c r="G15" s="15"/>
      <c r="H15" s="15"/>
      <c r="L15" s="98"/>
      <c r="M15" s="99">
        <f t="shared" ref="M15:N15" si="3">SUM(M4:M14)</f>
        <v>2948741.84</v>
      </c>
      <c r="N15" s="94">
        <f t="shared" si="3"/>
        <v>1</v>
      </c>
    </row>
    <row r="16">
      <c r="C16" s="54"/>
      <c r="D16" s="15"/>
      <c r="E16" s="15"/>
      <c r="F16" s="15"/>
      <c r="G16" s="15"/>
      <c r="H16" s="15"/>
    </row>
    <row r="17">
      <c r="C17" s="54"/>
      <c r="D17" s="15"/>
      <c r="E17" s="15"/>
      <c r="F17" s="15"/>
      <c r="G17" s="15"/>
      <c r="H17" s="15"/>
    </row>
    <row r="18">
      <c r="B18" s="96" t="s">
        <v>104</v>
      </c>
      <c r="C18" s="55"/>
      <c r="D18" s="56"/>
      <c r="E18" s="57"/>
      <c r="F18" s="15"/>
      <c r="G18" s="15"/>
      <c r="H18" s="15"/>
    </row>
    <row r="19">
      <c r="B19" s="58"/>
      <c r="C19" s="59" t="s">
        <v>58</v>
      </c>
      <c r="D19" s="15"/>
      <c r="E19" s="60"/>
      <c r="F19" s="15"/>
      <c r="G19" s="15"/>
      <c r="H19" s="15"/>
    </row>
    <row r="20">
      <c r="B20" s="74">
        <f>+'Planilha de Rentabilidade'!Z54+'Planilha de Rentabilidade'!W54</f>
        <v>389034</v>
      </c>
      <c r="C20" s="54">
        <f t="shared" ref="C20:C33" si="4">B20/$B$33</f>
        <v>0.2418113636</v>
      </c>
      <c r="D20" s="79" t="s">
        <v>79</v>
      </c>
      <c r="E20" s="60"/>
      <c r="F20" s="15"/>
      <c r="G20" s="15"/>
      <c r="H20" s="15"/>
    </row>
    <row r="21">
      <c r="B21" s="63">
        <f>+'Planilha de Rentabilidade'!O54</f>
        <v>0</v>
      </c>
      <c r="C21" s="54">
        <f t="shared" si="4"/>
        <v>0</v>
      </c>
      <c r="D21" s="64" t="s">
        <v>60</v>
      </c>
      <c r="E21" s="60"/>
      <c r="F21" s="15"/>
      <c r="G21" s="15"/>
      <c r="H21" s="15"/>
    </row>
    <row r="22">
      <c r="A22" s="15" t="s">
        <v>88</v>
      </c>
      <c r="B22" s="63">
        <f>+'Planilha de Rentabilidade'!U54+'Planilha de Rentabilidade'!AB54+'Planilha de Rentabilidade'!AF54</f>
        <v>725622.1</v>
      </c>
      <c r="C22" s="54">
        <f t="shared" si="4"/>
        <v>0.4510239965</v>
      </c>
      <c r="D22" s="64" t="s">
        <v>61</v>
      </c>
      <c r="E22" s="60"/>
      <c r="F22" s="15"/>
      <c r="G22" s="15"/>
      <c r="H22" s="15"/>
    </row>
    <row r="23">
      <c r="A23" s="15" t="s">
        <v>89</v>
      </c>
      <c r="B23" s="75">
        <v>0.0</v>
      </c>
      <c r="C23" s="54">
        <f t="shared" si="4"/>
        <v>0</v>
      </c>
      <c r="D23" s="64" t="s">
        <v>62</v>
      </c>
      <c r="E23" s="60"/>
      <c r="F23" s="15"/>
      <c r="G23" s="15"/>
      <c r="H23" s="15"/>
    </row>
    <row r="24">
      <c r="A24" s="15" t="s">
        <v>90</v>
      </c>
      <c r="B24" s="75">
        <v>0.0</v>
      </c>
      <c r="C24" s="54">
        <f t="shared" si="4"/>
        <v>0</v>
      </c>
      <c r="D24" s="64" t="s">
        <v>63</v>
      </c>
      <c r="E24" s="65"/>
      <c r="F24" s="15"/>
      <c r="G24" s="15"/>
      <c r="H24" s="15"/>
    </row>
    <row r="25">
      <c r="A25" s="15" t="s">
        <v>91</v>
      </c>
      <c r="B25" s="63">
        <f>'Planilha de Rentabilidade'!AE54+'Planilha de Rentabilidade'!AD54</f>
        <v>0</v>
      </c>
      <c r="C25" s="54">
        <f t="shared" si="4"/>
        <v>0</v>
      </c>
      <c r="D25" s="66" t="s">
        <v>92</v>
      </c>
      <c r="E25" s="60"/>
      <c r="F25" s="15"/>
      <c r="G25" s="15"/>
      <c r="H25" s="15"/>
    </row>
    <row r="26">
      <c r="A26" s="15" t="s">
        <v>93</v>
      </c>
      <c r="B26" s="63">
        <f>'Planilha de Rentabilidade'!R54</f>
        <v>0</v>
      </c>
      <c r="C26" s="54">
        <f t="shared" si="4"/>
        <v>0</v>
      </c>
      <c r="D26" s="64" t="s">
        <v>65</v>
      </c>
      <c r="E26" s="60"/>
      <c r="F26" s="15"/>
      <c r="G26" s="15"/>
      <c r="H26" s="15"/>
    </row>
    <row r="27">
      <c r="A27" s="15" t="s">
        <v>94</v>
      </c>
      <c r="B27" s="63">
        <v>0.0</v>
      </c>
      <c r="C27" s="54">
        <f t="shared" si="4"/>
        <v>0</v>
      </c>
      <c r="D27" s="66" t="s">
        <v>80</v>
      </c>
      <c r="E27" s="60"/>
      <c r="F27" s="15"/>
      <c r="G27" s="15"/>
      <c r="H27" s="15"/>
    </row>
    <row r="28">
      <c r="A28" s="15" t="s">
        <v>95</v>
      </c>
      <c r="B28" s="75">
        <v>0.0</v>
      </c>
      <c r="C28" s="54">
        <f t="shared" si="4"/>
        <v>0</v>
      </c>
      <c r="D28" s="64" t="s">
        <v>67</v>
      </c>
      <c r="E28" s="60"/>
      <c r="F28" s="15"/>
      <c r="G28" s="15"/>
      <c r="H28" s="15"/>
    </row>
    <row r="29">
      <c r="A29" s="15" t="s">
        <v>96</v>
      </c>
      <c r="B29" s="63">
        <f>+'Planilha de Rentabilidade'!X54+'Planilha de Rentabilidade'!Y54</f>
        <v>192357.28</v>
      </c>
      <c r="C29" s="54">
        <f t="shared" si="4"/>
        <v>0.1195632674</v>
      </c>
      <c r="D29" s="66" t="s">
        <v>81</v>
      </c>
      <c r="E29" s="60"/>
      <c r="F29" s="15"/>
      <c r="G29" s="15"/>
      <c r="H29" s="15"/>
    </row>
    <row r="30">
      <c r="A30" s="15" t="s">
        <v>97</v>
      </c>
      <c r="B30" s="63">
        <f>+'Planilha de Rentabilidade'!T54+'Planilha de Rentabilidade'!AG54</f>
        <v>74470.4</v>
      </c>
      <c r="C30" s="54">
        <f t="shared" si="4"/>
        <v>0.04628847086</v>
      </c>
      <c r="D30" s="64" t="s">
        <v>69</v>
      </c>
      <c r="E30" s="60"/>
      <c r="F30" s="15"/>
      <c r="G30" s="15"/>
      <c r="H30" s="15"/>
    </row>
    <row r="31">
      <c r="A31" s="15"/>
      <c r="B31" s="63">
        <f>+'Planilha de Rentabilidade'!AH54+'Planilha de Rentabilidade'!N54</f>
        <v>227348.8</v>
      </c>
      <c r="C31" s="54">
        <f t="shared" si="4"/>
        <v>0.1413129016</v>
      </c>
      <c r="D31" s="64" t="s">
        <v>70</v>
      </c>
      <c r="E31" s="60"/>
      <c r="F31" s="15"/>
      <c r="G31" s="15"/>
      <c r="H31" s="15"/>
    </row>
    <row r="32">
      <c r="A32" s="15"/>
      <c r="B32" s="63">
        <v>0.0</v>
      </c>
      <c r="C32" s="54">
        <f t="shared" si="4"/>
        <v>0</v>
      </c>
      <c r="D32" s="66" t="s">
        <v>71</v>
      </c>
      <c r="E32" s="60"/>
      <c r="F32" s="15"/>
      <c r="G32" s="15"/>
      <c r="H32" s="15"/>
    </row>
    <row r="33">
      <c r="A33" s="15"/>
      <c r="B33" s="67">
        <f>SUM(B20:B32)</f>
        <v>1608832.58</v>
      </c>
      <c r="C33" s="68">
        <f t="shared" si="4"/>
        <v>1</v>
      </c>
      <c r="D33" s="69"/>
      <c r="E33" s="70"/>
      <c r="F33" s="15"/>
      <c r="G33" s="15"/>
      <c r="H33" s="15"/>
    </row>
  </sheetData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outlinePr summaryBelow="0" summaryRight="0"/>
  </sheetPr>
  <sheetViews>
    <sheetView workbookViewId="0"/>
  </sheetViews>
  <sheetFormatPr customHeight="1" defaultColWidth="11.22" defaultRowHeight="15.0"/>
  <cols>
    <col customWidth="1" min="4" max="4" width="12.56"/>
    <col customWidth="1" min="13" max="13" width="12.56"/>
  </cols>
  <sheetData>
    <row r="2">
      <c r="B2" s="34" t="s">
        <v>105</v>
      </c>
      <c r="C2" s="35"/>
      <c r="D2" s="35"/>
      <c r="E2" s="36"/>
      <c r="L2" s="100">
        <v>45505.0</v>
      </c>
      <c r="M2" s="37" t="s">
        <v>40</v>
      </c>
      <c r="N2" s="37"/>
    </row>
    <row r="3">
      <c r="B3" s="38"/>
      <c r="C3" s="15"/>
      <c r="D3" s="15"/>
      <c r="E3" s="39">
        <f>+SUM(E4:E14)</f>
        <v>1</v>
      </c>
      <c r="F3" s="15"/>
      <c r="G3" s="15"/>
      <c r="H3" s="15"/>
      <c r="L3" s="40"/>
      <c r="M3" s="40"/>
      <c r="N3" s="40"/>
    </row>
    <row r="4">
      <c r="B4" s="85" t="s">
        <v>41</v>
      </c>
      <c r="C4" s="15"/>
      <c r="D4" s="42">
        <f>+'Planilha de Rentabilidade'!E62</f>
        <v>7744</v>
      </c>
      <c r="E4" s="39">
        <f t="shared" ref="E4:E14" si="1">D4/$E$15</f>
        <v>0.002415013028</v>
      </c>
      <c r="F4" s="15"/>
      <c r="G4" s="15"/>
      <c r="H4" s="15"/>
      <c r="L4" s="40" t="s">
        <v>42</v>
      </c>
      <c r="M4" s="43">
        <f>+D5+D6</f>
        <v>282740.46</v>
      </c>
      <c r="N4" s="44">
        <f t="shared" ref="N4:N14" si="2">M4/$M$15</f>
        <v>0.08817431489</v>
      </c>
    </row>
    <row r="5">
      <c r="B5" s="89" t="s">
        <v>101</v>
      </c>
      <c r="C5" s="15"/>
      <c r="D5" s="42">
        <f>+'Planilha de Rentabilidade'!Q62</f>
        <v>60534.56</v>
      </c>
      <c r="E5" s="39">
        <f t="shared" si="1"/>
        <v>0.01887806703</v>
      </c>
      <c r="F5" s="15"/>
      <c r="G5" s="15"/>
      <c r="H5" s="15"/>
      <c r="L5" s="40"/>
      <c r="M5" s="40"/>
      <c r="N5" s="44">
        <f t="shared" si="2"/>
        <v>0</v>
      </c>
    </row>
    <row r="6">
      <c r="B6" s="85" t="s">
        <v>44</v>
      </c>
      <c r="C6" s="15"/>
      <c r="D6" s="42">
        <f>+'Planilha de Rentabilidade'!P62</f>
        <v>222205.9</v>
      </c>
      <c r="E6" s="39">
        <f t="shared" si="1"/>
        <v>0.06929624786</v>
      </c>
      <c r="F6" s="15"/>
      <c r="G6" s="15"/>
      <c r="H6" s="15"/>
      <c r="L6" s="40"/>
      <c r="M6" s="43"/>
      <c r="N6" s="44">
        <f t="shared" si="2"/>
        <v>0</v>
      </c>
    </row>
    <row r="7">
      <c r="B7" s="85" t="s">
        <v>45</v>
      </c>
      <c r="C7" s="15"/>
      <c r="D7" s="71">
        <v>0.0</v>
      </c>
      <c r="E7" s="39">
        <f t="shared" si="1"/>
        <v>0</v>
      </c>
      <c r="F7" s="15"/>
      <c r="G7" s="15"/>
      <c r="H7" s="15"/>
      <c r="L7" s="47" t="s">
        <v>102</v>
      </c>
      <c r="M7" s="87">
        <f>+D12</f>
        <v>515190.14</v>
      </c>
      <c r="N7" s="44">
        <f t="shared" si="2"/>
        <v>0.1606651472</v>
      </c>
    </row>
    <row r="8">
      <c r="B8" s="89" t="s">
        <v>103</v>
      </c>
      <c r="C8" s="15"/>
      <c r="D8" s="42">
        <f>+'Planilha de Rentabilidade'!C62+'Planilha de Rentabilidade'!D62+'Planilha de Rentabilidade'!F62</f>
        <v>176058.57</v>
      </c>
      <c r="E8" s="39">
        <f t="shared" si="1"/>
        <v>0.05490492514</v>
      </c>
      <c r="F8" s="15"/>
      <c r="G8" s="15"/>
      <c r="H8" s="15"/>
      <c r="L8" s="40" t="s">
        <v>48</v>
      </c>
      <c r="M8" s="43">
        <f>+D8+D13</f>
        <v>393165.01</v>
      </c>
      <c r="N8" s="44">
        <f t="shared" si="2"/>
        <v>0.1226108757</v>
      </c>
    </row>
    <row r="9">
      <c r="B9" s="85" t="s">
        <v>49</v>
      </c>
      <c r="C9" s="15"/>
      <c r="D9" s="42">
        <f>+'Planilha de Rentabilidade'!L62</f>
        <v>95224</v>
      </c>
      <c r="E9" s="39">
        <f t="shared" si="1"/>
        <v>0.02969617776</v>
      </c>
      <c r="F9" s="15"/>
      <c r="G9" s="15"/>
      <c r="H9" s="15"/>
      <c r="L9" s="47" t="s">
        <v>77</v>
      </c>
      <c r="M9" s="43">
        <f>+D9+D10</f>
        <v>252867.89</v>
      </c>
      <c r="N9" s="44">
        <f t="shared" si="2"/>
        <v>0.07885837407</v>
      </c>
    </row>
    <row r="10">
      <c r="B10" s="85" t="s">
        <v>51</v>
      </c>
      <c r="C10" s="15"/>
      <c r="D10" s="42">
        <f>+'Planilha de Rentabilidade'!M62</f>
        <v>157643.89</v>
      </c>
      <c r="E10" s="39">
        <f t="shared" si="1"/>
        <v>0.0491621963</v>
      </c>
      <c r="F10" s="15"/>
      <c r="G10" s="15"/>
      <c r="H10" s="15"/>
      <c r="L10" s="40"/>
      <c r="M10" s="87">
        <v>0.0</v>
      </c>
      <c r="N10" s="44">
        <f t="shared" si="2"/>
        <v>0</v>
      </c>
    </row>
    <row r="11">
      <c r="B11" s="85" t="s">
        <v>46</v>
      </c>
      <c r="C11" s="15"/>
      <c r="D11" s="71">
        <v>0.0</v>
      </c>
      <c r="E11" s="39">
        <f t="shared" si="1"/>
        <v>0</v>
      </c>
      <c r="F11" s="15"/>
      <c r="G11" s="15"/>
      <c r="H11" s="15"/>
      <c r="L11" s="40"/>
      <c r="M11" s="40"/>
      <c r="N11" s="44">
        <f t="shared" si="2"/>
        <v>0</v>
      </c>
    </row>
    <row r="12">
      <c r="B12" s="85" t="s">
        <v>52</v>
      </c>
      <c r="C12" s="15"/>
      <c r="D12" s="42">
        <f>+'Planilha de Rentabilidade'!G62+'Planilha de Rentabilidade'!I62+'Planilha de Rentabilidade'!J62</f>
        <v>515190.14</v>
      </c>
      <c r="E12" s="39">
        <f t="shared" si="1"/>
        <v>0.1606651472</v>
      </c>
      <c r="F12" s="15"/>
      <c r="G12" s="15"/>
      <c r="H12" s="15"/>
      <c r="L12" s="40" t="s">
        <v>41</v>
      </c>
      <c r="M12" s="43">
        <f>+D4</f>
        <v>7744</v>
      </c>
      <c r="N12" s="44">
        <f t="shared" si="2"/>
        <v>0.002415013028</v>
      </c>
    </row>
    <row r="13">
      <c r="B13" s="89" t="s">
        <v>53</v>
      </c>
      <c r="C13" s="15"/>
      <c r="D13" s="46">
        <f>+'Planilha de Rentabilidade'!H62+'Planilha de Rentabilidade'!K62+'Planilha de Rentabilidade'!S62+'Planilha de Rentabilidade'!V62</f>
        <v>217106.44</v>
      </c>
      <c r="E13" s="39">
        <f t="shared" si="1"/>
        <v>0.06770595056</v>
      </c>
      <c r="F13" s="15"/>
      <c r="G13" s="15"/>
      <c r="H13" s="15"/>
      <c r="L13" s="40"/>
      <c r="M13" s="40"/>
      <c r="N13" s="44">
        <f t="shared" si="2"/>
        <v>0</v>
      </c>
    </row>
    <row r="14">
      <c r="B14" s="85" t="s">
        <v>54</v>
      </c>
      <c r="C14" s="15"/>
      <c r="D14" s="42">
        <f>B33</f>
        <v>1754900.46</v>
      </c>
      <c r="E14" s="39">
        <f t="shared" si="1"/>
        <v>0.5472762751</v>
      </c>
      <c r="F14" s="15"/>
      <c r="G14" s="15"/>
      <c r="H14" s="15"/>
      <c r="L14" s="47" t="s">
        <v>85</v>
      </c>
      <c r="M14" s="43">
        <f>D14</f>
        <v>1754900.46</v>
      </c>
      <c r="N14" s="44">
        <f t="shared" si="2"/>
        <v>0.5472762751</v>
      </c>
    </row>
    <row r="15">
      <c r="B15" s="48"/>
      <c r="C15" s="49" t="s">
        <v>56</v>
      </c>
      <c r="D15" s="49"/>
      <c r="E15" s="101">
        <f>SUM(D4:D14)</f>
        <v>3206607.96</v>
      </c>
      <c r="F15" s="15"/>
      <c r="G15" s="15"/>
      <c r="H15" s="15"/>
      <c r="L15" s="51"/>
      <c r="M15" s="97">
        <f t="shared" ref="M15:N15" si="3">SUM(M4:M14)</f>
        <v>3206607.96</v>
      </c>
      <c r="N15" s="94">
        <f t="shared" si="3"/>
        <v>1</v>
      </c>
    </row>
    <row r="16">
      <c r="C16" s="54"/>
      <c r="D16" s="15"/>
      <c r="E16" s="15"/>
      <c r="F16" s="15"/>
      <c r="G16" s="15"/>
      <c r="H16" s="15"/>
    </row>
    <row r="17">
      <c r="C17" s="54"/>
      <c r="D17" s="15"/>
      <c r="E17" s="15"/>
      <c r="F17" s="15"/>
      <c r="G17" s="15"/>
      <c r="H17" s="15"/>
    </row>
    <row r="18">
      <c r="B18" s="102" t="s">
        <v>106</v>
      </c>
      <c r="C18" s="55"/>
      <c r="D18" s="56"/>
      <c r="E18" s="57"/>
      <c r="F18" s="15"/>
      <c r="G18" s="15"/>
      <c r="H18" s="15"/>
    </row>
    <row r="19">
      <c r="B19" s="58"/>
      <c r="C19" s="59" t="s">
        <v>58</v>
      </c>
      <c r="D19" s="15"/>
      <c r="E19" s="60"/>
      <c r="F19" s="15"/>
      <c r="G19" s="15"/>
      <c r="H19" s="15"/>
    </row>
    <row r="20">
      <c r="B20" s="74">
        <f>+'Planilha de Rentabilidade'!Z62+'Planilha de Rentabilidade'!W62</f>
        <v>459228</v>
      </c>
      <c r="C20" s="54">
        <f t="shared" ref="C20:C33" si="4">B20/$B$33</f>
        <v>0.2616832182</v>
      </c>
      <c r="D20" s="79" t="s">
        <v>79</v>
      </c>
      <c r="E20" s="60"/>
      <c r="F20" s="15"/>
      <c r="G20" s="15"/>
      <c r="H20" s="15"/>
    </row>
    <row r="21">
      <c r="B21" s="63">
        <f>+'Planilha de Rentabilidade'!O62</f>
        <v>0</v>
      </c>
      <c r="C21" s="54">
        <f t="shared" si="4"/>
        <v>0</v>
      </c>
      <c r="D21" s="64" t="s">
        <v>60</v>
      </c>
      <c r="E21" s="60"/>
      <c r="F21" s="15"/>
      <c r="G21" s="15"/>
      <c r="H21" s="15"/>
    </row>
    <row r="22">
      <c r="B22" s="63">
        <f>+'Planilha de Rentabilidade'!U62+'Planilha de Rentabilidade'!AF62</f>
        <v>737475.5</v>
      </c>
      <c r="C22" s="54">
        <f t="shared" si="4"/>
        <v>0.4202377951</v>
      </c>
      <c r="D22" s="64" t="s">
        <v>61</v>
      </c>
      <c r="E22" s="60"/>
      <c r="F22" s="15"/>
      <c r="G22" s="15"/>
      <c r="H22" s="15"/>
    </row>
    <row r="23">
      <c r="B23" s="75">
        <v>0.0</v>
      </c>
      <c r="C23" s="54">
        <f t="shared" si="4"/>
        <v>0</v>
      </c>
      <c r="D23" s="64" t="s">
        <v>62</v>
      </c>
      <c r="E23" s="60"/>
      <c r="F23" s="15"/>
      <c r="G23" s="15"/>
      <c r="H23" s="15"/>
    </row>
    <row r="24">
      <c r="B24" s="75">
        <f>+'Planilha de Rentabilidade'!AA62</f>
        <v>21636</v>
      </c>
      <c r="C24" s="54">
        <f t="shared" si="4"/>
        <v>0.0123289044</v>
      </c>
      <c r="D24" s="64" t="s">
        <v>63</v>
      </c>
      <c r="E24" s="65"/>
      <c r="F24" s="15"/>
      <c r="G24" s="15"/>
      <c r="H24" s="15"/>
    </row>
    <row r="25">
      <c r="B25" s="75">
        <v>0.0</v>
      </c>
      <c r="C25" s="54">
        <f t="shared" si="4"/>
        <v>0</v>
      </c>
      <c r="D25" s="66" t="s">
        <v>92</v>
      </c>
      <c r="E25" s="60"/>
      <c r="F25" s="15"/>
      <c r="G25" s="15"/>
      <c r="H25" s="15"/>
    </row>
    <row r="26">
      <c r="B26" s="75">
        <v>0.0</v>
      </c>
      <c r="C26" s="54">
        <f t="shared" si="4"/>
        <v>0</v>
      </c>
      <c r="D26" s="64" t="s">
        <v>65</v>
      </c>
      <c r="E26" s="60"/>
      <c r="F26" s="15"/>
      <c r="G26" s="15"/>
      <c r="H26" s="15"/>
    </row>
    <row r="27">
      <c r="B27" s="63">
        <v>0.0</v>
      </c>
      <c r="C27" s="54">
        <f t="shared" si="4"/>
        <v>0</v>
      </c>
      <c r="D27" s="66" t="s">
        <v>80</v>
      </c>
      <c r="E27" s="60"/>
      <c r="F27" s="15"/>
      <c r="G27" s="15"/>
      <c r="H27" s="15"/>
    </row>
    <row r="28">
      <c r="B28" s="75">
        <v>0.0</v>
      </c>
      <c r="C28" s="54">
        <f t="shared" si="4"/>
        <v>0</v>
      </c>
      <c r="D28" s="64" t="s">
        <v>67</v>
      </c>
      <c r="E28" s="60"/>
      <c r="F28" s="15"/>
      <c r="G28" s="15"/>
      <c r="H28" s="15"/>
    </row>
    <row r="29">
      <c r="B29" s="63">
        <f>+'Planilha de Rentabilidade'!X62+'Planilha de Rentabilidade'!Y62</f>
        <v>195348.96</v>
      </c>
      <c r="C29" s="54">
        <f t="shared" si="4"/>
        <v>0.1113162623</v>
      </c>
      <c r="D29" s="66" t="s">
        <v>81</v>
      </c>
      <c r="E29" s="60"/>
      <c r="F29" s="15"/>
      <c r="G29" s="15"/>
      <c r="H29" s="15"/>
    </row>
    <row r="30">
      <c r="B30" s="63">
        <f>+'Planilha de Rentabilidade'!T62+'Planilha de Rentabilidade'!AG62</f>
        <v>91104</v>
      </c>
      <c r="C30" s="54">
        <f t="shared" si="4"/>
        <v>0.05191405557</v>
      </c>
      <c r="D30" s="64" t="s">
        <v>69</v>
      </c>
      <c r="E30" s="60"/>
      <c r="F30" s="15"/>
      <c r="G30" s="15"/>
      <c r="H30" s="15"/>
    </row>
    <row r="31">
      <c r="B31" s="63">
        <f>+'Planilha de Rentabilidade'!AH62+'Planilha de Rentabilidade'!N62</f>
        <v>212448</v>
      </c>
      <c r="C31" s="54">
        <f t="shared" si="4"/>
        <v>0.1210598577</v>
      </c>
      <c r="D31" s="64" t="s">
        <v>70</v>
      </c>
      <c r="E31" s="60"/>
      <c r="F31" s="15"/>
      <c r="G31" s="15"/>
      <c r="H31" s="15"/>
    </row>
    <row r="32">
      <c r="B32" s="63">
        <f>'Planilha de Rentabilidade'!AB62</f>
        <v>37660</v>
      </c>
      <c r="C32" s="54">
        <f t="shared" si="4"/>
        <v>0.02145990662</v>
      </c>
      <c r="D32" s="66" t="s">
        <v>107</v>
      </c>
      <c r="E32" s="60"/>
      <c r="F32" s="15"/>
      <c r="G32" s="15"/>
      <c r="H32" s="15"/>
    </row>
    <row r="33">
      <c r="B33" s="67">
        <f>SUM(B20:B32)</f>
        <v>1754900.46</v>
      </c>
      <c r="C33" s="68">
        <f t="shared" si="4"/>
        <v>1</v>
      </c>
      <c r="D33" s="69"/>
      <c r="E33" s="70"/>
      <c r="F33" s="15"/>
      <c r="G33" s="15"/>
      <c r="H33" s="15"/>
    </row>
  </sheetData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outlinePr summaryBelow="0" summaryRight="0"/>
  </sheetPr>
  <sheetViews>
    <sheetView workbookViewId="0"/>
  </sheetViews>
  <sheetFormatPr customHeight="1" defaultColWidth="11.22" defaultRowHeight="15.0"/>
  <cols>
    <col customWidth="1" min="2" max="2" width="12.78"/>
    <col customWidth="1" min="4" max="4" width="13.22"/>
    <col customWidth="1" min="5" max="5" width="12.67"/>
    <col customWidth="1" min="13" max="13" width="14.11"/>
  </cols>
  <sheetData>
    <row r="2">
      <c r="B2" s="34" t="s">
        <v>108</v>
      </c>
      <c r="C2" s="35"/>
      <c r="D2" s="35"/>
      <c r="E2" s="36"/>
      <c r="L2" s="37"/>
      <c r="M2" s="37" t="s">
        <v>40</v>
      </c>
      <c r="N2" s="37"/>
    </row>
    <row r="3">
      <c r="B3" s="38"/>
      <c r="C3" s="15"/>
      <c r="D3" s="15"/>
      <c r="E3" s="39">
        <f>+SUM(E4:E14)</f>
        <v>1</v>
      </c>
      <c r="F3" s="15"/>
      <c r="G3" s="15"/>
      <c r="H3" s="15"/>
      <c r="L3" s="40"/>
      <c r="M3" s="40"/>
      <c r="N3" s="40"/>
    </row>
    <row r="4">
      <c r="B4" s="38" t="s">
        <v>41</v>
      </c>
      <c r="C4" s="15"/>
      <c r="D4" s="42">
        <f>'Planilha de Rentabilidade'!E70</f>
        <v>1602.28</v>
      </c>
      <c r="E4" s="39">
        <f t="shared" ref="E4:E14" si="1">D4/$E$15</f>
        <v>0.00045439889</v>
      </c>
      <c r="F4" s="15"/>
      <c r="G4" s="15"/>
      <c r="H4" s="15"/>
      <c r="L4" s="40" t="s">
        <v>42</v>
      </c>
      <c r="M4" s="43">
        <f>SUM(D5:D7)</f>
        <v>223964.33</v>
      </c>
      <c r="N4" s="44">
        <f t="shared" ref="N4:N14" si="2">M4/$M$15</f>
        <v>0.06351520517</v>
      </c>
    </row>
    <row r="5">
      <c r="B5" s="38" t="s">
        <v>109</v>
      </c>
      <c r="C5" s="15"/>
      <c r="D5" s="42">
        <v>0.0</v>
      </c>
      <c r="E5" s="39">
        <f t="shared" si="1"/>
        <v>0</v>
      </c>
      <c r="F5" s="15"/>
      <c r="G5" s="15"/>
      <c r="H5" s="15"/>
      <c r="L5" s="40"/>
      <c r="M5" s="40">
        <v>0.0</v>
      </c>
      <c r="N5" s="44">
        <f t="shared" si="2"/>
        <v>0</v>
      </c>
    </row>
    <row r="6">
      <c r="B6" s="38" t="s">
        <v>110</v>
      </c>
      <c r="C6" s="15"/>
      <c r="D6" s="42">
        <f>'Planilha de Rentabilidade'!P70</f>
        <v>223964.33</v>
      </c>
      <c r="E6" s="39">
        <f t="shared" si="1"/>
        <v>0.06351520517</v>
      </c>
      <c r="F6" s="15"/>
      <c r="G6" s="15"/>
      <c r="H6" s="15"/>
      <c r="L6" s="40"/>
      <c r="M6" s="40">
        <v>0.0</v>
      </c>
      <c r="N6" s="44">
        <f t="shared" si="2"/>
        <v>0</v>
      </c>
    </row>
    <row r="7">
      <c r="B7" s="38" t="s">
        <v>45</v>
      </c>
      <c r="C7" s="15"/>
      <c r="D7" s="42">
        <v>0.0</v>
      </c>
      <c r="E7" s="39">
        <f t="shared" si="1"/>
        <v>0</v>
      </c>
      <c r="F7" s="15"/>
      <c r="G7" s="15"/>
      <c r="H7" s="15"/>
      <c r="L7" s="40" t="s">
        <v>46</v>
      </c>
      <c r="M7" s="43">
        <f>+D11</f>
        <v>0</v>
      </c>
      <c r="N7" s="44">
        <f t="shared" si="2"/>
        <v>0</v>
      </c>
    </row>
    <row r="8">
      <c r="B8" s="38" t="s">
        <v>47</v>
      </c>
      <c r="C8" s="15"/>
      <c r="D8" s="42">
        <f>'Planilha de Rentabilidade'!C70+'Planilha de Rentabilidade'!D70+'Planilha de Rentabilidade'!Q70+'Planilha de Rentabilidade'!F70</f>
        <v>239072.52</v>
      </c>
      <c r="E8" s="39">
        <f t="shared" si="1"/>
        <v>0.06779981508</v>
      </c>
      <c r="F8" s="15"/>
      <c r="G8" s="15"/>
      <c r="H8" s="15"/>
      <c r="L8" s="40" t="s">
        <v>48</v>
      </c>
      <c r="M8" s="43">
        <f>D8+D12+D13</f>
        <v>980244.2</v>
      </c>
      <c r="N8" s="44">
        <f t="shared" si="2"/>
        <v>0.2779925334</v>
      </c>
    </row>
    <row r="9">
      <c r="B9" s="38" t="s">
        <v>49</v>
      </c>
      <c r="C9" s="15"/>
      <c r="D9" s="42">
        <f>'Planilha de Rentabilidade'!L70</f>
        <v>112901.82</v>
      </c>
      <c r="E9" s="39">
        <f t="shared" si="1"/>
        <v>0.03201841232</v>
      </c>
      <c r="F9" s="15"/>
      <c r="G9" s="15"/>
      <c r="H9" s="15"/>
      <c r="L9" s="40" t="s">
        <v>50</v>
      </c>
      <c r="M9" s="43">
        <f>+D10</f>
        <v>148177</v>
      </c>
      <c r="N9" s="44">
        <f t="shared" si="2"/>
        <v>0.04202228345</v>
      </c>
    </row>
    <row r="10">
      <c r="B10" s="38" t="s">
        <v>51</v>
      </c>
      <c r="C10" s="15"/>
      <c r="D10" s="42">
        <f>'Planilha de Rentabilidade'!M70</f>
        <v>148177</v>
      </c>
      <c r="E10" s="39">
        <f t="shared" si="1"/>
        <v>0.04202228345</v>
      </c>
      <c r="F10" s="15"/>
      <c r="G10" s="15"/>
      <c r="H10" s="15"/>
      <c r="L10" s="40" t="s">
        <v>49</v>
      </c>
      <c r="M10" s="43">
        <f>D9</f>
        <v>112901.82</v>
      </c>
      <c r="N10" s="44">
        <f t="shared" si="2"/>
        <v>0.03201841232</v>
      </c>
    </row>
    <row r="11">
      <c r="B11" s="38" t="s">
        <v>46</v>
      </c>
      <c r="C11" s="15"/>
      <c r="D11" s="71">
        <v>0.0</v>
      </c>
      <c r="E11" s="39">
        <f t="shared" si="1"/>
        <v>0</v>
      </c>
      <c r="F11" s="15"/>
      <c r="G11" s="15"/>
      <c r="H11" s="15"/>
      <c r="L11" s="40"/>
      <c r="M11" s="40"/>
      <c r="N11" s="44">
        <f t="shared" si="2"/>
        <v>0</v>
      </c>
    </row>
    <row r="12">
      <c r="B12" s="38" t="s">
        <v>52</v>
      </c>
      <c r="C12" s="15"/>
      <c r="D12" s="42">
        <f>'Planilha de Rentabilidade'!G70+'Planilha de Rentabilidade'!I70+'Planilha de Rentabilidade'!J70</f>
        <v>521416.69</v>
      </c>
      <c r="E12" s="39">
        <f t="shared" si="1"/>
        <v>0.1478712617</v>
      </c>
      <c r="F12" s="15"/>
      <c r="G12" s="15"/>
      <c r="H12" s="15"/>
      <c r="L12" s="40" t="s">
        <v>41</v>
      </c>
      <c r="M12" s="43">
        <f>+D4</f>
        <v>1602.28</v>
      </c>
      <c r="N12" s="44">
        <f t="shared" si="2"/>
        <v>0.00045439889</v>
      </c>
    </row>
    <row r="13">
      <c r="B13" s="38" t="s">
        <v>111</v>
      </c>
      <c r="C13" s="15"/>
      <c r="D13" s="46">
        <f>'Planilha de Rentabilidade'!K70</f>
        <v>219754.99</v>
      </c>
      <c r="E13" s="39">
        <f t="shared" si="1"/>
        <v>0.06232145663</v>
      </c>
      <c r="F13" s="15"/>
      <c r="G13" s="15"/>
      <c r="H13" s="15"/>
      <c r="L13" s="40"/>
      <c r="M13" s="40"/>
      <c r="N13" s="44">
        <f t="shared" si="2"/>
        <v>0</v>
      </c>
    </row>
    <row r="14">
      <c r="B14" s="38" t="s">
        <v>54</v>
      </c>
      <c r="C14" s="15"/>
      <c r="D14" s="42">
        <f>B33</f>
        <v>2059263.35</v>
      </c>
      <c r="E14" s="39">
        <f t="shared" si="1"/>
        <v>0.5839971668</v>
      </c>
      <c r="F14" s="15"/>
      <c r="G14" s="15"/>
      <c r="H14" s="15"/>
      <c r="L14" s="40" t="s">
        <v>73</v>
      </c>
      <c r="M14" s="43">
        <f>D14</f>
        <v>2059263.35</v>
      </c>
      <c r="N14" s="44">
        <f t="shared" si="2"/>
        <v>0.5839971668</v>
      </c>
    </row>
    <row r="15">
      <c r="B15" s="48"/>
      <c r="C15" s="49" t="s">
        <v>56</v>
      </c>
      <c r="D15" s="49"/>
      <c r="E15" s="103">
        <f>SUM(D4:D14)</f>
        <v>3526152.98</v>
      </c>
      <c r="F15" s="15"/>
      <c r="G15" s="15"/>
      <c r="H15" s="15"/>
      <c r="L15" s="51"/>
      <c r="M15" s="104">
        <f t="shared" ref="M15:N15" si="3">SUM(M4:M14)</f>
        <v>3526152.98</v>
      </c>
      <c r="N15" s="94">
        <f t="shared" si="3"/>
        <v>1</v>
      </c>
    </row>
    <row r="16">
      <c r="C16" s="54"/>
      <c r="D16" s="15"/>
      <c r="E16" s="15"/>
      <c r="F16" s="15"/>
      <c r="G16" s="15"/>
      <c r="H16" s="15"/>
    </row>
    <row r="17">
      <c r="C17" s="54"/>
      <c r="D17" s="15"/>
      <c r="E17" s="15"/>
      <c r="F17" s="15"/>
      <c r="G17" s="15"/>
      <c r="H17" s="15"/>
    </row>
    <row r="18">
      <c r="B18" s="34" t="s">
        <v>112</v>
      </c>
      <c r="C18" s="55"/>
      <c r="D18" s="56"/>
      <c r="E18" s="57"/>
      <c r="F18" s="15"/>
      <c r="G18" s="15"/>
      <c r="H18" s="15"/>
    </row>
    <row r="19">
      <c r="B19" s="58"/>
      <c r="C19" s="59" t="s">
        <v>58</v>
      </c>
      <c r="D19" s="15"/>
      <c r="E19" s="60"/>
      <c r="F19" s="15"/>
      <c r="G19" s="15"/>
      <c r="H19" s="15"/>
    </row>
    <row r="20">
      <c r="B20" s="74">
        <f>'Planilha de Rentabilidade'!Z70+'Planilha de Rentabilidade'!AD70+'Planilha de Rentabilidade'!W70</f>
        <v>479325</v>
      </c>
      <c r="C20" s="54">
        <f t="shared" ref="C20:C33" si="4">B20/$B$33</f>
        <v>0.232765275</v>
      </c>
      <c r="D20" s="79" t="s">
        <v>79</v>
      </c>
      <c r="E20" s="60"/>
      <c r="F20" s="15"/>
      <c r="G20" s="15"/>
      <c r="H20" s="15"/>
    </row>
    <row r="21">
      <c r="B21" s="63">
        <v>0.0</v>
      </c>
      <c r="C21" s="54">
        <f t="shared" si="4"/>
        <v>0</v>
      </c>
      <c r="D21" s="64" t="s">
        <v>60</v>
      </c>
      <c r="E21" s="60"/>
      <c r="F21" s="15"/>
      <c r="G21" s="15"/>
      <c r="H21" s="15"/>
    </row>
    <row r="22">
      <c r="B22" s="63">
        <f>'Planilha de Rentabilidade'!U70+'Planilha de Rentabilidade'!AF70</f>
        <v>889008.25</v>
      </c>
      <c r="C22" s="54">
        <f t="shared" si="4"/>
        <v>0.4317117818</v>
      </c>
      <c r="D22" s="64" t="s">
        <v>61</v>
      </c>
      <c r="E22" s="60"/>
      <c r="F22" s="15"/>
      <c r="G22" s="15"/>
      <c r="H22" s="15"/>
    </row>
    <row r="23">
      <c r="B23" s="63">
        <f>'Planilha de Rentabilidade'!F70</f>
        <v>0</v>
      </c>
      <c r="C23" s="54">
        <f t="shared" si="4"/>
        <v>0</v>
      </c>
      <c r="D23" s="64" t="s">
        <v>62</v>
      </c>
      <c r="E23" s="60"/>
      <c r="F23" s="15"/>
      <c r="G23" s="15"/>
      <c r="H23" s="15"/>
    </row>
    <row r="24">
      <c r="B24" s="63">
        <f>'Planilha de Rentabilidade'!AA70+'Planilha de Rentabilidade'!AE70</f>
        <v>101574</v>
      </c>
      <c r="C24" s="54">
        <f t="shared" si="4"/>
        <v>0.04932540561</v>
      </c>
      <c r="D24" s="64" t="s">
        <v>63</v>
      </c>
      <c r="E24" s="65"/>
      <c r="F24" s="15"/>
      <c r="G24" s="15"/>
      <c r="H24" s="15"/>
    </row>
    <row r="25">
      <c r="B25" s="63">
        <v>0.0</v>
      </c>
      <c r="C25" s="54">
        <f t="shared" si="4"/>
        <v>0</v>
      </c>
      <c r="D25" s="66" t="s">
        <v>92</v>
      </c>
      <c r="E25" s="60"/>
      <c r="F25" s="15"/>
      <c r="G25" s="15"/>
      <c r="H25" s="15"/>
    </row>
    <row r="26">
      <c r="B26" s="63">
        <f>'Planilha de Rentabilidade'!R70+'Planilha de Rentabilidade'!AC70</f>
        <v>0</v>
      </c>
      <c r="C26" s="54">
        <f t="shared" si="4"/>
        <v>0</v>
      </c>
      <c r="D26" s="64" t="s">
        <v>65</v>
      </c>
      <c r="E26" s="60"/>
      <c r="F26" s="15"/>
      <c r="G26" s="15"/>
      <c r="H26" s="15"/>
    </row>
    <row r="27">
      <c r="B27" s="63">
        <v>0.0</v>
      </c>
      <c r="C27" s="54">
        <f t="shared" si="4"/>
        <v>0</v>
      </c>
      <c r="D27" s="66" t="s">
        <v>80</v>
      </c>
      <c r="E27" s="60"/>
      <c r="F27" s="15"/>
      <c r="G27" s="15"/>
      <c r="H27" s="15"/>
    </row>
    <row r="28">
      <c r="B28" s="63">
        <v>0.0</v>
      </c>
      <c r="C28" s="54">
        <f t="shared" si="4"/>
        <v>0</v>
      </c>
      <c r="D28" s="64" t="s">
        <v>67</v>
      </c>
      <c r="E28" s="60"/>
      <c r="F28" s="15"/>
      <c r="G28" s="15"/>
      <c r="H28" s="15"/>
    </row>
    <row r="29">
      <c r="B29" s="63">
        <f>'Planilha de Rentabilidade'!X70+'Planilha de Rentabilidade'!Y70</f>
        <v>160329.96</v>
      </c>
      <c r="C29" s="54">
        <f t="shared" si="4"/>
        <v>0.07785791944</v>
      </c>
      <c r="D29" s="66" t="s">
        <v>81</v>
      </c>
      <c r="E29" s="60"/>
      <c r="F29" s="15"/>
      <c r="G29" s="15"/>
      <c r="H29" s="15"/>
    </row>
    <row r="30">
      <c r="B30" s="63">
        <f>'Planilha de Rentabilidade'!AG70+'Planilha de Rentabilidade'!T70</f>
        <v>119528.64</v>
      </c>
      <c r="C30" s="54">
        <f t="shared" si="4"/>
        <v>0.05804436815</v>
      </c>
      <c r="D30" s="64" t="s">
        <v>69</v>
      </c>
      <c r="E30" s="60"/>
      <c r="F30" s="15"/>
      <c r="G30" s="15"/>
      <c r="H30" s="15"/>
    </row>
    <row r="31">
      <c r="B31" s="63">
        <f>'Planilha de Rentabilidade'!AH70+'Planilha de Rentabilidade'!N70</f>
        <v>247243.5</v>
      </c>
      <c r="C31" s="54">
        <f t="shared" si="4"/>
        <v>0.1200640511</v>
      </c>
      <c r="D31" s="64" t="s">
        <v>70</v>
      </c>
      <c r="E31" s="60"/>
      <c r="F31" s="15"/>
      <c r="G31" s="15"/>
      <c r="H31" s="15"/>
    </row>
    <row r="32">
      <c r="B32" s="63">
        <f>'Planilha de Rentabilidade'!AB70</f>
        <v>62254</v>
      </c>
      <c r="C32" s="54">
        <f t="shared" si="4"/>
        <v>0.03023119894</v>
      </c>
      <c r="D32" s="66" t="s">
        <v>107</v>
      </c>
      <c r="E32" s="60"/>
      <c r="F32" s="15"/>
      <c r="G32" s="15"/>
      <c r="H32" s="15"/>
    </row>
    <row r="33">
      <c r="B33" s="67">
        <f>SUM(B20:B32)</f>
        <v>2059263.35</v>
      </c>
      <c r="C33" s="68">
        <f t="shared" si="4"/>
        <v>1</v>
      </c>
      <c r="D33" s="69"/>
      <c r="E33" s="70"/>
      <c r="F33" s="15"/>
      <c r="G33" s="15"/>
      <c r="H33" s="15"/>
    </row>
  </sheetData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outlinePr summaryBelow="0" summaryRight="0"/>
  </sheetPr>
  <sheetViews>
    <sheetView workbookViewId="0"/>
  </sheetViews>
  <sheetFormatPr customHeight="1" defaultColWidth="11.22" defaultRowHeight="15.0"/>
  <cols>
    <col customWidth="1" min="13" max="13" width="13.33"/>
  </cols>
  <sheetData>
    <row r="2">
      <c r="B2" s="96" t="s">
        <v>113</v>
      </c>
      <c r="C2" s="35"/>
      <c r="D2" s="35"/>
      <c r="E2" s="36"/>
      <c r="L2" s="37"/>
      <c r="M2" s="37" t="s">
        <v>40</v>
      </c>
      <c r="N2" s="37"/>
    </row>
    <row r="3">
      <c r="B3" s="38"/>
      <c r="C3" s="15"/>
      <c r="D3" s="15"/>
      <c r="E3" s="39">
        <f>+SUM(E4:E14)</f>
        <v>1</v>
      </c>
      <c r="F3" s="15"/>
      <c r="G3" s="15"/>
      <c r="H3" s="15"/>
      <c r="L3" s="40"/>
      <c r="M3" s="40"/>
      <c r="N3" s="40"/>
    </row>
    <row r="4">
      <c r="B4" s="38" t="s">
        <v>41</v>
      </c>
      <c r="C4" s="15"/>
      <c r="D4" s="42">
        <f>'Planilha de Rentabilidade'!E78</f>
        <v>39161.52</v>
      </c>
      <c r="E4" s="39">
        <f t="shared" ref="E4:E14" si="1">D4/$E$15</f>
        <v>0.01139947925</v>
      </c>
      <c r="F4" s="15"/>
      <c r="G4" s="15"/>
      <c r="H4" s="15"/>
      <c r="L4" s="40" t="s">
        <v>42</v>
      </c>
      <c r="M4" s="43">
        <f>SUM(D5:D7)</f>
        <v>287759.54</v>
      </c>
      <c r="N4" s="44">
        <f t="shared" ref="N4:N14" si="2">M4/$M$15</f>
        <v>0.08376357469</v>
      </c>
    </row>
    <row r="5">
      <c r="B5" s="38" t="s">
        <v>109</v>
      </c>
      <c r="C5" s="15"/>
      <c r="D5" s="42">
        <f>+'Planilha de Rentabilidade'!Q78</f>
        <v>61291.33</v>
      </c>
      <c r="E5" s="39">
        <f t="shared" si="1"/>
        <v>0.01784121874</v>
      </c>
      <c r="F5" s="15"/>
      <c r="G5" s="15"/>
      <c r="H5" s="15"/>
      <c r="L5" s="40"/>
      <c r="M5" s="40">
        <v>0.0</v>
      </c>
      <c r="N5" s="44">
        <f t="shared" si="2"/>
        <v>0</v>
      </c>
    </row>
    <row r="6">
      <c r="B6" s="38" t="s">
        <v>110</v>
      </c>
      <c r="C6" s="15"/>
      <c r="D6" s="42">
        <f>'Planilha de Rentabilidade'!P78</f>
        <v>226468.21</v>
      </c>
      <c r="E6" s="39">
        <f t="shared" si="1"/>
        <v>0.06592235594</v>
      </c>
      <c r="F6" s="15"/>
      <c r="G6" s="15"/>
      <c r="H6" s="15"/>
      <c r="L6" s="40"/>
      <c r="M6" s="40">
        <v>0.0</v>
      </c>
      <c r="N6" s="44">
        <f t="shared" si="2"/>
        <v>0</v>
      </c>
    </row>
    <row r="7">
      <c r="B7" s="38" t="s">
        <v>45</v>
      </c>
      <c r="C7" s="15"/>
      <c r="D7" s="42">
        <v>0.0</v>
      </c>
      <c r="E7" s="39">
        <f t="shared" si="1"/>
        <v>0</v>
      </c>
      <c r="F7" s="15"/>
      <c r="G7" s="15"/>
      <c r="H7" s="15"/>
      <c r="L7" s="40" t="s">
        <v>46</v>
      </c>
      <c r="M7" s="43">
        <f>+D11</f>
        <v>0</v>
      </c>
      <c r="N7" s="44">
        <f t="shared" si="2"/>
        <v>0</v>
      </c>
    </row>
    <row r="8">
      <c r="B8" s="38" t="s">
        <v>47</v>
      </c>
      <c r="C8" s="15"/>
      <c r="D8" s="42">
        <f>'Planilha de Rentabilidade'!C78+'Planilha de Rentabilidade'!D78+'Planilha de Rentabilidade'!F78</f>
        <v>180525.58</v>
      </c>
      <c r="E8" s="39">
        <f t="shared" si="1"/>
        <v>0.05254897163</v>
      </c>
      <c r="F8" s="15"/>
      <c r="G8" s="15"/>
      <c r="H8" s="15"/>
      <c r="L8" s="40" t="s">
        <v>48</v>
      </c>
      <c r="M8" s="43">
        <f>D8+D12+D13</f>
        <v>930923.68</v>
      </c>
      <c r="N8" s="44">
        <f t="shared" si="2"/>
        <v>0.2709814423</v>
      </c>
    </row>
    <row r="9">
      <c r="B9" s="38" t="s">
        <v>49</v>
      </c>
      <c r="C9" s="15"/>
      <c r="D9" s="42">
        <f>'Planilha de Rentabilidade'!L78</f>
        <v>97915.3</v>
      </c>
      <c r="E9" s="39">
        <f t="shared" si="1"/>
        <v>0.02850204565</v>
      </c>
      <c r="F9" s="15"/>
      <c r="G9" s="15"/>
      <c r="H9" s="15"/>
      <c r="L9" s="47" t="s">
        <v>114</v>
      </c>
      <c r="M9" s="43">
        <f>+D10</f>
        <v>163088.45</v>
      </c>
      <c r="N9" s="44">
        <f t="shared" si="2"/>
        <v>0.04747321865</v>
      </c>
    </row>
    <row r="10">
      <c r="B10" s="105" t="s">
        <v>114</v>
      </c>
      <c r="C10" s="15"/>
      <c r="D10" s="42">
        <f>'Planilha de Rentabilidade'!M78</f>
        <v>163088.45</v>
      </c>
      <c r="E10" s="39">
        <f t="shared" si="1"/>
        <v>0.04747321865</v>
      </c>
      <c r="F10" s="15"/>
      <c r="G10" s="15"/>
      <c r="H10" s="15"/>
      <c r="L10" s="40" t="s">
        <v>49</v>
      </c>
      <c r="M10" s="43">
        <f>D9</f>
        <v>97915.3</v>
      </c>
      <c r="N10" s="44">
        <f t="shared" si="2"/>
        <v>0.02850204565</v>
      </c>
    </row>
    <row r="11">
      <c r="B11" s="38" t="s">
        <v>46</v>
      </c>
      <c r="C11" s="15"/>
      <c r="D11" s="71">
        <v>0.0</v>
      </c>
      <c r="E11" s="39">
        <f t="shared" si="1"/>
        <v>0</v>
      </c>
      <c r="F11" s="15"/>
      <c r="G11" s="15"/>
      <c r="H11" s="15"/>
      <c r="L11" s="40"/>
      <c r="M11" s="40"/>
      <c r="N11" s="44">
        <f t="shared" si="2"/>
        <v>0</v>
      </c>
    </row>
    <row r="12">
      <c r="B12" s="38" t="s">
        <v>52</v>
      </c>
      <c r="C12" s="15"/>
      <c r="D12" s="42">
        <f>'Planilha de Rentabilidade'!G78+'Planilha de Rentabilidade'!I78+'Planilha de Rentabilidade'!J78</f>
        <v>527839.63</v>
      </c>
      <c r="E12" s="39">
        <f t="shared" si="1"/>
        <v>0.1536481962</v>
      </c>
      <c r="F12" s="15"/>
      <c r="G12" s="15"/>
      <c r="H12" s="15"/>
      <c r="L12" s="40" t="s">
        <v>41</v>
      </c>
      <c r="M12" s="43">
        <f>+D4</f>
        <v>39161.52</v>
      </c>
      <c r="N12" s="44">
        <f t="shared" si="2"/>
        <v>0.01139947925</v>
      </c>
    </row>
    <row r="13">
      <c r="B13" s="105" t="s">
        <v>53</v>
      </c>
      <c r="C13" s="15"/>
      <c r="D13" s="46">
        <f>'Planilha de Rentabilidade'!K78</f>
        <v>222558.47</v>
      </c>
      <c r="E13" s="39">
        <f t="shared" si="1"/>
        <v>0.06478427448</v>
      </c>
      <c r="F13" s="15"/>
      <c r="G13" s="15"/>
      <c r="H13" s="15"/>
      <c r="L13" s="40"/>
      <c r="M13" s="40"/>
      <c r="N13" s="44">
        <f t="shared" si="2"/>
        <v>0</v>
      </c>
    </row>
    <row r="14">
      <c r="B14" s="38" t="s">
        <v>54</v>
      </c>
      <c r="C14" s="15"/>
      <c r="D14" s="42">
        <f>B33</f>
        <v>1916529.49</v>
      </c>
      <c r="E14" s="39">
        <f t="shared" si="1"/>
        <v>0.5578802394</v>
      </c>
      <c r="F14" s="15"/>
      <c r="G14" s="15"/>
      <c r="H14" s="15"/>
      <c r="L14" s="47" t="s">
        <v>115</v>
      </c>
      <c r="M14" s="43">
        <f>D14</f>
        <v>1916529.49</v>
      </c>
      <c r="N14" s="44">
        <f t="shared" si="2"/>
        <v>0.5578802394</v>
      </c>
    </row>
    <row r="15">
      <c r="B15" s="48"/>
      <c r="C15" s="49" t="s">
        <v>56</v>
      </c>
      <c r="D15" s="49"/>
      <c r="E15" s="103">
        <f>SUM(D4:D14)</f>
        <v>3435377.98</v>
      </c>
      <c r="F15" s="15"/>
      <c r="G15" s="15"/>
      <c r="H15" s="15"/>
      <c r="L15" s="51"/>
      <c r="M15" s="104">
        <f t="shared" ref="M15:N15" si="3">SUM(M4:M14)</f>
        <v>3435377.98</v>
      </c>
      <c r="N15" s="94">
        <f t="shared" si="3"/>
        <v>1</v>
      </c>
    </row>
    <row r="16">
      <c r="C16" s="54"/>
      <c r="D16" s="15"/>
      <c r="E16" s="15"/>
      <c r="F16" s="15"/>
      <c r="G16" s="15"/>
      <c r="H16" s="15"/>
    </row>
    <row r="17">
      <c r="C17" s="54"/>
      <c r="D17" s="15"/>
      <c r="E17" s="15"/>
      <c r="F17" s="15"/>
      <c r="G17" s="15"/>
      <c r="H17" s="15"/>
    </row>
    <row r="18">
      <c r="B18" s="34" t="s">
        <v>116</v>
      </c>
      <c r="C18" s="55"/>
      <c r="D18" s="56"/>
      <c r="E18" s="57"/>
      <c r="F18" s="15"/>
      <c r="G18" s="15"/>
      <c r="H18" s="15"/>
    </row>
    <row r="19">
      <c r="B19" s="58"/>
      <c r="C19" s="59" t="s">
        <v>58</v>
      </c>
      <c r="D19" s="15"/>
      <c r="E19" s="60"/>
      <c r="F19" s="15"/>
      <c r="G19" s="15"/>
      <c r="H19" s="15"/>
    </row>
    <row r="20">
      <c r="B20" s="74">
        <f>'Planilha de Rentabilidade'!Z78++'Planilha de Rentabilidade'!W78</f>
        <v>277780</v>
      </c>
      <c r="C20" s="54">
        <f t="shared" ref="C20:C33" si="4">B20/$B$33</f>
        <v>0.144939069</v>
      </c>
      <c r="D20" s="79" t="s">
        <v>79</v>
      </c>
      <c r="E20" s="60"/>
      <c r="F20" s="15"/>
      <c r="G20" s="15"/>
      <c r="H20" s="15"/>
    </row>
    <row r="21">
      <c r="B21" s="63">
        <v>0.0</v>
      </c>
      <c r="C21" s="54">
        <f t="shared" si="4"/>
        <v>0</v>
      </c>
      <c r="D21" s="64" t="s">
        <v>60</v>
      </c>
      <c r="E21" s="60"/>
      <c r="F21" s="15"/>
      <c r="G21" s="15"/>
      <c r="H21" s="15"/>
    </row>
    <row r="22">
      <c r="B22" s="63">
        <f>'Planilha de Rentabilidade'!U78+'Planilha de Rentabilidade'!AF78</f>
        <v>909677.9</v>
      </c>
      <c r="C22" s="54">
        <f t="shared" si="4"/>
        <v>0.4746485273</v>
      </c>
      <c r="D22" s="64" t="s">
        <v>61</v>
      </c>
      <c r="E22" s="60"/>
      <c r="F22" s="15"/>
      <c r="G22" s="15"/>
      <c r="H22" s="15"/>
    </row>
    <row r="23">
      <c r="B23" s="63">
        <f>'Planilha de Rentabilidade'!V78</f>
        <v>120152</v>
      </c>
      <c r="C23" s="54">
        <f t="shared" si="4"/>
        <v>0.06269248693</v>
      </c>
      <c r="D23" s="66" t="s">
        <v>117</v>
      </c>
      <c r="E23" s="60"/>
      <c r="F23" s="15"/>
      <c r="G23" s="15"/>
      <c r="H23" s="15"/>
    </row>
    <row r="24">
      <c r="B24" s="63">
        <f>'Planilha de Rentabilidade'!AA78+'Planilha de Rentabilidade'!AE78</f>
        <v>110097</v>
      </c>
      <c r="C24" s="54">
        <f t="shared" si="4"/>
        <v>0.05744602448</v>
      </c>
      <c r="D24" s="64" t="s">
        <v>63</v>
      </c>
      <c r="E24" s="65"/>
      <c r="F24" s="15"/>
      <c r="G24" s="15"/>
      <c r="H24" s="15"/>
    </row>
    <row r="25">
      <c r="B25" s="63">
        <f>+'Planilha de Rentabilidade'!AD78+'Planilha de Rentabilidade'!AC78</f>
        <v>0</v>
      </c>
      <c r="C25" s="54">
        <f t="shared" si="4"/>
        <v>0</v>
      </c>
      <c r="D25" s="66" t="s">
        <v>118</v>
      </c>
      <c r="E25" s="60"/>
      <c r="F25" s="15"/>
      <c r="G25" s="15"/>
      <c r="H25" s="15"/>
    </row>
    <row r="26">
      <c r="B26" s="63">
        <f>'Planilha de Rentabilidade'!R70+'Planilha de Rentabilidade'!AC70</f>
        <v>0</v>
      </c>
      <c r="C26" s="54">
        <f t="shared" si="4"/>
        <v>0</v>
      </c>
      <c r="D26" s="64" t="s">
        <v>65</v>
      </c>
      <c r="E26" s="60"/>
      <c r="F26" s="15"/>
      <c r="G26" s="15"/>
      <c r="H26" s="15"/>
    </row>
    <row r="27">
      <c r="B27" s="63">
        <v>0.0</v>
      </c>
      <c r="C27" s="54">
        <f t="shared" si="4"/>
        <v>0</v>
      </c>
      <c r="D27" s="66" t="s">
        <v>80</v>
      </c>
      <c r="E27" s="60"/>
      <c r="F27" s="15"/>
      <c r="G27" s="15"/>
      <c r="H27" s="15"/>
    </row>
    <row r="28">
      <c r="B28" s="63">
        <f>+'Planilha de Rentabilidade'!R78</f>
        <v>104364</v>
      </c>
      <c r="C28" s="54">
        <f t="shared" si="4"/>
        <v>0.05445467995</v>
      </c>
      <c r="D28" s="66" t="s">
        <v>119</v>
      </c>
      <c r="E28" s="60"/>
      <c r="F28" s="15"/>
      <c r="G28" s="15"/>
      <c r="H28" s="15"/>
    </row>
    <row r="29">
      <c r="B29" s="63">
        <f>'Planilha de Rentabilidade'!X78+'Planilha de Rentabilidade'!Y78</f>
        <v>38391.2</v>
      </c>
      <c r="C29" s="54">
        <f t="shared" si="4"/>
        <v>0.02003162498</v>
      </c>
      <c r="D29" s="66" t="s">
        <v>81</v>
      </c>
      <c r="E29" s="60"/>
      <c r="F29" s="15"/>
      <c r="G29" s="15"/>
      <c r="H29" s="15"/>
    </row>
    <row r="30">
      <c r="B30" s="63">
        <f>'Planilha de Rentabilidade'!AG78+'Planilha de Rentabilidade'!T78</f>
        <v>81166.04</v>
      </c>
      <c r="C30" s="54">
        <f t="shared" si="4"/>
        <v>0.04235053018</v>
      </c>
      <c r="D30" s="64" t="s">
        <v>69</v>
      </c>
      <c r="E30" s="60"/>
      <c r="F30" s="15"/>
      <c r="G30" s="15"/>
      <c r="H30" s="15"/>
    </row>
    <row r="31">
      <c r="B31" s="63">
        <f>'Planilha de Rentabilidade'!AH78+'Planilha de Rentabilidade'!N78</f>
        <v>144236.35</v>
      </c>
      <c r="C31" s="54">
        <f t="shared" si="4"/>
        <v>0.07525913416</v>
      </c>
      <c r="D31" s="64" t="s">
        <v>70</v>
      </c>
      <c r="E31" s="60"/>
      <c r="F31" s="15"/>
      <c r="G31" s="15"/>
      <c r="H31" s="15"/>
    </row>
    <row r="32">
      <c r="B32" s="63">
        <f>'Planilha de Rentabilidade'!AB78</f>
        <v>130665</v>
      </c>
      <c r="C32" s="54">
        <f t="shared" si="4"/>
        <v>0.068177923</v>
      </c>
      <c r="D32" s="66" t="s">
        <v>107</v>
      </c>
      <c r="E32" s="60"/>
      <c r="F32" s="15"/>
      <c r="G32" s="15"/>
      <c r="H32" s="15"/>
    </row>
    <row r="33">
      <c r="B33" s="67">
        <f>SUM(B20:B32)</f>
        <v>1916529.49</v>
      </c>
      <c r="C33" s="68">
        <f t="shared" si="4"/>
        <v>1</v>
      </c>
      <c r="D33" s="69"/>
      <c r="E33" s="70"/>
      <c r="F33" s="15"/>
      <c r="G33" s="15"/>
      <c r="H33" s="15"/>
    </row>
  </sheetData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outlinePr summaryBelow="0" summaryRight="0"/>
  </sheetPr>
  <sheetViews>
    <sheetView workbookViewId="0"/>
  </sheetViews>
  <sheetFormatPr customHeight="1" defaultColWidth="11.22" defaultRowHeight="15.0"/>
  <cols>
    <col customWidth="1" min="2" max="2" width="12.0"/>
    <col customWidth="1" min="4" max="4" width="13.11"/>
    <col customWidth="1" min="5" max="5" width="12.78"/>
    <col customWidth="1" min="12" max="12" width="9.89"/>
    <col customWidth="1" min="13" max="13" width="13.0"/>
  </cols>
  <sheetData>
    <row r="1">
      <c r="B1" s="106"/>
    </row>
    <row r="2">
      <c r="B2" s="107" t="s">
        <v>120</v>
      </c>
      <c r="C2" s="35"/>
      <c r="D2" s="35"/>
      <c r="E2" s="36"/>
      <c r="L2" s="37"/>
      <c r="M2" s="37" t="s">
        <v>40</v>
      </c>
      <c r="N2" s="37"/>
    </row>
    <row r="3">
      <c r="B3" s="108"/>
      <c r="C3" s="15"/>
      <c r="D3" s="15"/>
      <c r="E3" s="39">
        <f>+SUM(E4:E14)</f>
        <v>1</v>
      </c>
      <c r="F3" s="15"/>
      <c r="G3" s="15"/>
      <c r="H3" s="15"/>
      <c r="L3" s="40"/>
      <c r="M3" s="40"/>
      <c r="N3" s="40"/>
    </row>
    <row r="4">
      <c r="B4" s="108" t="s">
        <v>41</v>
      </c>
      <c r="C4" s="15"/>
      <c r="D4" s="42">
        <f>'Planilha de Rentabilidade'!E86</f>
        <v>280383.23</v>
      </c>
      <c r="E4" s="39">
        <f t="shared" ref="E4:E14" si="1">D4/$E$15</f>
        <v>0.07969669931</v>
      </c>
      <c r="F4" s="15"/>
      <c r="G4" s="15"/>
      <c r="H4" s="15"/>
      <c r="L4" s="40" t="s">
        <v>42</v>
      </c>
      <c r="M4" s="43">
        <f>SUM(D5:D7)</f>
        <v>289665.94</v>
      </c>
      <c r="N4" s="44">
        <f t="shared" ref="N4:N14" si="2">M4/$M$15</f>
        <v>0.08233523567</v>
      </c>
    </row>
    <row r="5">
      <c r="B5" s="108" t="s">
        <v>109</v>
      </c>
      <c r="C5" s="15"/>
      <c r="D5" s="42">
        <f>+'Planilha de Rentabilidade'!Q86</f>
        <v>62045.12</v>
      </c>
      <c r="E5" s="39">
        <f t="shared" si="1"/>
        <v>0.01763583105</v>
      </c>
      <c r="F5" s="15"/>
      <c r="G5" s="15"/>
      <c r="H5" s="15"/>
      <c r="L5" s="40"/>
      <c r="M5" s="40">
        <v>0.0</v>
      </c>
      <c r="N5" s="44">
        <f t="shared" si="2"/>
        <v>0</v>
      </c>
    </row>
    <row r="6">
      <c r="B6" s="108" t="s">
        <v>110</v>
      </c>
      <c r="C6" s="15"/>
      <c r="D6" s="42">
        <f>+'Planilha de Rentabilidade'!P86</f>
        <v>227620.82</v>
      </c>
      <c r="E6" s="39">
        <f t="shared" si="1"/>
        <v>0.06469940463</v>
      </c>
      <c r="F6" s="15"/>
      <c r="G6" s="15"/>
      <c r="H6" s="15"/>
      <c r="L6" s="40"/>
      <c r="M6" s="40">
        <v>0.0</v>
      </c>
      <c r="N6" s="44">
        <f t="shared" si="2"/>
        <v>0</v>
      </c>
    </row>
    <row r="7">
      <c r="B7" s="108" t="s">
        <v>45</v>
      </c>
      <c r="C7" s="15"/>
      <c r="D7" s="42">
        <v>0.0</v>
      </c>
      <c r="E7" s="39">
        <f t="shared" si="1"/>
        <v>0</v>
      </c>
      <c r="F7" s="15"/>
      <c r="G7" s="15"/>
      <c r="H7" s="15"/>
      <c r="L7" s="40" t="s">
        <v>46</v>
      </c>
      <c r="M7" s="43">
        <f>+D11</f>
        <v>0</v>
      </c>
      <c r="N7" s="44">
        <f t="shared" si="2"/>
        <v>0</v>
      </c>
    </row>
    <row r="8">
      <c r="B8" s="108" t="s">
        <v>47</v>
      </c>
      <c r="C8" s="15"/>
      <c r="D8" s="42">
        <f>'Planilha de Rentabilidade'!C86+'Planilha de Rentabilidade'!D86+'Planilha de Rentabilidade'!S86+'Planilha de Rentabilidade'!F86</f>
        <v>290858.27</v>
      </c>
      <c r="E8" s="39">
        <f t="shared" si="1"/>
        <v>0.08267414598</v>
      </c>
      <c r="F8" s="15"/>
      <c r="G8" s="15"/>
      <c r="H8" s="15"/>
      <c r="L8" s="40" t="s">
        <v>48</v>
      </c>
      <c r="M8" s="43">
        <f>D8+D12+D13</f>
        <v>1044358.9</v>
      </c>
      <c r="N8" s="44">
        <f t="shared" si="2"/>
        <v>0.2968506969</v>
      </c>
    </row>
    <row r="9">
      <c r="B9" s="108" t="s">
        <v>49</v>
      </c>
      <c r="C9" s="15"/>
      <c r="D9" s="42">
        <f>'Planilha de Rentabilidade'!L86</f>
        <v>130485.89</v>
      </c>
      <c r="E9" s="39">
        <f t="shared" si="1"/>
        <v>0.03708957465</v>
      </c>
      <c r="F9" s="15"/>
      <c r="G9" s="15"/>
      <c r="H9" s="15"/>
      <c r="L9" s="40" t="s">
        <v>50</v>
      </c>
      <c r="M9" s="43">
        <f>+D10</f>
        <v>163088.45</v>
      </c>
      <c r="N9" s="44">
        <f t="shared" si="2"/>
        <v>0.04635659259</v>
      </c>
    </row>
    <row r="10">
      <c r="B10" s="109" t="s">
        <v>114</v>
      </c>
      <c r="C10" s="15"/>
      <c r="D10" s="42">
        <f>'Planilha de Rentabilidade'!M86</f>
        <v>163088.45</v>
      </c>
      <c r="E10" s="39">
        <f t="shared" si="1"/>
        <v>0.04635659259</v>
      </c>
      <c r="F10" s="15"/>
      <c r="G10" s="15"/>
      <c r="H10" s="15"/>
      <c r="L10" s="40" t="s">
        <v>49</v>
      </c>
      <c r="M10" s="43">
        <f>D9</f>
        <v>130485.89</v>
      </c>
      <c r="N10" s="44">
        <f t="shared" si="2"/>
        <v>0.03708957465</v>
      </c>
    </row>
    <row r="11">
      <c r="B11" s="108" t="s">
        <v>46</v>
      </c>
      <c r="C11" s="15"/>
      <c r="D11" s="42">
        <f>0</f>
        <v>0</v>
      </c>
      <c r="E11" s="39">
        <f t="shared" si="1"/>
        <v>0</v>
      </c>
      <c r="F11" s="15"/>
      <c r="G11" s="15"/>
      <c r="H11" s="15"/>
      <c r="L11" s="40"/>
      <c r="M11" s="40"/>
      <c r="N11" s="44">
        <f t="shared" si="2"/>
        <v>0</v>
      </c>
    </row>
    <row r="12">
      <c r="B12" s="108" t="s">
        <v>52</v>
      </c>
      <c r="C12" s="15"/>
      <c r="D12" s="42">
        <f>'Planilha de Rentabilidade'!G86+'Planilha de Rentabilidade'!I86+'Planilha de Rentabilidade'!J86</f>
        <v>528599.28</v>
      </c>
      <c r="E12" s="39">
        <f t="shared" si="1"/>
        <v>0.150250134</v>
      </c>
      <c r="F12" s="15"/>
      <c r="G12" s="15"/>
      <c r="H12" s="15"/>
      <c r="L12" s="40" t="s">
        <v>41</v>
      </c>
      <c r="M12" s="43">
        <f>+D4</f>
        <v>280383.23</v>
      </c>
      <c r="N12" s="44">
        <f t="shared" si="2"/>
        <v>0.07969669931</v>
      </c>
    </row>
    <row r="13">
      <c r="B13" s="109" t="s">
        <v>53</v>
      </c>
      <c r="C13" s="15"/>
      <c r="D13" s="46">
        <f>'Planilha de Rentabilidade'!H86+'Planilha de Rentabilidade'!K86</f>
        <v>224901.35</v>
      </c>
      <c r="E13" s="39">
        <f t="shared" si="1"/>
        <v>0.06392641695</v>
      </c>
      <c r="F13" s="15"/>
      <c r="G13" s="15"/>
      <c r="H13" s="15"/>
      <c r="L13" s="40"/>
      <c r="M13" s="40"/>
      <c r="N13" s="44">
        <f t="shared" si="2"/>
        <v>0</v>
      </c>
    </row>
    <row r="14">
      <c r="B14" s="108" t="s">
        <v>54</v>
      </c>
      <c r="C14" s="15"/>
      <c r="D14" s="42">
        <f>B33</f>
        <v>1610146.1</v>
      </c>
      <c r="E14" s="39">
        <f t="shared" si="1"/>
        <v>0.4576712009</v>
      </c>
      <c r="F14" s="15"/>
      <c r="G14" s="15"/>
      <c r="H14" s="15"/>
      <c r="L14" s="40" t="s">
        <v>73</v>
      </c>
      <c r="M14" s="43">
        <f>D14</f>
        <v>1610146.1</v>
      </c>
      <c r="N14" s="44">
        <f t="shared" si="2"/>
        <v>0.4576712009</v>
      </c>
    </row>
    <row r="15">
      <c r="B15" s="110"/>
      <c r="C15" s="49" t="s">
        <v>56</v>
      </c>
      <c r="D15" s="49"/>
      <c r="E15" s="103">
        <f>SUM(D4:D14)</f>
        <v>3518128.51</v>
      </c>
      <c r="F15" s="15"/>
      <c r="G15" s="15"/>
      <c r="H15" s="15"/>
      <c r="L15" s="51"/>
      <c r="M15" s="97">
        <f t="shared" ref="M15:N15" si="3">SUM(M4:M14)</f>
        <v>3518128.51</v>
      </c>
      <c r="N15" s="94">
        <f t="shared" si="3"/>
        <v>1</v>
      </c>
    </row>
    <row r="16">
      <c r="B16" s="106"/>
      <c r="C16" s="54"/>
      <c r="D16" s="15"/>
      <c r="E16" s="15"/>
      <c r="F16" s="15"/>
      <c r="G16" s="15"/>
      <c r="H16" s="15"/>
    </row>
    <row r="17">
      <c r="B17" s="106"/>
      <c r="C17" s="54"/>
      <c r="D17" s="15"/>
      <c r="E17" s="15"/>
      <c r="F17" s="15"/>
      <c r="G17" s="15"/>
      <c r="H17" s="15"/>
    </row>
    <row r="18">
      <c r="B18" s="107" t="s">
        <v>121</v>
      </c>
      <c r="C18" s="55"/>
      <c r="D18" s="56"/>
      <c r="E18" s="57"/>
      <c r="F18" s="15"/>
      <c r="G18" s="15"/>
      <c r="H18" s="15"/>
    </row>
    <row r="19">
      <c r="B19" s="111"/>
      <c r="C19" s="59" t="s">
        <v>58</v>
      </c>
      <c r="D19" s="15"/>
      <c r="E19" s="60"/>
      <c r="F19" s="15"/>
      <c r="G19" s="15"/>
      <c r="H19" s="15"/>
    </row>
    <row r="20">
      <c r="B20" s="112">
        <f>+'Planilha de Rentabilidade'!Z86+'Planilha de Rentabilidade'!W86</f>
        <v>181980</v>
      </c>
      <c r="C20" s="54">
        <f t="shared" ref="C20:C33" si="4">B20/$B$33</f>
        <v>0.1130207998</v>
      </c>
      <c r="D20" s="79" t="s">
        <v>79</v>
      </c>
      <c r="E20" s="60"/>
      <c r="F20" s="15"/>
      <c r="G20" s="15"/>
      <c r="H20" s="15"/>
    </row>
    <row r="21">
      <c r="B21" s="113">
        <f>'Planilha de Rentabilidade'!O86</f>
        <v>0</v>
      </c>
      <c r="C21" s="54">
        <f t="shared" si="4"/>
        <v>0</v>
      </c>
      <c r="D21" s="64" t="s">
        <v>60</v>
      </c>
      <c r="E21" s="60"/>
      <c r="F21" s="15"/>
      <c r="G21" s="15"/>
      <c r="H21" s="15"/>
    </row>
    <row r="22">
      <c r="B22" s="113">
        <f>+'Planilha de Rentabilidade'!AF86+'Planilha de Rentabilidade'!U86</f>
        <v>833549.1</v>
      </c>
      <c r="C22" s="54">
        <f t="shared" si="4"/>
        <v>0.5176853827</v>
      </c>
      <c r="D22" s="64" t="s">
        <v>61</v>
      </c>
      <c r="E22" s="60"/>
      <c r="F22" s="15"/>
      <c r="G22" s="15"/>
      <c r="H22" s="15"/>
    </row>
    <row r="23">
      <c r="B23" s="113">
        <f>+'Planilha de Rentabilidade'!V86+'Planilha de Rentabilidade'!AD86</f>
        <v>198294.5</v>
      </c>
      <c r="C23" s="54">
        <f t="shared" si="4"/>
        <v>0.1231531101</v>
      </c>
      <c r="D23" s="66" t="s">
        <v>117</v>
      </c>
      <c r="E23" s="60"/>
      <c r="F23" s="15"/>
      <c r="G23" s="15"/>
      <c r="H23" s="15"/>
    </row>
    <row r="24">
      <c r="B24" s="113">
        <f>+'Planilha de Rentabilidade'!AE86+'Planilha de Rentabilidade'!AA86</f>
        <v>0</v>
      </c>
      <c r="C24" s="54">
        <f t="shared" si="4"/>
        <v>0</v>
      </c>
      <c r="D24" s="64" t="s">
        <v>63</v>
      </c>
      <c r="E24" s="65"/>
      <c r="F24" s="15"/>
      <c r="G24" s="15"/>
      <c r="H24" s="15"/>
    </row>
    <row r="25">
      <c r="B25" s="113">
        <v>0.0</v>
      </c>
      <c r="C25" s="54">
        <f t="shared" si="4"/>
        <v>0</v>
      </c>
      <c r="D25" s="66" t="s">
        <v>118</v>
      </c>
      <c r="E25" s="60"/>
      <c r="F25" s="15"/>
      <c r="G25" s="15"/>
      <c r="H25" s="15"/>
    </row>
    <row r="26">
      <c r="B26" s="113">
        <f>0</f>
        <v>0</v>
      </c>
      <c r="C26" s="54">
        <f t="shared" si="4"/>
        <v>0</v>
      </c>
      <c r="D26" s="64" t="s">
        <v>65</v>
      </c>
      <c r="E26" s="60"/>
      <c r="F26" s="15"/>
      <c r="G26" s="15"/>
      <c r="H26" s="15"/>
    </row>
    <row r="27">
      <c r="B27" s="113">
        <v>0.0</v>
      </c>
      <c r="C27" s="54">
        <f t="shared" si="4"/>
        <v>0</v>
      </c>
      <c r="D27" s="66" t="s">
        <v>80</v>
      </c>
      <c r="E27" s="60"/>
      <c r="F27" s="15"/>
      <c r="G27" s="15"/>
      <c r="H27" s="15"/>
    </row>
    <row r="28">
      <c r="B28" s="113">
        <f>+'Planilha de Rentabilidade'!R86</f>
        <v>157297.5</v>
      </c>
      <c r="C28" s="54">
        <f t="shared" si="4"/>
        <v>0.09769144552</v>
      </c>
      <c r="D28" s="66" t="s">
        <v>119</v>
      </c>
      <c r="E28" s="60"/>
      <c r="F28" s="15"/>
      <c r="G28" s="15"/>
      <c r="H28" s="15"/>
    </row>
    <row r="29">
      <c r="B29" s="113">
        <f>+'Planilha de Rentabilidade'!X86+'Planilha de Rentabilidade'!Y86+'Planilha de Rentabilidade'!AC86</f>
        <v>101850</v>
      </c>
      <c r="C29" s="54">
        <f t="shared" si="4"/>
        <v>0.06325512946</v>
      </c>
      <c r="D29" s="66" t="s">
        <v>122</v>
      </c>
      <c r="E29" s="60"/>
      <c r="F29" s="15"/>
      <c r="G29" s="15"/>
      <c r="H29" s="15"/>
    </row>
    <row r="30">
      <c r="B30" s="113">
        <f>'Planilha de Rentabilidade'!T86+'Planilha de Rentabilidade'!AG86</f>
        <v>0</v>
      </c>
      <c r="C30" s="54">
        <f t="shared" si="4"/>
        <v>0</v>
      </c>
      <c r="D30" s="64" t="s">
        <v>69</v>
      </c>
      <c r="E30" s="60"/>
      <c r="F30" s="15"/>
      <c r="G30" s="15"/>
      <c r="H30" s="15"/>
    </row>
    <row r="31">
      <c r="B31" s="113">
        <f>'Planilha de Rentabilidade'!N86+'Planilha de Rentabilidade'!AH86</f>
        <v>0</v>
      </c>
      <c r="C31" s="54">
        <f t="shared" si="4"/>
        <v>0</v>
      </c>
      <c r="D31" s="64" t="s">
        <v>70</v>
      </c>
      <c r="E31" s="60"/>
      <c r="F31" s="15"/>
      <c r="G31" s="15"/>
      <c r="H31" s="15"/>
    </row>
    <row r="32">
      <c r="B32" s="113">
        <f>+'Planilha de Rentabilidade'!AB86</f>
        <v>137175</v>
      </c>
      <c r="C32" s="54">
        <f t="shared" si="4"/>
        <v>0.08519413238</v>
      </c>
      <c r="D32" s="66" t="s">
        <v>107</v>
      </c>
      <c r="E32" s="60"/>
      <c r="F32" s="15"/>
      <c r="G32" s="15"/>
      <c r="H32" s="15"/>
    </row>
    <row r="33">
      <c r="B33" s="110">
        <f>SUM(B20:B32)</f>
        <v>1610146.1</v>
      </c>
      <c r="C33" s="68">
        <f t="shared" si="4"/>
        <v>1</v>
      </c>
      <c r="D33" s="69"/>
      <c r="E33" s="70"/>
      <c r="F33" s="15"/>
      <c r="G33" s="15"/>
      <c r="H33" s="15"/>
    </row>
    <row r="34">
      <c r="B34" s="106"/>
    </row>
    <row r="35">
      <c r="B35" s="106"/>
    </row>
    <row r="36">
      <c r="B36" s="106"/>
    </row>
    <row r="37">
      <c r="B37" s="106"/>
    </row>
    <row r="38">
      <c r="B38" s="106"/>
    </row>
    <row r="39">
      <c r="B39" s="106"/>
    </row>
    <row r="40">
      <c r="B40" s="106"/>
    </row>
    <row r="41">
      <c r="B41" s="106"/>
    </row>
    <row r="42">
      <c r="B42" s="106"/>
    </row>
    <row r="43">
      <c r="B43" s="106"/>
    </row>
    <row r="44">
      <c r="B44" s="106"/>
    </row>
    <row r="45">
      <c r="B45" s="106"/>
    </row>
    <row r="46">
      <c r="B46" s="106"/>
    </row>
    <row r="47">
      <c r="B47" s="106"/>
    </row>
    <row r="48">
      <c r="B48" s="106"/>
    </row>
    <row r="49">
      <c r="B49" s="106"/>
    </row>
    <row r="50">
      <c r="B50" s="106"/>
    </row>
    <row r="51">
      <c r="B51" s="106"/>
    </row>
    <row r="52">
      <c r="B52" s="106"/>
    </row>
    <row r="53">
      <c r="B53" s="106"/>
    </row>
    <row r="54">
      <c r="B54" s="106"/>
    </row>
    <row r="55">
      <c r="B55" s="106"/>
    </row>
    <row r="56">
      <c r="B56" s="106"/>
    </row>
    <row r="57">
      <c r="B57" s="106"/>
    </row>
    <row r="58">
      <c r="B58" s="106"/>
    </row>
    <row r="59">
      <c r="B59" s="106"/>
    </row>
    <row r="60">
      <c r="B60" s="106"/>
    </row>
    <row r="61">
      <c r="B61" s="106"/>
    </row>
    <row r="62">
      <c r="B62" s="106"/>
    </row>
    <row r="63">
      <c r="B63" s="106"/>
    </row>
    <row r="64">
      <c r="B64" s="106"/>
    </row>
    <row r="65">
      <c r="B65" s="106"/>
    </row>
    <row r="66">
      <c r="B66" s="106"/>
    </row>
    <row r="67">
      <c r="B67" s="106"/>
    </row>
    <row r="68">
      <c r="B68" s="106"/>
    </row>
    <row r="69">
      <c r="B69" s="106"/>
    </row>
    <row r="70">
      <c r="B70" s="106"/>
    </row>
    <row r="71">
      <c r="B71" s="106"/>
    </row>
    <row r="72">
      <c r="B72" s="106"/>
    </row>
    <row r="73">
      <c r="B73" s="106"/>
    </row>
    <row r="74">
      <c r="B74" s="106"/>
    </row>
    <row r="75">
      <c r="B75" s="106"/>
    </row>
    <row r="76">
      <c r="B76" s="106"/>
    </row>
    <row r="77">
      <c r="B77" s="106"/>
    </row>
    <row r="78">
      <c r="B78" s="106"/>
    </row>
    <row r="79">
      <c r="B79" s="106"/>
    </row>
    <row r="80">
      <c r="B80" s="106"/>
    </row>
    <row r="81">
      <c r="B81" s="106"/>
    </row>
    <row r="82">
      <c r="B82" s="106"/>
    </row>
    <row r="83">
      <c r="B83" s="106"/>
    </row>
    <row r="84">
      <c r="B84" s="106"/>
    </row>
    <row r="85">
      <c r="B85" s="106"/>
    </row>
    <row r="86">
      <c r="B86" s="106"/>
    </row>
    <row r="87">
      <c r="B87" s="106"/>
    </row>
    <row r="88">
      <c r="B88" s="106"/>
    </row>
    <row r="89">
      <c r="B89" s="106"/>
    </row>
    <row r="90">
      <c r="B90" s="106"/>
    </row>
    <row r="91">
      <c r="B91" s="106"/>
    </row>
    <row r="92">
      <c r="B92" s="106"/>
    </row>
    <row r="93">
      <c r="B93" s="106"/>
    </row>
    <row r="94">
      <c r="B94" s="106"/>
    </row>
    <row r="95">
      <c r="B95" s="106"/>
    </row>
    <row r="96">
      <c r="B96" s="106"/>
    </row>
    <row r="97">
      <c r="B97" s="106"/>
    </row>
    <row r="98">
      <c r="B98" s="106"/>
    </row>
    <row r="99">
      <c r="B99" s="106"/>
    </row>
    <row r="100">
      <c r="B100" s="106"/>
    </row>
    <row r="101">
      <c r="B101" s="106"/>
    </row>
    <row r="102">
      <c r="B102" s="106"/>
    </row>
    <row r="103">
      <c r="B103" s="106"/>
    </row>
    <row r="104">
      <c r="B104" s="106"/>
    </row>
    <row r="105">
      <c r="B105" s="106"/>
    </row>
    <row r="106">
      <c r="B106" s="106"/>
    </row>
    <row r="107">
      <c r="B107" s="106"/>
    </row>
    <row r="108">
      <c r="B108" s="106"/>
    </row>
    <row r="109">
      <c r="B109" s="106"/>
    </row>
    <row r="110">
      <c r="B110" s="106"/>
    </row>
    <row r="111">
      <c r="B111" s="106"/>
    </row>
    <row r="112">
      <c r="B112" s="106"/>
    </row>
    <row r="113">
      <c r="B113" s="106"/>
    </row>
    <row r="114">
      <c r="B114" s="106"/>
    </row>
    <row r="115">
      <c r="B115" s="106"/>
    </row>
    <row r="116">
      <c r="B116" s="106"/>
    </row>
    <row r="117">
      <c r="B117" s="106"/>
    </row>
    <row r="118">
      <c r="B118" s="106"/>
    </row>
    <row r="119">
      <c r="B119" s="106"/>
    </row>
    <row r="120">
      <c r="B120" s="106"/>
    </row>
    <row r="121">
      <c r="B121" s="106"/>
    </row>
    <row r="122">
      <c r="B122" s="106"/>
    </row>
    <row r="123">
      <c r="B123" s="106"/>
    </row>
    <row r="124">
      <c r="B124" s="106"/>
    </row>
    <row r="125">
      <c r="B125" s="106"/>
    </row>
    <row r="126">
      <c r="B126" s="106"/>
    </row>
    <row r="127">
      <c r="B127" s="106"/>
    </row>
    <row r="128">
      <c r="B128" s="106"/>
    </row>
    <row r="129">
      <c r="B129" s="106"/>
    </row>
    <row r="130">
      <c r="B130" s="106"/>
    </row>
    <row r="131">
      <c r="B131" s="106"/>
    </row>
    <row r="132">
      <c r="B132" s="106"/>
    </row>
    <row r="133">
      <c r="B133" s="106"/>
    </row>
    <row r="134">
      <c r="B134" s="106"/>
    </row>
    <row r="135">
      <c r="B135" s="106"/>
    </row>
    <row r="136">
      <c r="B136" s="106"/>
    </row>
    <row r="137">
      <c r="B137" s="106"/>
    </row>
    <row r="138">
      <c r="B138" s="106"/>
    </row>
    <row r="139">
      <c r="B139" s="106"/>
    </row>
    <row r="140">
      <c r="B140" s="106"/>
    </row>
    <row r="141">
      <c r="B141" s="106"/>
    </row>
    <row r="142">
      <c r="B142" s="106"/>
    </row>
    <row r="143">
      <c r="B143" s="106"/>
    </row>
    <row r="144">
      <c r="B144" s="106"/>
    </row>
    <row r="145">
      <c r="B145" s="106"/>
    </row>
    <row r="146">
      <c r="B146" s="106"/>
    </row>
    <row r="147">
      <c r="B147" s="106"/>
    </row>
    <row r="148">
      <c r="B148" s="106"/>
    </row>
    <row r="149">
      <c r="B149" s="106"/>
    </row>
    <row r="150">
      <c r="B150" s="106"/>
    </row>
    <row r="151">
      <c r="B151" s="106"/>
    </row>
    <row r="152">
      <c r="B152" s="106"/>
    </row>
    <row r="153">
      <c r="B153" s="106"/>
    </row>
    <row r="154">
      <c r="B154" s="106"/>
    </row>
    <row r="155">
      <c r="B155" s="106"/>
    </row>
    <row r="156">
      <c r="B156" s="106"/>
    </row>
    <row r="157">
      <c r="B157" s="106"/>
    </row>
    <row r="158">
      <c r="B158" s="106"/>
    </row>
    <row r="159">
      <c r="B159" s="106"/>
    </row>
    <row r="160">
      <c r="B160" s="106"/>
    </row>
    <row r="161">
      <c r="B161" s="106"/>
    </row>
    <row r="162">
      <c r="B162" s="106"/>
    </row>
    <row r="163">
      <c r="B163" s="106"/>
    </row>
    <row r="164">
      <c r="B164" s="106"/>
    </row>
    <row r="165">
      <c r="B165" s="106"/>
    </row>
    <row r="166">
      <c r="B166" s="106"/>
    </row>
    <row r="167">
      <c r="B167" s="106"/>
    </row>
    <row r="168">
      <c r="B168" s="106"/>
    </row>
    <row r="169">
      <c r="B169" s="106"/>
    </row>
    <row r="170">
      <c r="B170" s="106"/>
    </row>
    <row r="171">
      <c r="B171" s="106"/>
    </row>
    <row r="172">
      <c r="B172" s="106"/>
    </row>
    <row r="173">
      <c r="B173" s="106"/>
    </row>
    <row r="174">
      <c r="B174" s="106"/>
    </row>
    <row r="175">
      <c r="B175" s="106"/>
    </row>
    <row r="176">
      <c r="B176" s="106"/>
    </row>
    <row r="177">
      <c r="B177" s="106"/>
    </row>
    <row r="178">
      <c r="B178" s="106"/>
    </row>
    <row r="179">
      <c r="B179" s="106"/>
    </row>
    <row r="180">
      <c r="B180" s="106"/>
    </row>
    <row r="181">
      <c r="B181" s="106"/>
    </row>
    <row r="182">
      <c r="B182" s="106"/>
    </row>
    <row r="183">
      <c r="B183" s="106"/>
    </row>
    <row r="184">
      <c r="B184" s="106"/>
    </row>
    <row r="185">
      <c r="B185" s="106"/>
    </row>
    <row r="186">
      <c r="B186" s="106"/>
    </row>
    <row r="187">
      <c r="B187" s="106"/>
    </row>
    <row r="188">
      <c r="B188" s="106"/>
    </row>
    <row r="189">
      <c r="B189" s="106"/>
    </row>
    <row r="190">
      <c r="B190" s="106"/>
    </row>
    <row r="191">
      <c r="B191" s="106"/>
    </row>
    <row r="192">
      <c r="B192" s="106"/>
    </row>
    <row r="193">
      <c r="B193" s="106"/>
    </row>
    <row r="194">
      <c r="B194" s="106"/>
    </row>
    <row r="195">
      <c r="B195" s="106"/>
    </row>
    <row r="196">
      <c r="B196" s="106"/>
    </row>
    <row r="197">
      <c r="B197" s="106"/>
    </row>
    <row r="198">
      <c r="B198" s="106"/>
    </row>
    <row r="199">
      <c r="B199" s="106"/>
    </row>
    <row r="200">
      <c r="B200" s="106"/>
    </row>
    <row r="201">
      <c r="B201" s="106"/>
    </row>
    <row r="202">
      <c r="B202" s="106"/>
    </row>
    <row r="203">
      <c r="B203" s="106"/>
    </row>
    <row r="204">
      <c r="B204" s="106"/>
    </row>
    <row r="205">
      <c r="B205" s="106"/>
    </row>
    <row r="206">
      <c r="B206" s="106"/>
    </row>
    <row r="207">
      <c r="B207" s="106"/>
    </row>
    <row r="208">
      <c r="B208" s="106"/>
    </row>
    <row r="209">
      <c r="B209" s="106"/>
    </row>
    <row r="210">
      <c r="B210" s="106"/>
    </row>
    <row r="211">
      <c r="B211" s="106"/>
    </row>
    <row r="212">
      <c r="B212" s="106"/>
    </row>
    <row r="213">
      <c r="B213" s="106"/>
    </row>
    <row r="214">
      <c r="B214" s="106"/>
    </row>
    <row r="215">
      <c r="B215" s="106"/>
    </row>
    <row r="216">
      <c r="B216" s="106"/>
    </row>
    <row r="217">
      <c r="B217" s="106"/>
    </row>
    <row r="218">
      <c r="B218" s="106"/>
    </row>
    <row r="219">
      <c r="B219" s="106"/>
    </row>
    <row r="220">
      <c r="B220" s="106"/>
    </row>
    <row r="221">
      <c r="B221" s="106"/>
    </row>
    <row r="222">
      <c r="B222" s="106"/>
    </row>
    <row r="223">
      <c r="B223" s="106"/>
    </row>
    <row r="224">
      <c r="B224" s="106"/>
    </row>
    <row r="225">
      <c r="B225" s="106"/>
    </row>
    <row r="226">
      <c r="B226" s="106"/>
    </row>
    <row r="227">
      <c r="B227" s="106"/>
    </row>
    <row r="228">
      <c r="B228" s="106"/>
    </row>
    <row r="229">
      <c r="B229" s="106"/>
    </row>
    <row r="230">
      <c r="B230" s="106"/>
    </row>
    <row r="231">
      <c r="B231" s="106"/>
    </row>
    <row r="232">
      <c r="B232" s="106"/>
    </row>
    <row r="233">
      <c r="B233" s="106"/>
    </row>
    <row r="234">
      <c r="B234" s="106"/>
    </row>
    <row r="235">
      <c r="B235" s="106"/>
    </row>
    <row r="236">
      <c r="B236" s="106"/>
    </row>
    <row r="237">
      <c r="B237" s="106"/>
    </row>
    <row r="238">
      <c r="B238" s="106"/>
    </row>
    <row r="239">
      <c r="B239" s="106"/>
    </row>
    <row r="240">
      <c r="B240" s="106"/>
    </row>
    <row r="241">
      <c r="B241" s="106"/>
    </row>
    <row r="242">
      <c r="B242" s="106"/>
    </row>
    <row r="243">
      <c r="B243" s="106"/>
    </row>
    <row r="244">
      <c r="B244" s="106"/>
    </row>
    <row r="245">
      <c r="B245" s="106"/>
    </row>
    <row r="246">
      <c r="B246" s="106"/>
    </row>
    <row r="247">
      <c r="B247" s="106"/>
    </row>
    <row r="248">
      <c r="B248" s="106"/>
    </row>
    <row r="249">
      <c r="B249" s="106"/>
    </row>
    <row r="250">
      <c r="B250" s="106"/>
    </row>
    <row r="251">
      <c r="B251" s="106"/>
    </row>
    <row r="252">
      <c r="B252" s="106"/>
    </row>
    <row r="253">
      <c r="B253" s="106"/>
    </row>
    <row r="254">
      <c r="B254" s="106"/>
    </row>
    <row r="255">
      <c r="B255" s="106"/>
    </row>
    <row r="256">
      <c r="B256" s="106"/>
    </row>
    <row r="257">
      <c r="B257" s="106"/>
    </row>
    <row r="258">
      <c r="B258" s="106"/>
    </row>
    <row r="259">
      <c r="B259" s="106"/>
    </row>
    <row r="260">
      <c r="B260" s="106"/>
    </row>
    <row r="261">
      <c r="B261" s="106"/>
    </row>
    <row r="262">
      <c r="B262" s="106"/>
    </row>
    <row r="263">
      <c r="B263" s="106"/>
    </row>
    <row r="264">
      <c r="B264" s="106"/>
    </row>
    <row r="265">
      <c r="B265" s="106"/>
    </row>
    <row r="266">
      <c r="B266" s="106"/>
    </row>
    <row r="267">
      <c r="B267" s="106"/>
    </row>
    <row r="268">
      <c r="B268" s="106"/>
    </row>
    <row r="269">
      <c r="B269" s="106"/>
    </row>
    <row r="270">
      <c r="B270" s="106"/>
    </row>
    <row r="271">
      <c r="B271" s="106"/>
    </row>
    <row r="272">
      <c r="B272" s="106"/>
    </row>
    <row r="273">
      <c r="B273" s="106"/>
    </row>
    <row r="274">
      <c r="B274" s="106"/>
    </row>
    <row r="275">
      <c r="B275" s="106"/>
    </row>
    <row r="276">
      <c r="B276" s="106"/>
    </row>
    <row r="277">
      <c r="B277" s="106"/>
    </row>
    <row r="278">
      <c r="B278" s="106"/>
    </row>
    <row r="279">
      <c r="B279" s="106"/>
    </row>
    <row r="280">
      <c r="B280" s="106"/>
    </row>
    <row r="281">
      <c r="B281" s="106"/>
    </row>
    <row r="282">
      <c r="B282" s="106"/>
    </row>
    <row r="283">
      <c r="B283" s="106"/>
    </row>
    <row r="284">
      <c r="B284" s="106"/>
    </row>
    <row r="285">
      <c r="B285" s="106"/>
    </row>
    <row r="286">
      <c r="B286" s="106"/>
    </row>
    <row r="287">
      <c r="B287" s="106"/>
    </row>
    <row r="288">
      <c r="B288" s="106"/>
    </row>
    <row r="289">
      <c r="B289" s="106"/>
    </row>
    <row r="290">
      <c r="B290" s="106"/>
    </row>
    <row r="291">
      <c r="B291" s="106"/>
    </row>
    <row r="292">
      <c r="B292" s="106"/>
    </row>
    <row r="293">
      <c r="B293" s="106"/>
    </row>
    <row r="294">
      <c r="B294" s="106"/>
    </row>
    <row r="295">
      <c r="B295" s="106"/>
    </row>
    <row r="296">
      <c r="B296" s="106"/>
    </row>
    <row r="297">
      <c r="B297" s="106"/>
    </row>
    <row r="298">
      <c r="B298" s="106"/>
    </row>
    <row r="299">
      <c r="B299" s="106"/>
    </row>
    <row r="300">
      <c r="B300" s="106"/>
    </row>
    <row r="301">
      <c r="B301" s="106"/>
    </row>
    <row r="302">
      <c r="B302" s="106"/>
    </row>
    <row r="303">
      <c r="B303" s="106"/>
    </row>
    <row r="304">
      <c r="B304" s="106"/>
    </row>
    <row r="305">
      <c r="B305" s="106"/>
    </row>
    <row r="306">
      <c r="B306" s="106"/>
    </row>
    <row r="307">
      <c r="B307" s="106"/>
    </row>
    <row r="308">
      <c r="B308" s="106"/>
    </row>
    <row r="309">
      <c r="B309" s="106"/>
    </row>
    <row r="310">
      <c r="B310" s="106"/>
    </row>
    <row r="311">
      <c r="B311" s="106"/>
    </row>
    <row r="312">
      <c r="B312" s="106"/>
    </row>
    <row r="313">
      <c r="B313" s="106"/>
    </row>
    <row r="314">
      <c r="B314" s="106"/>
    </row>
    <row r="315">
      <c r="B315" s="106"/>
    </row>
    <row r="316">
      <c r="B316" s="106"/>
    </row>
    <row r="317">
      <c r="B317" s="106"/>
    </row>
    <row r="318">
      <c r="B318" s="106"/>
    </row>
    <row r="319">
      <c r="B319" s="106"/>
    </row>
    <row r="320">
      <c r="B320" s="106"/>
    </row>
    <row r="321">
      <c r="B321" s="106"/>
    </row>
    <row r="322">
      <c r="B322" s="106"/>
    </row>
    <row r="323">
      <c r="B323" s="106"/>
    </row>
    <row r="324">
      <c r="B324" s="106"/>
    </row>
    <row r="325">
      <c r="B325" s="106"/>
    </row>
    <row r="326">
      <c r="B326" s="106"/>
    </row>
    <row r="327">
      <c r="B327" s="106"/>
    </row>
    <row r="328">
      <c r="B328" s="106"/>
    </row>
    <row r="329">
      <c r="B329" s="106"/>
    </row>
    <row r="330">
      <c r="B330" s="106"/>
    </row>
    <row r="331">
      <c r="B331" s="106"/>
    </row>
    <row r="332">
      <c r="B332" s="106"/>
    </row>
    <row r="333">
      <c r="B333" s="106"/>
    </row>
    <row r="334">
      <c r="B334" s="106"/>
    </row>
    <row r="335">
      <c r="B335" s="106"/>
    </row>
    <row r="336">
      <c r="B336" s="106"/>
    </row>
    <row r="337">
      <c r="B337" s="106"/>
    </row>
    <row r="338">
      <c r="B338" s="106"/>
    </row>
    <row r="339">
      <c r="B339" s="106"/>
    </row>
    <row r="340">
      <c r="B340" s="106"/>
    </row>
    <row r="341">
      <c r="B341" s="106"/>
    </row>
    <row r="342">
      <c r="B342" s="106"/>
    </row>
    <row r="343">
      <c r="B343" s="106"/>
    </row>
    <row r="344">
      <c r="B344" s="106"/>
    </row>
    <row r="345">
      <c r="B345" s="106"/>
    </row>
    <row r="346">
      <c r="B346" s="106"/>
    </row>
    <row r="347">
      <c r="B347" s="106"/>
    </row>
    <row r="348">
      <c r="B348" s="106"/>
    </row>
    <row r="349">
      <c r="B349" s="106"/>
    </row>
    <row r="350">
      <c r="B350" s="106"/>
    </row>
    <row r="351">
      <c r="B351" s="106"/>
    </row>
    <row r="352">
      <c r="B352" s="106"/>
    </row>
    <row r="353">
      <c r="B353" s="106"/>
    </row>
    <row r="354">
      <c r="B354" s="106"/>
    </row>
    <row r="355">
      <c r="B355" s="106"/>
    </row>
    <row r="356">
      <c r="B356" s="106"/>
    </row>
    <row r="357">
      <c r="B357" s="106"/>
    </row>
    <row r="358">
      <c r="B358" s="106"/>
    </row>
    <row r="359">
      <c r="B359" s="106"/>
    </row>
    <row r="360">
      <c r="B360" s="106"/>
    </row>
    <row r="361">
      <c r="B361" s="106"/>
    </row>
    <row r="362">
      <c r="B362" s="106"/>
    </row>
    <row r="363">
      <c r="B363" s="106"/>
    </row>
    <row r="364">
      <c r="B364" s="106"/>
    </row>
    <row r="365">
      <c r="B365" s="106"/>
    </row>
    <row r="366">
      <c r="B366" s="106"/>
    </row>
    <row r="367">
      <c r="B367" s="106"/>
    </row>
    <row r="368">
      <c r="B368" s="106"/>
    </row>
    <row r="369">
      <c r="B369" s="106"/>
    </row>
    <row r="370">
      <c r="B370" s="106"/>
    </row>
    <row r="371">
      <c r="B371" s="106"/>
    </row>
    <row r="372">
      <c r="B372" s="106"/>
    </row>
    <row r="373">
      <c r="B373" s="106"/>
    </row>
    <row r="374">
      <c r="B374" s="106"/>
    </row>
    <row r="375">
      <c r="B375" s="106"/>
    </row>
    <row r="376">
      <c r="B376" s="106"/>
    </row>
    <row r="377">
      <c r="B377" s="106"/>
    </row>
    <row r="378">
      <c r="B378" s="106"/>
    </row>
    <row r="379">
      <c r="B379" s="106"/>
    </row>
    <row r="380">
      <c r="B380" s="106"/>
    </row>
    <row r="381">
      <c r="B381" s="106"/>
    </row>
    <row r="382">
      <c r="B382" s="106"/>
    </row>
    <row r="383">
      <c r="B383" s="106"/>
    </row>
    <row r="384">
      <c r="B384" s="106"/>
    </row>
    <row r="385">
      <c r="B385" s="106"/>
    </row>
    <row r="386">
      <c r="B386" s="106"/>
    </row>
    <row r="387">
      <c r="B387" s="106"/>
    </row>
    <row r="388">
      <c r="B388" s="106"/>
    </row>
    <row r="389">
      <c r="B389" s="106"/>
    </row>
    <row r="390">
      <c r="B390" s="106"/>
    </row>
    <row r="391">
      <c r="B391" s="106"/>
    </row>
    <row r="392">
      <c r="B392" s="106"/>
    </row>
    <row r="393">
      <c r="B393" s="106"/>
    </row>
    <row r="394">
      <c r="B394" s="106"/>
    </row>
    <row r="395">
      <c r="B395" s="106"/>
    </row>
    <row r="396">
      <c r="B396" s="106"/>
    </row>
    <row r="397">
      <c r="B397" s="106"/>
    </row>
    <row r="398">
      <c r="B398" s="106"/>
    </row>
    <row r="399">
      <c r="B399" s="106"/>
    </row>
    <row r="400">
      <c r="B400" s="106"/>
    </row>
    <row r="401">
      <c r="B401" s="106"/>
    </row>
    <row r="402">
      <c r="B402" s="106"/>
    </row>
    <row r="403">
      <c r="B403" s="106"/>
    </row>
    <row r="404">
      <c r="B404" s="106"/>
    </row>
    <row r="405">
      <c r="B405" s="106"/>
    </row>
    <row r="406">
      <c r="B406" s="106"/>
    </row>
    <row r="407">
      <c r="B407" s="106"/>
    </row>
    <row r="408">
      <c r="B408" s="106"/>
    </row>
    <row r="409">
      <c r="B409" s="106"/>
    </row>
    <row r="410">
      <c r="B410" s="106"/>
    </row>
    <row r="411">
      <c r="B411" s="106"/>
    </row>
    <row r="412">
      <c r="B412" s="106"/>
    </row>
    <row r="413">
      <c r="B413" s="106"/>
    </row>
    <row r="414">
      <c r="B414" s="106"/>
    </row>
    <row r="415">
      <c r="B415" s="106"/>
    </row>
    <row r="416">
      <c r="B416" s="106"/>
    </row>
    <row r="417">
      <c r="B417" s="106"/>
    </row>
    <row r="418">
      <c r="B418" s="106"/>
    </row>
    <row r="419">
      <c r="B419" s="106"/>
    </row>
    <row r="420">
      <c r="B420" s="106"/>
    </row>
    <row r="421">
      <c r="B421" s="106"/>
    </row>
    <row r="422">
      <c r="B422" s="106"/>
    </row>
    <row r="423">
      <c r="B423" s="106"/>
    </row>
    <row r="424">
      <c r="B424" s="106"/>
    </row>
    <row r="425">
      <c r="B425" s="106"/>
    </row>
    <row r="426">
      <c r="B426" s="106"/>
    </row>
    <row r="427">
      <c r="B427" s="106"/>
    </row>
    <row r="428">
      <c r="B428" s="106"/>
    </row>
    <row r="429">
      <c r="B429" s="106"/>
    </row>
    <row r="430">
      <c r="B430" s="106"/>
    </row>
    <row r="431">
      <c r="B431" s="106"/>
    </row>
    <row r="432">
      <c r="B432" s="106"/>
    </row>
    <row r="433">
      <c r="B433" s="106"/>
    </row>
    <row r="434">
      <c r="B434" s="106"/>
    </row>
    <row r="435">
      <c r="B435" s="106"/>
    </row>
    <row r="436">
      <c r="B436" s="106"/>
    </row>
    <row r="437">
      <c r="B437" s="106"/>
    </row>
    <row r="438">
      <c r="B438" s="106"/>
    </row>
    <row r="439">
      <c r="B439" s="106"/>
    </row>
    <row r="440">
      <c r="B440" s="106"/>
    </row>
    <row r="441">
      <c r="B441" s="106"/>
    </row>
    <row r="442">
      <c r="B442" s="106"/>
    </row>
    <row r="443">
      <c r="B443" s="106"/>
    </row>
    <row r="444">
      <c r="B444" s="106"/>
    </row>
    <row r="445">
      <c r="B445" s="106"/>
    </row>
    <row r="446">
      <c r="B446" s="106"/>
    </row>
    <row r="447">
      <c r="B447" s="106"/>
    </row>
    <row r="448">
      <c r="B448" s="106"/>
    </row>
    <row r="449">
      <c r="B449" s="106"/>
    </row>
    <row r="450">
      <c r="B450" s="106"/>
    </row>
    <row r="451">
      <c r="B451" s="106"/>
    </row>
    <row r="452">
      <c r="B452" s="106"/>
    </row>
    <row r="453">
      <c r="B453" s="106"/>
    </row>
    <row r="454">
      <c r="B454" s="106"/>
    </row>
    <row r="455">
      <c r="B455" s="106"/>
    </row>
    <row r="456">
      <c r="B456" s="106"/>
    </row>
    <row r="457">
      <c r="B457" s="106"/>
    </row>
    <row r="458">
      <c r="B458" s="106"/>
    </row>
    <row r="459">
      <c r="B459" s="106"/>
    </row>
    <row r="460">
      <c r="B460" s="106"/>
    </row>
    <row r="461">
      <c r="B461" s="106"/>
    </row>
    <row r="462">
      <c r="B462" s="106"/>
    </row>
    <row r="463">
      <c r="B463" s="106"/>
    </row>
    <row r="464">
      <c r="B464" s="106"/>
    </row>
    <row r="465">
      <c r="B465" s="106"/>
    </row>
    <row r="466">
      <c r="B466" s="106"/>
    </row>
    <row r="467">
      <c r="B467" s="106"/>
    </row>
    <row r="468">
      <c r="B468" s="106"/>
    </row>
    <row r="469">
      <c r="B469" s="106"/>
    </row>
    <row r="470">
      <c r="B470" s="106"/>
    </row>
    <row r="471">
      <c r="B471" s="106"/>
    </row>
    <row r="472">
      <c r="B472" s="106"/>
    </row>
    <row r="473">
      <c r="B473" s="106"/>
    </row>
    <row r="474">
      <c r="B474" s="106"/>
    </row>
    <row r="475">
      <c r="B475" s="106"/>
    </row>
    <row r="476">
      <c r="B476" s="106"/>
    </row>
    <row r="477">
      <c r="B477" s="106"/>
    </row>
    <row r="478">
      <c r="B478" s="106"/>
    </row>
    <row r="479">
      <c r="B479" s="106"/>
    </row>
    <row r="480">
      <c r="B480" s="106"/>
    </row>
    <row r="481">
      <c r="B481" s="106"/>
    </row>
    <row r="482">
      <c r="B482" s="106"/>
    </row>
    <row r="483">
      <c r="B483" s="106"/>
    </row>
    <row r="484">
      <c r="B484" s="106"/>
    </row>
    <row r="485">
      <c r="B485" s="106"/>
    </row>
    <row r="486">
      <c r="B486" s="106"/>
    </row>
    <row r="487">
      <c r="B487" s="106"/>
    </row>
    <row r="488">
      <c r="B488" s="106"/>
    </row>
    <row r="489">
      <c r="B489" s="106"/>
    </row>
    <row r="490">
      <c r="B490" s="106"/>
    </row>
    <row r="491">
      <c r="B491" s="106"/>
    </row>
    <row r="492">
      <c r="B492" s="106"/>
    </row>
    <row r="493">
      <c r="B493" s="106"/>
    </row>
    <row r="494">
      <c r="B494" s="106"/>
    </row>
    <row r="495">
      <c r="B495" s="106"/>
    </row>
    <row r="496">
      <c r="B496" s="106"/>
    </row>
    <row r="497">
      <c r="B497" s="106"/>
    </row>
    <row r="498">
      <c r="B498" s="106"/>
    </row>
    <row r="499">
      <c r="B499" s="106"/>
    </row>
    <row r="500">
      <c r="B500" s="106"/>
    </row>
    <row r="501">
      <c r="B501" s="106"/>
    </row>
    <row r="502">
      <c r="B502" s="106"/>
    </row>
    <row r="503">
      <c r="B503" s="106"/>
    </row>
    <row r="504">
      <c r="B504" s="106"/>
    </row>
    <row r="505">
      <c r="B505" s="106"/>
    </row>
    <row r="506">
      <c r="B506" s="106"/>
    </row>
    <row r="507">
      <c r="B507" s="106"/>
    </row>
    <row r="508">
      <c r="B508" s="106"/>
    </row>
    <row r="509">
      <c r="B509" s="106"/>
    </row>
    <row r="510">
      <c r="B510" s="106"/>
    </row>
    <row r="511">
      <c r="B511" s="106"/>
    </row>
    <row r="512">
      <c r="B512" s="106"/>
    </row>
    <row r="513">
      <c r="B513" s="106"/>
    </row>
    <row r="514">
      <c r="B514" s="106"/>
    </row>
    <row r="515">
      <c r="B515" s="106"/>
    </row>
    <row r="516">
      <c r="B516" s="106"/>
    </row>
    <row r="517">
      <c r="B517" s="106"/>
    </row>
    <row r="518">
      <c r="B518" s="106"/>
    </row>
    <row r="519">
      <c r="B519" s="106"/>
    </row>
    <row r="520">
      <c r="B520" s="106"/>
    </row>
    <row r="521">
      <c r="B521" s="106"/>
    </row>
    <row r="522">
      <c r="B522" s="106"/>
    </row>
    <row r="523">
      <c r="B523" s="106"/>
    </row>
    <row r="524">
      <c r="B524" s="106"/>
    </row>
    <row r="525">
      <c r="B525" s="106"/>
    </row>
    <row r="526">
      <c r="B526" s="106"/>
    </row>
    <row r="527">
      <c r="B527" s="106"/>
    </row>
    <row r="528">
      <c r="B528" s="106"/>
    </row>
    <row r="529">
      <c r="B529" s="106"/>
    </row>
    <row r="530">
      <c r="B530" s="106"/>
    </row>
    <row r="531">
      <c r="B531" s="106"/>
    </row>
    <row r="532">
      <c r="B532" s="106"/>
    </row>
    <row r="533">
      <c r="B533" s="106"/>
    </row>
    <row r="534">
      <c r="B534" s="106"/>
    </row>
    <row r="535">
      <c r="B535" s="106"/>
    </row>
    <row r="536">
      <c r="B536" s="106"/>
    </row>
    <row r="537">
      <c r="B537" s="106"/>
    </row>
    <row r="538">
      <c r="B538" s="106"/>
    </row>
    <row r="539">
      <c r="B539" s="106"/>
    </row>
    <row r="540">
      <c r="B540" s="106"/>
    </row>
    <row r="541">
      <c r="B541" s="106"/>
    </row>
    <row r="542">
      <c r="B542" s="106"/>
    </row>
    <row r="543">
      <c r="B543" s="106"/>
    </row>
    <row r="544">
      <c r="B544" s="106"/>
    </row>
    <row r="545">
      <c r="B545" s="106"/>
    </row>
    <row r="546">
      <c r="B546" s="106"/>
    </row>
    <row r="547">
      <c r="B547" s="106"/>
    </row>
    <row r="548">
      <c r="B548" s="106"/>
    </row>
    <row r="549">
      <c r="B549" s="106"/>
    </row>
    <row r="550">
      <c r="B550" s="106"/>
    </row>
    <row r="551">
      <c r="B551" s="106"/>
    </row>
    <row r="552">
      <c r="B552" s="106"/>
    </row>
    <row r="553">
      <c r="B553" s="106"/>
    </row>
    <row r="554">
      <c r="B554" s="106"/>
    </row>
    <row r="555">
      <c r="B555" s="106"/>
    </row>
    <row r="556">
      <c r="B556" s="106"/>
    </row>
    <row r="557">
      <c r="B557" s="106"/>
    </row>
    <row r="558">
      <c r="B558" s="106"/>
    </row>
    <row r="559">
      <c r="B559" s="106"/>
    </row>
    <row r="560">
      <c r="B560" s="106"/>
    </row>
    <row r="561">
      <c r="B561" s="106"/>
    </row>
    <row r="562">
      <c r="B562" s="106"/>
    </row>
    <row r="563">
      <c r="B563" s="106"/>
    </row>
    <row r="564">
      <c r="B564" s="106"/>
    </row>
    <row r="565">
      <c r="B565" s="106"/>
    </row>
    <row r="566">
      <c r="B566" s="106"/>
    </row>
    <row r="567">
      <c r="B567" s="106"/>
    </row>
    <row r="568">
      <c r="B568" s="106"/>
    </row>
    <row r="569">
      <c r="B569" s="106"/>
    </row>
    <row r="570">
      <c r="B570" s="106"/>
    </row>
    <row r="571">
      <c r="B571" s="106"/>
    </row>
    <row r="572">
      <c r="B572" s="106"/>
    </row>
    <row r="573">
      <c r="B573" s="106"/>
    </row>
    <row r="574">
      <c r="B574" s="106"/>
    </row>
    <row r="575">
      <c r="B575" s="106"/>
    </row>
    <row r="576">
      <c r="B576" s="106"/>
    </row>
    <row r="577">
      <c r="B577" s="106"/>
    </row>
    <row r="578">
      <c r="B578" s="106"/>
    </row>
    <row r="579">
      <c r="B579" s="106"/>
    </row>
    <row r="580">
      <c r="B580" s="106"/>
    </row>
    <row r="581">
      <c r="B581" s="106"/>
    </row>
    <row r="582">
      <c r="B582" s="106"/>
    </row>
    <row r="583">
      <c r="B583" s="106"/>
    </row>
    <row r="584">
      <c r="B584" s="106"/>
    </row>
    <row r="585">
      <c r="B585" s="106"/>
    </row>
    <row r="586">
      <c r="B586" s="106"/>
    </row>
    <row r="587">
      <c r="B587" s="106"/>
    </row>
    <row r="588">
      <c r="B588" s="106"/>
    </row>
    <row r="589">
      <c r="B589" s="106"/>
    </row>
    <row r="590">
      <c r="B590" s="106"/>
    </row>
    <row r="591">
      <c r="B591" s="106"/>
    </row>
    <row r="592">
      <c r="B592" s="106"/>
    </row>
    <row r="593">
      <c r="B593" s="106"/>
    </row>
    <row r="594">
      <c r="B594" s="106"/>
    </row>
    <row r="595">
      <c r="B595" s="106"/>
    </row>
    <row r="596">
      <c r="B596" s="106"/>
    </row>
    <row r="597">
      <c r="B597" s="106"/>
    </row>
    <row r="598">
      <c r="B598" s="106"/>
    </row>
    <row r="599">
      <c r="B599" s="106"/>
    </row>
    <row r="600">
      <c r="B600" s="106"/>
    </row>
    <row r="601">
      <c r="B601" s="106"/>
    </row>
    <row r="602">
      <c r="B602" s="106"/>
    </row>
    <row r="603">
      <c r="B603" s="106"/>
    </row>
    <row r="604">
      <c r="B604" s="106"/>
    </row>
    <row r="605">
      <c r="B605" s="106"/>
    </row>
    <row r="606">
      <c r="B606" s="106"/>
    </row>
    <row r="607">
      <c r="B607" s="106"/>
    </row>
    <row r="608">
      <c r="B608" s="106"/>
    </row>
    <row r="609">
      <c r="B609" s="106"/>
    </row>
    <row r="610">
      <c r="B610" s="106"/>
    </row>
    <row r="611">
      <c r="B611" s="106"/>
    </row>
    <row r="612">
      <c r="B612" s="106"/>
    </row>
    <row r="613">
      <c r="B613" s="106"/>
    </row>
    <row r="614">
      <c r="B614" s="106"/>
    </row>
    <row r="615">
      <c r="B615" s="106"/>
    </row>
    <row r="616">
      <c r="B616" s="106"/>
    </row>
    <row r="617">
      <c r="B617" s="106"/>
    </row>
    <row r="618">
      <c r="B618" s="106"/>
    </row>
    <row r="619">
      <c r="B619" s="106"/>
    </row>
    <row r="620">
      <c r="B620" s="106"/>
    </row>
    <row r="621">
      <c r="B621" s="106"/>
    </row>
    <row r="622">
      <c r="B622" s="106"/>
    </row>
    <row r="623">
      <c r="B623" s="106"/>
    </row>
    <row r="624">
      <c r="B624" s="106"/>
    </row>
    <row r="625">
      <c r="B625" s="106"/>
    </row>
    <row r="626">
      <c r="B626" s="106"/>
    </row>
    <row r="627">
      <c r="B627" s="106"/>
    </row>
    <row r="628">
      <c r="B628" s="106"/>
    </row>
    <row r="629">
      <c r="B629" s="106"/>
    </row>
    <row r="630">
      <c r="B630" s="106"/>
    </row>
    <row r="631">
      <c r="B631" s="106"/>
    </row>
    <row r="632">
      <c r="B632" s="106"/>
    </row>
    <row r="633">
      <c r="B633" s="106"/>
    </row>
    <row r="634">
      <c r="B634" s="106"/>
    </row>
    <row r="635">
      <c r="B635" s="106"/>
    </row>
    <row r="636">
      <c r="B636" s="106"/>
    </row>
    <row r="637">
      <c r="B637" s="106"/>
    </row>
    <row r="638">
      <c r="B638" s="106"/>
    </row>
    <row r="639">
      <c r="B639" s="106"/>
    </row>
    <row r="640">
      <c r="B640" s="106"/>
    </row>
    <row r="641">
      <c r="B641" s="106"/>
    </row>
    <row r="642">
      <c r="B642" s="106"/>
    </row>
    <row r="643">
      <c r="B643" s="106"/>
    </row>
    <row r="644">
      <c r="B644" s="106"/>
    </row>
    <row r="645">
      <c r="B645" s="106"/>
    </row>
    <row r="646">
      <c r="B646" s="106"/>
    </row>
    <row r="647">
      <c r="B647" s="106"/>
    </row>
    <row r="648">
      <c r="B648" s="106"/>
    </row>
    <row r="649">
      <c r="B649" s="106"/>
    </row>
    <row r="650">
      <c r="B650" s="106"/>
    </row>
    <row r="651">
      <c r="B651" s="106"/>
    </row>
    <row r="652">
      <c r="B652" s="106"/>
    </row>
    <row r="653">
      <c r="B653" s="106"/>
    </row>
    <row r="654">
      <c r="B654" s="106"/>
    </row>
    <row r="655">
      <c r="B655" s="106"/>
    </row>
    <row r="656">
      <c r="B656" s="106"/>
    </row>
    <row r="657">
      <c r="B657" s="106"/>
    </row>
    <row r="658">
      <c r="B658" s="106"/>
    </row>
    <row r="659">
      <c r="B659" s="106"/>
    </row>
    <row r="660">
      <c r="B660" s="106"/>
    </row>
    <row r="661">
      <c r="B661" s="106"/>
    </row>
    <row r="662">
      <c r="B662" s="106"/>
    </row>
    <row r="663">
      <c r="B663" s="106"/>
    </row>
    <row r="664">
      <c r="B664" s="106"/>
    </row>
    <row r="665">
      <c r="B665" s="106"/>
    </row>
    <row r="666">
      <c r="B666" s="106"/>
    </row>
    <row r="667">
      <c r="B667" s="106"/>
    </row>
    <row r="668">
      <c r="B668" s="106"/>
    </row>
    <row r="669">
      <c r="B669" s="106"/>
    </row>
    <row r="670">
      <c r="B670" s="106"/>
    </row>
    <row r="671">
      <c r="B671" s="106"/>
    </row>
    <row r="672">
      <c r="B672" s="106"/>
    </row>
    <row r="673">
      <c r="B673" s="106"/>
    </row>
    <row r="674">
      <c r="B674" s="106"/>
    </row>
    <row r="675">
      <c r="B675" s="106"/>
    </row>
    <row r="676">
      <c r="B676" s="106"/>
    </row>
    <row r="677">
      <c r="B677" s="106"/>
    </row>
    <row r="678">
      <c r="B678" s="106"/>
    </row>
    <row r="679">
      <c r="B679" s="106"/>
    </row>
    <row r="680">
      <c r="B680" s="106"/>
    </row>
    <row r="681">
      <c r="B681" s="106"/>
    </row>
    <row r="682">
      <c r="B682" s="106"/>
    </row>
    <row r="683">
      <c r="B683" s="106"/>
    </row>
    <row r="684">
      <c r="B684" s="106"/>
    </row>
    <row r="685">
      <c r="B685" s="106"/>
    </row>
    <row r="686">
      <c r="B686" s="106"/>
    </row>
    <row r="687">
      <c r="B687" s="106"/>
    </row>
    <row r="688">
      <c r="B688" s="106"/>
    </row>
    <row r="689">
      <c r="B689" s="106"/>
    </row>
    <row r="690">
      <c r="B690" s="106"/>
    </row>
    <row r="691">
      <c r="B691" s="106"/>
    </row>
    <row r="692">
      <c r="B692" s="106"/>
    </row>
    <row r="693">
      <c r="B693" s="106"/>
    </row>
    <row r="694">
      <c r="B694" s="106"/>
    </row>
    <row r="695">
      <c r="B695" s="106"/>
    </row>
    <row r="696">
      <c r="B696" s="106"/>
    </row>
    <row r="697">
      <c r="B697" s="106"/>
    </row>
    <row r="698">
      <c r="B698" s="106"/>
    </row>
    <row r="699">
      <c r="B699" s="106"/>
    </row>
    <row r="700">
      <c r="B700" s="106"/>
    </row>
    <row r="701">
      <c r="B701" s="106"/>
    </row>
    <row r="702">
      <c r="B702" s="106"/>
    </row>
    <row r="703">
      <c r="B703" s="106"/>
    </row>
    <row r="704">
      <c r="B704" s="106"/>
    </row>
    <row r="705">
      <c r="B705" s="106"/>
    </row>
    <row r="706">
      <c r="B706" s="106"/>
    </row>
    <row r="707">
      <c r="B707" s="106"/>
    </row>
    <row r="708">
      <c r="B708" s="106"/>
    </row>
    <row r="709">
      <c r="B709" s="106"/>
    </row>
    <row r="710">
      <c r="B710" s="106"/>
    </row>
    <row r="711">
      <c r="B711" s="106"/>
    </row>
    <row r="712">
      <c r="B712" s="106"/>
    </row>
    <row r="713">
      <c r="B713" s="106"/>
    </row>
    <row r="714">
      <c r="B714" s="106"/>
    </row>
    <row r="715">
      <c r="B715" s="106"/>
    </row>
    <row r="716">
      <c r="B716" s="106"/>
    </row>
    <row r="717">
      <c r="B717" s="106"/>
    </row>
    <row r="718">
      <c r="B718" s="106"/>
    </row>
    <row r="719">
      <c r="B719" s="106"/>
    </row>
    <row r="720">
      <c r="B720" s="106"/>
    </row>
    <row r="721">
      <c r="B721" s="106"/>
    </row>
    <row r="722">
      <c r="B722" s="106"/>
    </row>
    <row r="723">
      <c r="B723" s="106"/>
    </row>
    <row r="724">
      <c r="B724" s="106"/>
    </row>
    <row r="725">
      <c r="B725" s="106"/>
    </row>
    <row r="726">
      <c r="B726" s="106"/>
    </row>
    <row r="727">
      <c r="B727" s="106"/>
    </row>
    <row r="728">
      <c r="B728" s="106"/>
    </row>
    <row r="729">
      <c r="B729" s="106"/>
    </row>
    <row r="730">
      <c r="B730" s="106"/>
    </row>
    <row r="731">
      <c r="B731" s="106"/>
    </row>
    <row r="732">
      <c r="B732" s="106"/>
    </row>
    <row r="733">
      <c r="B733" s="106"/>
    </row>
    <row r="734">
      <c r="B734" s="106"/>
    </row>
    <row r="735">
      <c r="B735" s="106"/>
    </row>
    <row r="736">
      <c r="B736" s="106"/>
    </row>
    <row r="737">
      <c r="B737" s="106"/>
    </row>
    <row r="738">
      <c r="B738" s="106"/>
    </row>
    <row r="739">
      <c r="B739" s="106"/>
    </row>
    <row r="740">
      <c r="B740" s="106"/>
    </row>
    <row r="741">
      <c r="B741" s="106"/>
    </row>
    <row r="742">
      <c r="B742" s="106"/>
    </row>
    <row r="743">
      <c r="B743" s="106"/>
    </row>
    <row r="744">
      <c r="B744" s="106"/>
    </row>
    <row r="745">
      <c r="B745" s="106"/>
    </row>
    <row r="746">
      <c r="B746" s="106"/>
    </row>
    <row r="747">
      <c r="B747" s="106"/>
    </row>
    <row r="748">
      <c r="B748" s="106"/>
    </row>
    <row r="749">
      <c r="B749" s="106"/>
    </row>
    <row r="750">
      <c r="B750" s="106"/>
    </row>
    <row r="751">
      <c r="B751" s="106"/>
    </row>
    <row r="752">
      <c r="B752" s="106"/>
    </row>
    <row r="753">
      <c r="B753" s="106"/>
    </row>
    <row r="754">
      <c r="B754" s="106"/>
    </row>
    <row r="755">
      <c r="B755" s="106"/>
    </row>
    <row r="756">
      <c r="B756" s="106"/>
    </row>
    <row r="757">
      <c r="B757" s="106"/>
    </row>
    <row r="758">
      <c r="B758" s="106"/>
    </row>
    <row r="759">
      <c r="B759" s="106"/>
    </row>
    <row r="760">
      <c r="B760" s="106"/>
    </row>
    <row r="761">
      <c r="B761" s="106"/>
    </row>
    <row r="762">
      <c r="B762" s="106"/>
    </row>
    <row r="763">
      <c r="B763" s="106"/>
    </row>
    <row r="764">
      <c r="B764" s="106"/>
    </row>
    <row r="765">
      <c r="B765" s="106"/>
    </row>
    <row r="766">
      <c r="B766" s="106"/>
    </row>
    <row r="767">
      <c r="B767" s="106"/>
    </row>
    <row r="768">
      <c r="B768" s="106"/>
    </row>
    <row r="769">
      <c r="B769" s="106"/>
    </row>
    <row r="770">
      <c r="B770" s="106"/>
    </row>
    <row r="771">
      <c r="B771" s="106"/>
    </row>
    <row r="772">
      <c r="B772" s="106"/>
    </row>
    <row r="773">
      <c r="B773" s="106"/>
    </row>
    <row r="774">
      <c r="B774" s="106"/>
    </row>
    <row r="775">
      <c r="B775" s="106"/>
    </row>
    <row r="776">
      <c r="B776" s="106"/>
    </row>
    <row r="777">
      <c r="B777" s="106"/>
    </row>
    <row r="778">
      <c r="B778" s="106"/>
    </row>
    <row r="779">
      <c r="B779" s="106"/>
    </row>
    <row r="780">
      <c r="B780" s="106"/>
    </row>
    <row r="781">
      <c r="B781" s="106"/>
    </row>
    <row r="782">
      <c r="B782" s="106"/>
    </row>
    <row r="783">
      <c r="B783" s="106"/>
    </row>
    <row r="784">
      <c r="B784" s="106"/>
    </row>
    <row r="785">
      <c r="B785" s="106"/>
    </row>
    <row r="786">
      <c r="B786" s="106"/>
    </row>
    <row r="787">
      <c r="B787" s="106"/>
    </row>
    <row r="788">
      <c r="B788" s="106"/>
    </row>
    <row r="789">
      <c r="B789" s="106"/>
    </row>
    <row r="790">
      <c r="B790" s="106"/>
    </row>
    <row r="791">
      <c r="B791" s="106"/>
    </row>
    <row r="792">
      <c r="B792" s="106"/>
    </row>
    <row r="793">
      <c r="B793" s="106"/>
    </row>
    <row r="794">
      <c r="B794" s="106"/>
    </row>
    <row r="795">
      <c r="B795" s="106"/>
    </row>
    <row r="796">
      <c r="B796" s="106"/>
    </row>
    <row r="797">
      <c r="B797" s="106"/>
    </row>
    <row r="798">
      <c r="B798" s="106"/>
    </row>
    <row r="799">
      <c r="B799" s="106"/>
    </row>
    <row r="800">
      <c r="B800" s="106"/>
    </row>
    <row r="801">
      <c r="B801" s="106"/>
    </row>
    <row r="802">
      <c r="B802" s="106"/>
    </row>
    <row r="803">
      <c r="B803" s="106"/>
    </row>
    <row r="804">
      <c r="B804" s="106"/>
    </row>
    <row r="805">
      <c r="B805" s="106"/>
    </row>
    <row r="806">
      <c r="B806" s="106"/>
    </row>
    <row r="807">
      <c r="B807" s="106"/>
    </row>
    <row r="808">
      <c r="B808" s="106"/>
    </row>
    <row r="809">
      <c r="B809" s="106"/>
    </row>
    <row r="810">
      <c r="B810" s="106"/>
    </row>
    <row r="811">
      <c r="B811" s="106"/>
    </row>
    <row r="812">
      <c r="B812" s="106"/>
    </row>
    <row r="813">
      <c r="B813" s="106"/>
    </row>
    <row r="814">
      <c r="B814" s="106"/>
    </row>
    <row r="815">
      <c r="B815" s="106"/>
    </row>
    <row r="816">
      <c r="B816" s="106"/>
    </row>
    <row r="817">
      <c r="B817" s="106"/>
    </row>
    <row r="818">
      <c r="B818" s="106"/>
    </row>
    <row r="819">
      <c r="B819" s="106"/>
    </row>
    <row r="820">
      <c r="B820" s="106"/>
    </row>
    <row r="821">
      <c r="B821" s="106"/>
    </row>
    <row r="822">
      <c r="B822" s="106"/>
    </row>
    <row r="823">
      <c r="B823" s="106"/>
    </row>
    <row r="824">
      <c r="B824" s="106"/>
    </row>
    <row r="825">
      <c r="B825" s="106"/>
    </row>
    <row r="826">
      <c r="B826" s="106"/>
    </row>
    <row r="827">
      <c r="B827" s="106"/>
    </row>
    <row r="828">
      <c r="B828" s="106"/>
    </row>
    <row r="829">
      <c r="B829" s="106"/>
    </row>
    <row r="830">
      <c r="B830" s="106"/>
    </row>
    <row r="831">
      <c r="B831" s="106"/>
    </row>
    <row r="832">
      <c r="B832" s="106"/>
    </row>
    <row r="833">
      <c r="B833" s="106"/>
    </row>
    <row r="834">
      <c r="B834" s="106"/>
    </row>
    <row r="835">
      <c r="B835" s="106"/>
    </row>
    <row r="836">
      <c r="B836" s="106"/>
    </row>
    <row r="837">
      <c r="B837" s="106"/>
    </row>
    <row r="838">
      <c r="B838" s="106"/>
    </row>
    <row r="839">
      <c r="B839" s="106"/>
    </row>
    <row r="840">
      <c r="B840" s="106"/>
    </row>
    <row r="841">
      <c r="B841" s="106"/>
    </row>
    <row r="842">
      <c r="B842" s="106"/>
    </row>
    <row r="843">
      <c r="B843" s="106"/>
    </row>
    <row r="844">
      <c r="B844" s="106"/>
    </row>
    <row r="845">
      <c r="B845" s="106"/>
    </row>
    <row r="846">
      <c r="B846" s="106"/>
    </row>
    <row r="847">
      <c r="B847" s="106"/>
    </row>
    <row r="848">
      <c r="B848" s="106"/>
    </row>
    <row r="849">
      <c r="B849" s="106"/>
    </row>
    <row r="850">
      <c r="B850" s="106"/>
    </row>
    <row r="851">
      <c r="B851" s="106"/>
    </row>
    <row r="852">
      <c r="B852" s="106"/>
    </row>
    <row r="853">
      <c r="B853" s="106"/>
    </row>
    <row r="854">
      <c r="B854" s="106"/>
    </row>
    <row r="855">
      <c r="B855" s="106"/>
    </row>
    <row r="856">
      <c r="B856" s="106"/>
    </row>
    <row r="857">
      <c r="B857" s="106"/>
    </row>
    <row r="858">
      <c r="B858" s="106"/>
    </row>
    <row r="859">
      <c r="B859" s="106"/>
    </row>
    <row r="860">
      <c r="B860" s="106"/>
    </row>
    <row r="861">
      <c r="B861" s="106"/>
    </row>
    <row r="862">
      <c r="B862" s="106"/>
    </row>
    <row r="863">
      <c r="B863" s="106"/>
    </row>
    <row r="864">
      <c r="B864" s="106"/>
    </row>
    <row r="865">
      <c r="B865" s="106"/>
    </row>
    <row r="866">
      <c r="B866" s="106"/>
    </row>
    <row r="867">
      <c r="B867" s="106"/>
    </row>
    <row r="868">
      <c r="B868" s="106"/>
    </row>
    <row r="869">
      <c r="B869" s="106"/>
    </row>
    <row r="870">
      <c r="B870" s="106"/>
    </row>
    <row r="871">
      <c r="B871" s="106"/>
    </row>
    <row r="872">
      <c r="B872" s="106"/>
    </row>
    <row r="873">
      <c r="B873" s="106"/>
    </row>
    <row r="874">
      <c r="B874" s="106"/>
    </row>
    <row r="875">
      <c r="B875" s="106"/>
    </row>
    <row r="876">
      <c r="B876" s="106"/>
    </row>
    <row r="877">
      <c r="B877" s="106"/>
    </row>
    <row r="878">
      <c r="B878" s="106"/>
    </row>
    <row r="879">
      <c r="B879" s="106"/>
    </row>
    <row r="880">
      <c r="B880" s="106"/>
    </row>
    <row r="881">
      <c r="B881" s="106"/>
    </row>
    <row r="882">
      <c r="B882" s="106"/>
    </row>
    <row r="883">
      <c r="B883" s="106"/>
    </row>
    <row r="884">
      <c r="B884" s="106"/>
    </row>
    <row r="885">
      <c r="B885" s="106"/>
    </row>
    <row r="886">
      <c r="B886" s="106"/>
    </row>
    <row r="887">
      <c r="B887" s="106"/>
    </row>
    <row r="888">
      <c r="B888" s="106"/>
    </row>
    <row r="889">
      <c r="B889" s="106"/>
    </row>
    <row r="890">
      <c r="B890" s="106"/>
    </row>
    <row r="891">
      <c r="B891" s="106"/>
    </row>
    <row r="892">
      <c r="B892" s="106"/>
    </row>
    <row r="893">
      <c r="B893" s="106"/>
    </row>
    <row r="894">
      <c r="B894" s="106"/>
    </row>
    <row r="895">
      <c r="B895" s="106"/>
    </row>
    <row r="896">
      <c r="B896" s="106"/>
    </row>
    <row r="897">
      <c r="B897" s="106"/>
    </row>
    <row r="898">
      <c r="B898" s="106"/>
    </row>
    <row r="899">
      <c r="B899" s="106"/>
    </row>
    <row r="900">
      <c r="B900" s="106"/>
    </row>
    <row r="901">
      <c r="B901" s="106"/>
    </row>
    <row r="902">
      <c r="B902" s="106"/>
    </row>
    <row r="903">
      <c r="B903" s="106"/>
    </row>
    <row r="904">
      <c r="B904" s="106"/>
    </row>
    <row r="905">
      <c r="B905" s="106"/>
    </row>
    <row r="906">
      <c r="B906" s="106"/>
    </row>
    <row r="907">
      <c r="B907" s="106"/>
    </row>
    <row r="908">
      <c r="B908" s="106"/>
    </row>
    <row r="909">
      <c r="B909" s="106"/>
    </row>
    <row r="910">
      <c r="B910" s="106"/>
    </row>
    <row r="911">
      <c r="B911" s="106"/>
    </row>
    <row r="912">
      <c r="B912" s="106"/>
    </row>
    <row r="913">
      <c r="B913" s="106"/>
    </row>
    <row r="914">
      <c r="B914" s="106"/>
    </row>
    <row r="915">
      <c r="B915" s="106"/>
    </row>
    <row r="916">
      <c r="B916" s="106"/>
    </row>
    <row r="917">
      <c r="B917" s="106"/>
    </row>
    <row r="918">
      <c r="B918" s="106"/>
    </row>
    <row r="919">
      <c r="B919" s="106"/>
    </row>
    <row r="920">
      <c r="B920" s="106"/>
    </row>
    <row r="921">
      <c r="B921" s="106"/>
    </row>
    <row r="922">
      <c r="B922" s="106"/>
    </row>
    <row r="923">
      <c r="B923" s="106"/>
    </row>
    <row r="924">
      <c r="B924" s="106"/>
    </row>
    <row r="925">
      <c r="B925" s="106"/>
    </row>
    <row r="926">
      <c r="B926" s="106"/>
    </row>
    <row r="927">
      <c r="B927" s="106"/>
    </row>
    <row r="928">
      <c r="B928" s="106"/>
    </row>
    <row r="929">
      <c r="B929" s="106"/>
    </row>
    <row r="930">
      <c r="B930" s="106"/>
    </row>
    <row r="931">
      <c r="B931" s="106"/>
    </row>
    <row r="932">
      <c r="B932" s="106"/>
    </row>
    <row r="933">
      <c r="B933" s="106"/>
    </row>
    <row r="934">
      <c r="B934" s="106"/>
    </row>
    <row r="935">
      <c r="B935" s="106"/>
    </row>
    <row r="936">
      <c r="B936" s="106"/>
    </row>
    <row r="937">
      <c r="B937" s="106"/>
    </row>
    <row r="938">
      <c r="B938" s="106"/>
    </row>
    <row r="939">
      <c r="B939" s="106"/>
    </row>
    <row r="940">
      <c r="B940" s="106"/>
    </row>
    <row r="941">
      <c r="B941" s="106"/>
    </row>
    <row r="942">
      <c r="B942" s="106"/>
    </row>
    <row r="943">
      <c r="B943" s="106"/>
    </row>
    <row r="944">
      <c r="B944" s="106"/>
    </row>
    <row r="945">
      <c r="B945" s="106"/>
    </row>
    <row r="946">
      <c r="B946" s="106"/>
    </row>
    <row r="947">
      <c r="B947" s="106"/>
    </row>
    <row r="948">
      <c r="B948" s="106"/>
    </row>
    <row r="949">
      <c r="B949" s="106"/>
    </row>
    <row r="950">
      <c r="B950" s="106"/>
    </row>
    <row r="951">
      <c r="B951" s="106"/>
    </row>
    <row r="952">
      <c r="B952" s="106"/>
    </row>
    <row r="953">
      <c r="B953" s="106"/>
    </row>
    <row r="954">
      <c r="B954" s="106"/>
    </row>
    <row r="955">
      <c r="B955" s="106"/>
    </row>
    <row r="956">
      <c r="B956" s="106"/>
    </row>
    <row r="957">
      <c r="B957" s="106"/>
    </row>
    <row r="958">
      <c r="B958" s="106"/>
    </row>
    <row r="959">
      <c r="B959" s="106"/>
    </row>
    <row r="960">
      <c r="B960" s="106"/>
    </row>
    <row r="961">
      <c r="B961" s="106"/>
    </row>
    <row r="962">
      <c r="B962" s="106"/>
    </row>
    <row r="963">
      <c r="B963" s="106"/>
    </row>
    <row r="964">
      <c r="B964" s="106"/>
    </row>
    <row r="965">
      <c r="B965" s="106"/>
    </row>
    <row r="966">
      <c r="B966" s="106"/>
    </row>
    <row r="967">
      <c r="B967" s="106"/>
    </row>
    <row r="968">
      <c r="B968" s="106"/>
    </row>
    <row r="969">
      <c r="B969" s="106"/>
    </row>
    <row r="970">
      <c r="B970" s="106"/>
    </row>
    <row r="971">
      <c r="B971" s="106"/>
    </row>
    <row r="972">
      <c r="B972" s="106"/>
    </row>
    <row r="973">
      <c r="B973" s="106"/>
    </row>
    <row r="974">
      <c r="B974" s="106"/>
    </row>
    <row r="975">
      <c r="B975" s="106"/>
    </row>
    <row r="976">
      <c r="B976" s="106"/>
    </row>
    <row r="977">
      <c r="B977" s="106"/>
    </row>
    <row r="978">
      <c r="B978" s="106"/>
    </row>
    <row r="979">
      <c r="B979" s="106"/>
    </row>
    <row r="980">
      <c r="B980" s="106"/>
    </row>
    <row r="981">
      <c r="B981" s="106"/>
    </row>
    <row r="982">
      <c r="B982" s="106"/>
    </row>
    <row r="983">
      <c r="B983" s="106"/>
    </row>
    <row r="984">
      <c r="B984" s="106"/>
    </row>
    <row r="985">
      <c r="B985" s="106"/>
    </row>
    <row r="986">
      <c r="B986" s="106"/>
    </row>
    <row r="987">
      <c r="B987" s="106"/>
    </row>
    <row r="988">
      <c r="B988" s="106"/>
    </row>
    <row r="989">
      <c r="B989" s="106"/>
    </row>
    <row r="990">
      <c r="B990" s="106"/>
    </row>
    <row r="991">
      <c r="B991" s="106"/>
    </row>
    <row r="992">
      <c r="B992" s="106"/>
    </row>
    <row r="993">
      <c r="B993" s="106"/>
    </row>
    <row r="994">
      <c r="B994" s="106"/>
    </row>
    <row r="995">
      <c r="B995" s="106"/>
    </row>
    <row r="996">
      <c r="B996" s="106"/>
    </row>
    <row r="997">
      <c r="B997" s="106"/>
    </row>
    <row r="998">
      <c r="B998" s="106"/>
    </row>
    <row r="999">
      <c r="B999" s="106"/>
    </row>
    <row r="1000">
      <c r="B1000" s="106"/>
    </row>
  </sheetData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>
      <pane xSplit="2.0" ySplit="1.0" topLeftCell="C2" activePane="bottomRight" state="frozen"/>
      <selection activeCell="C1" sqref="C1" pane="topRight"/>
      <selection activeCell="A2" sqref="A2" pane="bottomLeft"/>
      <selection activeCell="C2" sqref="C2" pane="bottomRight"/>
    </sheetView>
  </sheetViews>
  <sheetFormatPr customHeight="1" defaultColWidth="11.22" defaultRowHeight="15.0"/>
  <cols>
    <col customWidth="1" min="1" max="1" width="10.33"/>
    <col customWidth="1" min="2" max="2" width="15.44"/>
    <col customWidth="1" min="3" max="3" width="15.56"/>
    <col customWidth="1" min="4" max="4" width="16.67"/>
    <col customWidth="1" min="5" max="5" width="15.78"/>
    <col customWidth="1" min="6" max="6" width="12.44"/>
    <col customWidth="1" min="7" max="7" width="14.33"/>
    <col customWidth="1" min="8" max="8" width="10.44"/>
    <col customWidth="1" min="9" max="9" width="13.22"/>
    <col customWidth="1" min="10" max="10" width="11.67"/>
    <col customWidth="1" min="11" max="12" width="13.11"/>
    <col customWidth="1" min="13" max="13" width="11.67"/>
    <col customWidth="1" min="14" max="14" width="9.78"/>
    <col customWidth="1" min="15" max="15" width="12.0"/>
    <col customWidth="1" min="16" max="16" width="13.78"/>
    <col customWidth="1" min="17" max="17" width="14.11"/>
    <col customWidth="1" min="18" max="18" width="13.56"/>
    <col customWidth="1" min="19" max="19" width="12.44"/>
    <col customWidth="1" min="20" max="20" width="11.89"/>
    <col customWidth="1" min="21" max="21" width="11.11"/>
    <col customWidth="1" min="22" max="22" width="11.67"/>
    <col customWidth="1" min="23" max="23" width="11.44"/>
    <col customWidth="1" min="24" max="24" width="12.11"/>
    <col customWidth="1" min="25" max="25" width="12.56"/>
    <col customWidth="1" min="26" max="26" width="11.56"/>
    <col customWidth="1" min="27" max="27" width="10.78"/>
    <col customWidth="1" min="28" max="28" width="11.44"/>
    <col customWidth="1" min="29" max="30" width="11.0"/>
    <col customWidth="1" min="31" max="31" width="10.33"/>
    <col customWidth="1" min="32" max="32" width="12.33"/>
    <col customWidth="1" min="33" max="33" width="12.56"/>
    <col customWidth="1" min="34" max="34" width="11.78"/>
    <col customWidth="1" min="35" max="35" width="14.67"/>
    <col customWidth="1" min="36" max="37" width="12.67"/>
    <col customWidth="1" min="38" max="38" width="5.78"/>
    <col customWidth="1" min="39" max="40" width="17.67"/>
    <col customWidth="1" min="41" max="41" width="10.67"/>
    <col customWidth="1" min="42" max="42" width="12.33"/>
    <col customWidth="1" min="43" max="47" width="10.67"/>
    <col customWidth="1" min="48" max="48" width="11.67"/>
    <col customWidth="1" min="49" max="52" width="10.67"/>
  </cols>
  <sheetData>
    <row r="1" ht="45.0" customHeight="1">
      <c r="A1" s="114" t="s">
        <v>123</v>
      </c>
      <c r="B1" s="115" t="s">
        <v>124</v>
      </c>
      <c r="C1" s="116" t="s">
        <v>125</v>
      </c>
      <c r="D1" s="116" t="s">
        <v>126</v>
      </c>
      <c r="E1" s="117" t="s">
        <v>127</v>
      </c>
      <c r="F1" s="116" t="s">
        <v>128</v>
      </c>
      <c r="G1" s="117" t="s">
        <v>129</v>
      </c>
      <c r="H1" s="116" t="s">
        <v>130</v>
      </c>
      <c r="I1" s="117" t="s">
        <v>131</v>
      </c>
      <c r="J1" s="116" t="s">
        <v>132</v>
      </c>
      <c r="K1" s="116" t="s">
        <v>133</v>
      </c>
      <c r="L1" s="117" t="s">
        <v>134</v>
      </c>
      <c r="M1" s="117" t="s">
        <v>135</v>
      </c>
      <c r="N1" s="116" t="s">
        <v>136</v>
      </c>
      <c r="O1" s="118" t="s">
        <v>137</v>
      </c>
      <c r="P1" s="117" t="s">
        <v>138</v>
      </c>
      <c r="Q1" s="118" t="s">
        <v>139</v>
      </c>
      <c r="R1" s="118" t="s">
        <v>140</v>
      </c>
      <c r="S1" s="116" t="s">
        <v>141</v>
      </c>
      <c r="T1" s="116" t="s">
        <v>142</v>
      </c>
      <c r="U1" s="119" t="s">
        <v>143</v>
      </c>
      <c r="V1" s="116" t="s">
        <v>144</v>
      </c>
      <c r="W1" s="120" t="s">
        <v>145</v>
      </c>
      <c r="X1" s="116" t="s">
        <v>146</v>
      </c>
      <c r="Y1" s="117" t="s">
        <v>147</v>
      </c>
      <c r="Z1" s="120" t="s">
        <v>148</v>
      </c>
      <c r="AA1" s="116" t="s">
        <v>149</v>
      </c>
      <c r="AB1" s="118" t="s">
        <v>150</v>
      </c>
      <c r="AC1" s="116" t="s">
        <v>151</v>
      </c>
      <c r="AD1" s="118" t="s">
        <v>152</v>
      </c>
      <c r="AE1" s="118" t="s">
        <v>153</v>
      </c>
      <c r="AF1" s="118" t="s">
        <v>154</v>
      </c>
      <c r="AG1" s="116" t="s">
        <v>155</v>
      </c>
      <c r="AH1" s="116" t="s">
        <v>156</v>
      </c>
      <c r="AI1" s="121" t="s">
        <v>157</v>
      </c>
      <c r="AJ1" s="122"/>
      <c r="AK1" s="54"/>
      <c r="AL1" s="95" t="s">
        <v>158</v>
      </c>
      <c r="AM1" s="15"/>
      <c r="AN1" s="15"/>
      <c r="AO1" s="15"/>
      <c r="AP1" s="15"/>
      <c r="AQ1" s="15"/>
      <c r="AR1" s="15"/>
      <c r="AS1" s="15"/>
      <c r="AT1" s="15"/>
      <c r="AU1" s="15"/>
      <c r="AV1" s="15"/>
      <c r="AW1" s="15"/>
      <c r="AX1" s="15"/>
      <c r="AY1" s="15"/>
      <c r="AZ1" s="15"/>
    </row>
    <row r="2" ht="24.0" customHeight="1">
      <c r="A2" s="123">
        <v>45658.0</v>
      </c>
      <c r="B2" s="124" t="s">
        <v>159</v>
      </c>
      <c r="C2" s="125">
        <f>+29180.67*0+29205.37*0+29229.82*0+29242.08*0+29267.63*0+29280.12*0+29306.79*0+29319.28*0+29331.82*0+29360.09*0+29383.78*0+29411.3</f>
        <v>29411.3</v>
      </c>
      <c r="D2" s="125">
        <f>+157721.38*0+157859.89*0+157994.71*0+158061.29*0+158128.77*0+158200.93*0+158268.01*0+158409.85*0+158476.82*0+158537.44*0+158680.4*0+158802.64*0+158937.37</f>
        <v>158937.37</v>
      </c>
      <c r="E2" s="125">
        <f>+(+12000+24000)*0-(23590-39894-15900+73495+76713)*0+(495+61000+9000)*0+(3300+37248-47130)*0-(54023-39042+1827+20890-37611-47475+12445)*0+(11500+301-39564-58687-22343.66+16517-32085)*0+(455-23500-15000-57469-32094-7600+16700)*0+(-6600-8.04+455-23593-14933-72896+7629+102621.38)*0+(955-23592+14267)*0+(3307+4378-15941)*0+12807+12919.55+7509+4449+1683</f>
        <v>39367.55</v>
      </c>
      <c r="F2" s="125">
        <f>+202297.18*0+202462.3*0+202635.05*0+202724.21*0+202905.07*0+202993.96*0+203079.65*0+203164.69*0+(203342.69-102869.44)*0+(100550-11000)*0+89577.26*0+(89618.47-70000)*0+19624.42*0+19630.81*0+19638.97</f>
        <v>19638.97</v>
      </c>
      <c r="G2" s="125">
        <f>+101098.87*0+101184.8*0+101227.32*0+101269.24*0+101312.14*0+101354.55*0+101396.88*0+101442.06*0+101487.03*0+101534.54*0+101622.55*0+101697.04*0+101787.69*0+101877.14*0+101923.17</f>
        <v>101923.17</v>
      </c>
      <c r="H2" s="125">
        <f>+202726*0+202896.2*0+202981.4*0+203066.6*0+203151.8*0+203237*0+203322.2*0+203414.8*0+203507.4*0+203600*0+203785.4*0+203878.2*0+203971*0+204063.8*0+204156.6*0+204342.4*0+204435.4</f>
        <v>204435.4</v>
      </c>
      <c r="I2" s="125">
        <f>+356661.29*0+356936.49*0+357076.75*0+357194.47*0+357290.07*0+357471.3*0+(357907.75-50000)*0+(307779.88-30000)*0+(277773.22-27000)*0+250651.54*0+250720.39*0+250705.08*0+(250713.15-20000)*0+230708.99*0+230787.57*0+230976.47</f>
        <v>230976.47</v>
      </c>
      <c r="J2" s="125">
        <f>+(201641.71-8000)*0+193784.73*0+193856.27*0+193927.85*0+193999.45*0+194071.08*0+194220.49*0+194298.28*0+194376.1*0+(194453.95-24000)*0+170522.22*0+170590.52*0+170658.84*0+170727.19*0+170795.57*0+170932.41*0+171000.87</f>
        <v>171000.87</v>
      </c>
      <c r="K2" s="125">
        <f>+207200.89*0+207374.8*0+207461.81*0+207548.84*0+207635.93*0+207723.05*0+207999.41*0+(208094.07-5000)*0+203024.62*0+203117.02*0+203209.47*0+203301.96*0+203394.48*0+203487.06*0+203672.32*0+203857.76</f>
        <v>203857.76</v>
      </c>
      <c r="L2" s="125">
        <f>+74859*0+74618.01*0+75465.42*0+73859.05*0+74769.19*0+75549.24*0+75861.34*0+76078*0+75533.1*0+75919.69*0+75731.82</f>
        <v>75731.82</v>
      </c>
      <c r="M2" s="125">
        <f>+72132.91*0+72083.89</f>
        <v>72083.89</v>
      </c>
      <c r="N2" s="125">
        <f>+(3300-700+450)*20.45</f>
        <v>62372.5</v>
      </c>
      <c r="O2" s="125">
        <f>+7100*10.4</f>
        <v>73840</v>
      </c>
      <c r="P2" s="125">
        <f>+202800.33*0+202985.03*0+203077.44*0+203169.89*0+203262.38*0+203450.88*0+203549.91*0+203648.98*0+203748.1*0+203847.27*0+204090.3*0+204211.93*0+204333.63*0+204577.24*0+204821.14*0+204973.62</f>
        <v>204973.62</v>
      </c>
      <c r="Q2" s="125">
        <f>+19901.98+35985.86</f>
        <v>55887.84</v>
      </c>
      <c r="R2" s="125">
        <f>+(710-700)*61.78</f>
        <v>617.8</v>
      </c>
      <c r="S2" s="125">
        <f>+61025.55*0+61051.17*0+61076.79*0+61102.41*0+61130.23*0+61158.05*0+61185.86*0+61241.56*0+61269.43*0+61297.31*0+61325.25*0+61353.12*0+61409*0+61436.94</f>
        <v>61436.94</v>
      </c>
      <c r="T2" s="125">
        <f>+(1300+2100)*8.19</f>
        <v>27846</v>
      </c>
      <c r="U2" s="125">
        <f>+(2874)*80.27</f>
        <v>230695.98</v>
      </c>
      <c r="V2" s="125">
        <f>+50803.64*0+50836.76*0+50853.32*0+(50869.9-400)*0+50502.91*0+50555.12*0+50573*0+50590.89*0+50608.78*0+50626.68*0+50644.59*0+50662.49*0+50680.43*0+50716.3*0+50752.22</f>
        <v>50752.22</v>
      </c>
      <c r="W2" s="125">
        <f>+(37200+2900)*5.15</f>
        <v>206515</v>
      </c>
      <c r="X2" s="125">
        <f>+219*78.64</f>
        <v>17222.16</v>
      </c>
      <c r="Y2" s="125">
        <f>+(2170)*78.64</f>
        <v>170648.8</v>
      </c>
      <c r="Z2" s="125">
        <f>+(4500+800+800)*54.55</f>
        <v>332755</v>
      </c>
      <c r="AA2" s="125">
        <f>+(2100-500-1500)*18.14</f>
        <v>1814</v>
      </c>
      <c r="AB2" s="125">
        <f>+(11+21)*80.27</f>
        <v>2568.64</v>
      </c>
      <c r="AC2" s="126">
        <v>39760.0</v>
      </c>
      <c r="AD2" s="125">
        <f>+(5561+1500+1600)*5.15</f>
        <v>44604.15</v>
      </c>
      <c r="AE2" s="125">
        <f>+(2200-600+1000+400+1500)*11.74</f>
        <v>52830</v>
      </c>
      <c r="AF2" s="125">
        <f>+(1700+61+168)*5.15</f>
        <v>9934.35</v>
      </c>
      <c r="AG2" s="125">
        <f>+(90-1)*17.8</f>
        <v>1584.2</v>
      </c>
      <c r="AH2" s="125">
        <f>+(1083)*20.45</f>
        <v>22147.35</v>
      </c>
      <c r="AI2" s="127">
        <f t="shared" ref="AI2:AI6" si="1">SUM(C2:AH2)</f>
        <v>2978171.12</v>
      </c>
      <c r="AJ2" s="128"/>
      <c r="AK2" s="129"/>
      <c r="AL2" s="130"/>
      <c r="AM2" s="7"/>
      <c r="AN2" s="7"/>
      <c r="AO2" s="3" t="s">
        <v>86</v>
      </c>
      <c r="AP2" s="7"/>
      <c r="AQ2" s="7"/>
      <c r="AR2" s="7"/>
      <c r="AS2" s="131"/>
      <c r="AT2" s="131"/>
      <c r="AU2" s="131"/>
      <c r="AV2" s="7"/>
      <c r="AW2" s="7"/>
      <c r="AX2" s="7"/>
      <c r="AY2" s="7"/>
      <c r="AZ2" s="132"/>
    </row>
    <row r="3" ht="24.0" customHeight="1">
      <c r="A3" s="133"/>
      <c r="B3" s="134" t="s">
        <v>160</v>
      </c>
      <c r="C3" s="135">
        <v>0.0</v>
      </c>
      <c r="D3" s="135">
        <v>0.0</v>
      </c>
      <c r="E3" s="135"/>
      <c r="F3" s="135">
        <v>0.0</v>
      </c>
      <c r="G3" s="135">
        <v>0.0</v>
      </c>
      <c r="H3" s="135">
        <v>0.0</v>
      </c>
      <c r="I3" s="135">
        <v>0.0</v>
      </c>
      <c r="J3" s="135">
        <v>0.0</v>
      </c>
      <c r="K3" s="135">
        <v>0.0</v>
      </c>
      <c r="L3" s="135">
        <v>0.0</v>
      </c>
      <c r="M3" s="135">
        <f>+22900</f>
        <v>22900</v>
      </c>
      <c r="N3" s="135">
        <f>+30*21.03+30*21.05+30*21.07+30*21.09+30*21.11+30*21.12+50*21.14+50*21.15+100*21.16+50*21.17+30*21.18+80*21.19+130*21.2+50*21.21+80*21.22+50*21.23+30*21.28+30*21.47+30*21.6+10*21.63+100*20.04+100*19.97+200*19.9+200*19.81+200*19.52+100*19.43+1*19.45+50*19.46+50*19.42+50*19.36</f>
        <v>40857.55</v>
      </c>
      <c r="O3" s="135">
        <v>0.0</v>
      </c>
      <c r="P3" s="135">
        <v>0.0</v>
      </c>
      <c r="Q3" s="135">
        <v>0.0</v>
      </c>
      <c r="R3" s="135">
        <v>0.0</v>
      </c>
      <c r="S3" s="135">
        <v>0.0</v>
      </c>
      <c r="T3" s="135"/>
      <c r="U3" s="135">
        <f>100*72.45+30*72.83+50*73.01+30*73.38+50*73.5+100*77.12+100*77.41+100*77.78+90*78.34+130*78.55+80*78.82+100*79.04+50*79.11+50*79.17+1*79.22+50*75.33+50*75.17+50*75.67+50*74.93+50*74.99+50*75.33+50*77.71+50*77.84+50*78.67+50*78.08+50*77.06+50*77.52+100*77.55+50*77.99+50*77.23+50*77.55+20*78.54+20*77.98+20*78.1+30*78.78+50*78.75</f>
        <v>157954.52</v>
      </c>
      <c r="V3" s="135">
        <v>0.0</v>
      </c>
      <c r="W3" s="135">
        <v>0.0</v>
      </c>
      <c r="X3" s="135">
        <v>0.0</v>
      </c>
      <c r="Y3" s="135">
        <f>+173*86.04+32*86.3+5*86.03+8*85.27+1*85.3+1*85.37+6*85.55+12*85.62+1*85.63+8*85.67+9*85.68+8*85.61+1*85.79+3*85.82+1*86.03+50*73.5+50*73.37+50*73.3+50*73.25+50*73.21+100*73.18+50*73.13+50*73.05+50*72.89+50*72.71+100*72.57+50*72.4+50*72.35+50*72.3</f>
        <v>81474.51</v>
      </c>
      <c r="Z3" s="135">
        <f>+100*52.75+100*52.45+100*52.03+100*52.39+100*53.77+100*53.44+100*53.52+100*53.6+100*52.77+100*53.02+100*53.13+100*53.31+100*53.5</f>
        <v>68968</v>
      </c>
      <c r="AA3" s="136">
        <v>0.0</v>
      </c>
      <c r="AB3" s="135">
        <f>+3*74.11+1*74.15</f>
        <v>296.48</v>
      </c>
      <c r="AC3" s="135">
        <f>+(+4500*7.35+200*7.42+700*7.43)*0</f>
        <v>0</v>
      </c>
      <c r="AD3" s="135">
        <f>+53*5.03</f>
        <v>266.59</v>
      </c>
      <c r="AE3" s="135">
        <v>0.0</v>
      </c>
      <c r="AF3" s="135">
        <v>0.0</v>
      </c>
      <c r="AG3" s="135">
        <v>0.0</v>
      </c>
      <c r="AH3" s="135">
        <f>+25*20.51+300*19.51+108*19.49+100*19.5</f>
        <v>10420.67</v>
      </c>
      <c r="AI3" s="137">
        <f t="shared" si="1"/>
        <v>383138.32</v>
      </c>
      <c r="AJ3" s="138"/>
      <c r="AK3" s="139"/>
      <c r="AL3" s="130"/>
      <c r="AM3" s="7"/>
      <c r="AN3" s="7"/>
      <c r="AT3" s="7"/>
      <c r="AU3" s="7"/>
      <c r="AV3" s="7"/>
      <c r="AW3" s="140">
        <v>44227.0</v>
      </c>
      <c r="AX3" s="140">
        <v>44255.0</v>
      </c>
      <c r="AY3" s="141"/>
      <c r="AZ3" s="142"/>
    </row>
    <row r="4" ht="24.0" customHeight="1">
      <c r="A4" s="133"/>
      <c r="B4" s="143" t="s">
        <v>161</v>
      </c>
      <c r="C4" s="135">
        <v>0.0</v>
      </c>
      <c r="D4" s="135">
        <v>0.0</v>
      </c>
      <c r="E4" s="135">
        <f>+E6-E2</f>
        <v>-166691.55</v>
      </c>
      <c r="F4" s="135">
        <f>-19647.73</f>
        <v>-19647.73</v>
      </c>
      <c r="G4" s="135">
        <v>0.0</v>
      </c>
      <c r="H4" s="135">
        <f>-50000</f>
        <v>-50000</v>
      </c>
      <c r="I4" s="136">
        <v>-15000.0</v>
      </c>
      <c r="J4" s="135">
        <f>-1600-16000-1600</f>
        <v>-19200</v>
      </c>
      <c r="K4" s="135">
        <f>-4600</f>
        <v>-4600</v>
      </c>
      <c r="L4" s="135">
        <v>0.0</v>
      </c>
      <c r="M4" s="135">
        <v>0.0</v>
      </c>
      <c r="N4" s="135">
        <v>0.0</v>
      </c>
      <c r="O4" s="135">
        <v>0.0</v>
      </c>
      <c r="P4" s="135">
        <v>0.0</v>
      </c>
      <c r="Q4" s="135">
        <v>0.0</v>
      </c>
      <c r="R4" s="135">
        <f>-10*61.95</f>
        <v>-619.5</v>
      </c>
      <c r="S4" s="135">
        <v>0.0</v>
      </c>
      <c r="T4" s="135">
        <f>-2400*7.7-1000*7.69</f>
        <v>-26170</v>
      </c>
      <c r="U4" s="135">
        <v>0.0</v>
      </c>
      <c r="V4" s="135">
        <f>-81.33</f>
        <v>-81.33</v>
      </c>
      <c r="W4" s="135">
        <v>0.0</v>
      </c>
      <c r="X4" s="135">
        <v>0.0</v>
      </c>
      <c r="Y4" s="135">
        <f>-91*83.25-2*83.57-62*84.16-125*84.31</f>
        <v>-23499.56</v>
      </c>
      <c r="Z4" s="135">
        <v>0.0</v>
      </c>
      <c r="AA4" s="135">
        <f>-100*18.45</f>
        <v>-1845</v>
      </c>
      <c r="AB4" s="135">
        <v>0.0</v>
      </c>
      <c r="AC4" s="135">
        <f>-2400*7.33-3000*7.33</f>
        <v>-39582</v>
      </c>
      <c r="AD4" s="135">
        <v>0.0</v>
      </c>
      <c r="AE4" s="135">
        <f>-4500*11.02</f>
        <v>-49590</v>
      </c>
      <c r="AF4" s="135">
        <v>0.0</v>
      </c>
      <c r="AG4" s="135">
        <v>0.0</v>
      </c>
      <c r="AH4" s="135">
        <v>0.0</v>
      </c>
      <c r="AI4" s="137">
        <f t="shared" si="1"/>
        <v>-416526.67</v>
      </c>
      <c r="AJ4" s="138">
        <f>SUM(AI3:AI4)</f>
        <v>-33388.35</v>
      </c>
      <c r="AK4" s="139"/>
      <c r="AL4" s="130"/>
      <c r="AM4" s="7"/>
      <c r="AN4" s="7"/>
      <c r="AO4" s="3" t="s">
        <v>86</v>
      </c>
      <c r="AP4" s="7"/>
      <c r="AQ4" s="7"/>
      <c r="AR4" s="7"/>
      <c r="AS4" s="7"/>
      <c r="AT4" s="7"/>
      <c r="AU4" s="7"/>
      <c r="AV4" s="7"/>
      <c r="AW4" s="7"/>
      <c r="AX4" s="7"/>
      <c r="AY4" s="7"/>
      <c r="AZ4" s="132"/>
    </row>
    <row r="5" ht="24.0" customHeight="1">
      <c r="A5" s="133"/>
      <c r="B5" s="144" t="s">
        <v>162</v>
      </c>
      <c r="C5" s="135">
        <v>0.0</v>
      </c>
      <c r="D5" s="135">
        <v>0.0</v>
      </c>
      <c r="E5" s="135">
        <v>0.0</v>
      </c>
      <c r="F5" s="135">
        <v>0.0</v>
      </c>
      <c r="G5" s="135">
        <v>0.0</v>
      </c>
      <c r="H5" s="135">
        <v>0.0</v>
      </c>
      <c r="I5" s="135">
        <v>0.0</v>
      </c>
      <c r="J5" s="135">
        <v>0.0</v>
      </c>
      <c r="K5" s="135">
        <v>0.0</v>
      </c>
      <c r="L5" s="135">
        <v>0.0</v>
      </c>
      <c r="M5" s="135">
        <v>0.0</v>
      </c>
      <c r="N5" s="135">
        <v>0.0</v>
      </c>
      <c r="O5" s="135">
        <f>-897.26</f>
        <v>-897.26</v>
      </c>
      <c r="P5" s="135">
        <v>0.0</v>
      </c>
      <c r="Q5" s="135">
        <v>0.0</v>
      </c>
      <c r="R5" s="135">
        <v>0.0</v>
      </c>
      <c r="S5" s="135">
        <v>0.0</v>
      </c>
      <c r="T5" s="135">
        <v>0.0</v>
      </c>
      <c r="U5" s="135">
        <v>0.0</v>
      </c>
      <c r="V5" s="135">
        <v>0.0</v>
      </c>
      <c r="W5" s="135">
        <v>0.0</v>
      </c>
      <c r="X5" s="135">
        <v>0.0</v>
      </c>
      <c r="Y5" s="135">
        <v>0.0</v>
      </c>
      <c r="Z5" s="135">
        <v>0.0</v>
      </c>
      <c r="AA5" s="135">
        <v>0.0</v>
      </c>
      <c r="AB5" s="135">
        <v>0.0</v>
      </c>
      <c r="AC5" s="135">
        <v>0.0</v>
      </c>
      <c r="AD5" s="135">
        <v>0.0</v>
      </c>
      <c r="AE5" s="135">
        <f>-1902.6</f>
        <v>-1902.6</v>
      </c>
      <c r="AF5" s="135">
        <v>0.0</v>
      </c>
      <c r="AG5" s="135">
        <v>0.0</v>
      </c>
      <c r="AH5" s="135">
        <v>0.0</v>
      </c>
      <c r="AI5" s="137">
        <f t="shared" si="1"/>
        <v>-2799.86</v>
      </c>
      <c r="AJ5" s="145">
        <f>SUM(AI2:AI5)</f>
        <v>2941982.91</v>
      </c>
      <c r="AK5" s="146"/>
      <c r="AL5" s="147"/>
      <c r="AM5" s="147"/>
      <c r="AN5" s="147"/>
      <c r="AO5" s="3" t="s">
        <v>86</v>
      </c>
      <c r="AP5" s="147"/>
      <c r="AQ5" s="148"/>
      <c r="AR5" s="7"/>
      <c r="AS5" s="7"/>
      <c r="AT5" s="7"/>
      <c r="AU5" s="147"/>
      <c r="AV5" s="147"/>
      <c r="AW5" s="147"/>
      <c r="AX5" s="147"/>
      <c r="AY5" s="147"/>
      <c r="AZ5" s="149"/>
    </row>
    <row r="6" ht="24.0" customHeight="1">
      <c r="A6" s="133"/>
      <c r="B6" s="150" t="s">
        <v>163</v>
      </c>
      <c r="C6" s="136">
        <f>+29420*0+(18370.05+11071.13)*0+(18379.42+11077.12)*0+(18397.95+11092.14)*0+(18415.37+11101.65)*0+(18424.11+11106.66)*0+(18442.23+11117.72)*0+(18451.22+11123.46)*0+(18459.68+11128.74)*0+(18468.24+11133.82)*0+(18493.18+11148.97)*0+(18510.07+11158.79)*0+(18518.53+11163.92)*0+18535.95+11175.03</f>
        <v>29710.98</v>
      </c>
      <c r="D6" s="136">
        <f>+159007.06*0+159090.51*0+159306.26*0+159414.45*0+159487.51*0+159557.83*0+159635.17*0+159798.19*0+159876.21*0+159952.11*0+160027.8*0+160101.77*0+160175.02*0+160396.63*0+160469.52*0+160621.69</f>
        <v>160621.69</v>
      </c>
      <c r="E6" s="136">
        <f>(-39431.69-22893-42387-52692+35329.24+27838)*0-(5393-39117+49167)*0-(39117-23591-31167-103450.76+19584+59481+26502)*0+(9351.05+3319-49952-39117-15909)*0+(590-32508-48075+3000+17000)*0-(23509-49973.84)*0+(200-21289+5000-23522)*0+(3000+977+2851+6995-89854)*0-(76215.52*0+0-61579)*0+(-140324+13000)</f>
        <v>-127324</v>
      </c>
      <c r="F6" s="136">
        <f>+19657.76*0+19685.45*0+19694.52*0+19703.61*0+19712.51*0</f>
        <v>0</v>
      </c>
      <c r="G6" s="136">
        <f>+102018.36*0+102070.85*0+102186.16*0+102281.34*0+102328.03*0+102374.92*0+102423.58*0+102471.84*0+102518.98*0+102565.77*0+102613.15*0+102706.84*0+102846.33*0+102939.96*0+102989.93</f>
        <v>102989.93</v>
      </c>
      <c r="H6" s="136">
        <f>+204621.6*0+204714.8*0+204901.2*0+205087.6*0+205181*0+205274.4*0+205367.8*0+205461.4*0+205554.8*0+205648.4*0+205742*0+205835.6*0+205929.2*0+206210.6*0+(206398.4-50000)*0+156123.7</f>
        <v>156123.7</v>
      </c>
      <c r="I6" s="135">
        <f>+231186.47*0+231401.37*0+231635.59*0+231749.72*0+231965.98*0+(232086.01-15000)*0+217105.24*0+217211.41*0+217325.64*0+217556.01*0+217777.17*0+217893.82*0+218118.89</f>
        <v>218118.89</v>
      </c>
      <c r="J6" s="135">
        <f>+171137.87*0+171343.59*0+171480.86*0+171549.55*0+(171686.99-1600)*0+(170155.11-16000)*0+152616.2*0+152677.32*0+152738.47*0+152860.85*0+152983.32*0+153044.59*0+153167.21</f>
        <v>153167.21</v>
      </c>
      <c r="K6" s="135">
        <f>+204043.37*0+204229.15*0+204415.09*0+204508.13*0+204601.2*0+(204694.32-4600)*0+199939.39*0+200030.38*0+200121.42*0+200212.51*0+200303.62*0+200485.99*0+200668.54*0+200759.86*0+200942.65</f>
        <v>200942.65</v>
      </c>
      <c r="L6" s="135">
        <f>+75625.94*0+75640.57*0+74620*0+74243.62*0+74058.68*0+72575.9*0+72957.4*0+71982.95*0+71851.54</f>
        <v>71851.54</v>
      </c>
      <c r="M6" s="135">
        <f>+72083.89+22900</f>
        <v>94983.89</v>
      </c>
      <c r="N6" s="135">
        <f>+(3050+950+1051)*18.82</f>
        <v>95059.82</v>
      </c>
      <c r="O6" s="135">
        <f>+7100*10.77</f>
        <v>76467</v>
      </c>
      <c r="P6" s="136">
        <f>+205199.63*0+205425.9*0+205652.41*0+205730.93*0+205842.27*0+205953.68*0+206065.14*0+206126.79*0+206188.46*0+206250.15*0+206311.85*0+206373.58*0+206645.01*0+206790.23*0+206862.88</f>
        <v>206862.88</v>
      </c>
      <c r="Q6" s="136">
        <f>+55843.76*0+56004.63*0+55945.42*0+55895.92*0+55966.75*0+56121.81*0+56027.89*0+56046.92*0+55975.56*0+55741.39*0+55938.73*0+55980.66*0+56530.06</f>
        <v>56530.06</v>
      </c>
      <c r="R6" s="135">
        <f>+10*62.68*0</f>
        <v>0</v>
      </c>
      <c r="S6" s="136">
        <f>+61492.88*0+61520.87*0+61576.87*0+61632.93*0+61660.99*0+61689.05*0+61717.17*0+61745.23*0+61773.35*0+61801.47*0+61829.6*0+61857.72*0+61885.9*0+61970.38*0+62026.81*0+62057.25</f>
        <v>62057.25</v>
      </c>
      <c r="T6" s="135">
        <f>+3400*7.5*0</f>
        <v>0</v>
      </c>
      <c r="U6" s="135">
        <f>+(+2874+1061+300+100+350+240)*73.77</f>
        <v>363317.25</v>
      </c>
      <c r="V6" s="135">
        <f>+50788.17*0+50824.16*0+50860.18*0+50796.83*0+50814.84*0+50832.84*0+50850.86*0+50868.89*0+50886.91*0+50904.96*0+50941.06*0+50977.2*0+50995.28*0+51031.47</f>
        <v>51031.47</v>
      </c>
      <c r="W6" s="135">
        <f>+40100*5.46</f>
        <v>218946</v>
      </c>
      <c r="X6" s="135">
        <f>+219*78.93</f>
        <v>17285.67</v>
      </c>
      <c r="Y6" s="135">
        <f>+(+2170+210+59-280+800)*78.93</f>
        <v>233553.87</v>
      </c>
      <c r="Z6" s="135">
        <f>+(+6100+400+400+500)*54.17</f>
        <v>400858</v>
      </c>
      <c r="AA6" s="135">
        <f>+100*17.38*0</f>
        <v>0</v>
      </c>
      <c r="AB6" s="135">
        <f>+(32+4)*73.77</f>
        <v>2655.72</v>
      </c>
      <c r="AC6" s="135">
        <f>+5400*7.29*0</f>
        <v>0</v>
      </c>
      <c r="AD6" s="135">
        <f>+(8661+53)*5.46</f>
        <v>47578.44</v>
      </c>
      <c r="AE6" s="135">
        <f>+4500*11.25*0</f>
        <v>0</v>
      </c>
      <c r="AF6" s="135">
        <f>+1929*5.46</f>
        <v>10532.34</v>
      </c>
      <c r="AG6" s="135">
        <f>+89*14.64</f>
        <v>1302.96</v>
      </c>
      <c r="AH6" s="135">
        <f>+(1083+25+508)*18.82</f>
        <v>30413.12</v>
      </c>
      <c r="AI6" s="151">
        <f t="shared" si="1"/>
        <v>2935638.33</v>
      </c>
      <c r="AJ6" s="145">
        <f>AJ5-AI6</f>
        <v>6344.58</v>
      </c>
      <c r="AK6" s="146"/>
      <c r="AL6" s="147"/>
      <c r="AM6" s="147"/>
      <c r="AN6" s="147"/>
      <c r="AO6" s="152" t="s">
        <v>164</v>
      </c>
      <c r="AP6" s="147"/>
      <c r="AQ6" s="147"/>
      <c r="AR6" s="147"/>
      <c r="AS6" s="147"/>
      <c r="AT6" s="147"/>
      <c r="AU6" s="147"/>
      <c r="AV6" s="147"/>
      <c r="AW6" s="147"/>
      <c r="AX6" s="147"/>
      <c r="AY6" s="147"/>
      <c r="AZ6" s="149"/>
    </row>
    <row r="7" ht="20.25" customHeight="1">
      <c r="A7" s="133"/>
      <c r="B7" s="153" t="s">
        <v>165</v>
      </c>
      <c r="C7" s="154">
        <f t="shared" ref="C7:AI7" si="2">IFERROR(IF(C6=0,(-C4/C2)-1,C8),"")</f>
        <v>0.01018928099</v>
      </c>
      <c r="D7" s="154">
        <f t="shared" si="2"/>
        <v>0.01059738185</v>
      </c>
      <c r="E7" s="154">
        <f t="shared" si="2"/>
        <v>0</v>
      </c>
      <c r="F7" s="154">
        <f t="shared" si="2"/>
        <v>0.000446051906</v>
      </c>
      <c r="G7" s="154">
        <f t="shared" si="2"/>
        <v>0.01046631497</v>
      </c>
      <c r="H7" s="154">
        <f t="shared" si="2"/>
        <v>0.01093207904</v>
      </c>
      <c r="I7" s="154">
        <f t="shared" si="2"/>
        <v>0.009919691715</v>
      </c>
      <c r="J7" s="154">
        <f t="shared" si="2"/>
        <v>0.00900087068</v>
      </c>
      <c r="K7" s="154">
        <f t="shared" si="2"/>
        <v>0.008455831281</v>
      </c>
      <c r="L7" s="154">
        <f t="shared" si="2"/>
        <v>-0.05123711539</v>
      </c>
      <c r="M7" s="154">
        <f t="shared" si="2"/>
        <v>0</v>
      </c>
      <c r="N7" s="154">
        <f t="shared" si="2"/>
        <v>-0.07914584949</v>
      </c>
      <c r="O7" s="154">
        <f t="shared" si="2"/>
        <v>0.04831543208</v>
      </c>
      <c r="P7" s="154">
        <f t="shared" si="2"/>
        <v>0.009217088521</v>
      </c>
      <c r="Q7" s="154">
        <f t="shared" si="2"/>
        <v>0.01149122958</v>
      </c>
      <c r="R7" s="154">
        <f t="shared" si="2"/>
        <v>0.002751699579</v>
      </c>
      <c r="S7" s="154">
        <f t="shared" si="2"/>
        <v>0.01009669427</v>
      </c>
      <c r="T7" s="154">
        <f t="shared" si="2"/>
        <v>-0.06018817784</v>
      </c>
      <c r="U7" s="154">
        <f t="shared" si="2"/>
        <v>-0.06518259979</v>
      </c>
      <c r="V7" s="154">
        <f t="shared" si="2"/>
        <v>0.00711611736</v>
      </c>
      <c r="W7" s="154">
        <f t="shared" si="2"/>
        <v>0.06019417476</v>
      </c>
      <c r="X7" s="154">
        <f t="shared" si="2"/>
        <v>0.003687690743</v>
      </c>
      <c r="Y7" s="154">
        <f t="shared" si="2"/>
        <v>0.02156433879</v>
      </c>
      <c r="Z7" s="154">
        <f t="shared" si="2"/>
        <v>-0.002153224983</v>
      </c>
      <c r="AA7" s="154">
        <f t="shared" si="2"/>
        <v>0.0170893054</v>
      </c>
      <c r="AB7" s="154">
        <f t="shared" si="2"/>
        <v>-0.07308594404</v>
      </c>
      <c r="AC7" s="154">
        <f t="shared" si="2"/>
        <v>-0.004476861167</v>
      </c>
      <c r="AD7" s="154">
        <f t="shared" si="2"/>
        <v>0.06034444718</v>
      </c>
      <c r="AE7" s="154">
        <f t="shared" si="2"/>
        <v>-0.06132879046</v>
      </c>
      <c r="AF7" s="154">
        <f t="shared" si="2"/>
        <v>0.06019417476</v>
      </c>
      <c r="AG7" s="154">
        <f t="shared" si="2"/>
        <v>-0.1775280899</v>
      </c>
      <c r="AH7" s="154">
        <f t="shared" si="2"/>
        <v>-0.06616613475</v>
      </c>
      <c r="AI7" s="155">
        <f t="shared" si="2"/>
        <v>-0.002156565892</v>
      </c>
      <c r="AJ7" s="145">
        <f>AI6*AI7</f>
        <v>-6330.897495</v>
      </c>
      <c r="AK7" s="146"/>
      <c r="AL7" s="147"/>
      <c r="AM7" s="147"/>
      <c r="AN7" s="147"/>
      <c r="AO7" s="3" t="s">
        <v>86</v>
      </c>
      <c r="AP7" s="147"/>
      <c r="AQ7" s="147"/>
      <c r="AR7" s="147"/>
      <c r="AS7" s="147"/>
      <c r="AT7" s="147"/>
      <c r="AU7" s="147"/>
      <c r="AV7" s="147"/>
      <c r="AW7" s="147"/>
      <c r="AX7" s="147"/>
      <c r="AY7" s="147"/>
      <c r="AZ7" s="147"/>
    </row>
    <row r="8" ht="24.0" customHeight="1">
      <c r="A8" s="133"/>
      <c r="B8" s="156" t="s">
        <v>166</v>
      </c>
      <c r="C8" s="154">
        <f t="shared" ref="C8:AI8" si="3">IFERROR(IF(AND(C2&lt;&gt;0,C6=""),"",(C6/(C2+C3+C4+C5))-1),"")</f>
        <v>0.01018928099</v>
      </c>
      <c r="D8" s="154">
        <f t="shared" si="3"/>
        <v>0.01059738185</v>
      </c>
      <c r="E8" s="154">
        <f t="shared" si="3"/>
        <v>0</v>
      </c>
      <c r="F8" s="154">
        <f t="shared" si="3"/>
        <v>-1</v>
      </c>
      <c r="G8" s="154">
        <f t="shared" si="3"/>
        <v>0.01046631497</v>
      </c>
      <c r="H8" s="154">
        <f t="shared" si="3"/>
        <v>0.01093207904</v>
      </c>
      <c r="I8" s="154">
        <f t="shared" si="3"/>
        <v>0.009919691715</v>
      </c>
      <c r="J8" s="154">
        <f t="shared" si="3"/>
        <v>0.00900087068</v>
      </c>
      <c r="K8" s="154">
        <f t="shared" si="3"/>
        <v>0.008455831281</v>
      </c>
      <c r="L8" s="154">
        <f t="shared" si="3"/>
        <v>-0.05123711539</v>
      </c>
      <c r="M8" s="154">
        <f t="shared" si="3"/>
        <v>0</v>
      </c>
      <c r="N8" s="154">
        <f t="shared" si="3"/>
        <v>-0.07914584949</v>
      </c>
      <c r="O8" s="154">
        <f t="shared" si="3"/>
        <v>0.04831543208</v>
      </c>
      <c r="P8" s="154">
        <f t="shared" si="3"/>
        <v>0.009217088521</v>
      </c>
      <c r="Q8" s="154">
        <f t="shared" si="3"/>
        <v>0.01149122958</v>
      </c>
      <c r="R8" s="154">
        <f t="shared" si="3"/>
        <v>-1</v>
      </c>
      <c r="S8" s="154">
        <f t="shared" si="3"/>
        <v>0.01009669427</v>
      </c>
      <c r="T8" s="154">
        <f t="shared" si="3"/>
        <v>-1</v>
      </c>
      <c r="U8" s="154">
        <f t="shared" si="3"/>
        <v>-0.06518259979</v>
      </c>
      <c r="V8" s="154">
        <f t="shared" si="3"/>
        <v>0.00711611736</v>
      </c>
      <c r="W8" s="154">
        <f t="shared" si="3"/>
        <v>0.06019417476</v>
      </c>
      <c r="X8" s="154">
        <f t="shared" si="3"/>
        <v>0.003687690743</v>
      </c>
      <c r="Y8" s="154">
        <f t="shared" si="3"/>
        <v>0.02156433879</v>
      </c>
      <c r="Z8" s="154">
        <f t="shared" si="3"/>
        <v>-0.002153224983</v>
      </c>
      <c r="AA8" s="154">
        <f t="shared" si="3"/>
        <v>-1</v>
      </c>
      <c r="AB8" s="154">
        <f t="shared" si="3"/>
        <v>-0.07308594404</v>
      </c>
      <c r="AC8" s="154">
        <f t="shared" si="3"/>
        <v>-1</v>
      </c>
      <c r="AD8" s="154">
        <f t="shared" si="3"/>
        <v>0.06034444718</v>
      </c>
      <c r="AE8" s="154">
        <f t="shared" si="3"/>
        <v>-1</v>
      </c>
      <c r="AF8" s="154">
        <f t="shared" si="3"/>
        <v>0.06019417476</v>
      </c>
      <c r="AG8" s="154">
        <f t="shared" si="3"/>
        <v>-0.1775280899</v>
      </c>
      <c r="AH8" s="154">
        <f t="shared" si="3"/>
        <v>-0.06616613475</v>
      </c>
      <c r="AI8" s="157">
        <f t="shared" si="3"/>
        <v>-0.002156565892</v>
      </c>
      <c r="AJ8" s="145"/>
      <c r="AK8" s="146"/>
      <c r="AL8" s="147"/>
      <c r="AM8" s="147"/>
      <c r="AN8" s="147"/>
      <c r="AO8" s="147"/>
      <c r="AP8" s="147"/>
      <c r="AQ8" s="147"/>
      <c r="AR8" s="147"/>
      <c r="AS8" s="147"/>
      <c r="AT8" s="147"/>
      <c r="AU8" s="147"/>
      <c r="AV8" s="147"/>
      <c r="AW8" s="147"/>
      <c r="AX8" s="147"/>
      <c r="AY8" s="147"/>
      <c r="AZ8" s="147"/>
    </row>
    <row r="9" ht="24.0" customHeight="1">
      <c r="A9" s="158"/>
      <c r="B9" s="159" t="s">
        <v>167</v>
      </c>
      <c r="C9" s="160">
        <f t="shared" ref="C9:AI9" si="4">IFERROR(C6/$AI$6,"")</f>
        <v>0.01012079032</v>
      </c>
      <c r="D9" s="160">
        <f t="shared" si="4"/>
        <v>0.05471440005</v>
      </c>
      <c r="E9" s="160">
        <f t="shared" si="4"/>
        <v>-0.04337182776</v>
      </c>
      <c r="F9" s="160">
        <f t="shared" si="4"/>
        <v>0</v>
      </c>
      <c r="G9" s="160">
        <f t="shared" si="4"/>
        <v>0.03508263567</v>
      </c>
      <c r="H9" s="160">
        <f t="shared" si="4"/>
        <v>0.05318219837</v>
      </c>
      <c r="I9" s="160">
        <f t="shared" si="4"/>
        <v>0.07430032772</v>
      </c>
      <c r="J9" s="160">
        <f t="shared" si="4"/>
        <v>0.05217509542</v>
      </c>
      <c r="K9" s="160">
        <f t="shared" si="4"/>
        <v>0.068449389</v>
      </c>
      <c r="L9" s="160">
        <f t="shared" si="4"/>
        <v>0.02447561039</v>
      </c>
      <c r="M9" s="160">
        <f t="shared" si="4"/>
        <v>0.03235544686</v>
      </c>
      <c r="N9" s="160">
        <f t="shared" si="4"/>
        <v>0.03238131177</v>
      </c>
      <c r="O9" s="160">
        <f t="shared" si="4"/>
        <v>0.02604782722</v>
      </c>
      <c r="P9" s="160">
        <f t="shared" si="4"/>
        <v>0.07046606453</v>
      </c>
      <c r="Q9" s="160">
        <f t="shared" si="4"/>
        <v>0.01925647973</v>
      </c>
      <c r="R9" s="160">
        <f t="shared" si="4"/>
        <v>0</v>
      </c>
      <c r="S9" s="160">
        <f t="shared" si="4"/>
        <v>0.02113926956</v>
      </c>
      <c r="T9" s="160">
        <f t="shared" si="4"/>
        <v>0</v>
      </c>
      <c r="U9" s="160">
        <f t="shared" si="4"/>
        <v>0.1237609028</v>
      </c>
      <c r="V9" s="160">
        <f t="shared" si="4"/>
        <v>0.01738343224</v>
      </c>
      <c r="W9" s="160">
        <f t="shared" si="4"/>
        <v>0.07458207565</v>
      </c>
      <c r="X9" s="160">
        <f t="shared" si="4"/>
        <v>0.005888215119</v>
      </c>
      <c r="Y9" s="160">
        <f t="shared" si="4"/>
        <v>0.07955812118</v>
      </c>
      <c r="Z9" s="160">
        <f t="shared" si="4"/>
        <v>0.1365488371</v>
      </c>
      <c r="AA9" s="160">
        <f t="shared" si="4"/>
        <v>0</v>
      </c>
      <c r="AB9" s="160">
        <f t="shared" si="4"/>
        <v>0.0009046482235</v>
      </c>
      <c r="AC9" s="160">
        <f t="shared" si="4"/>
        <v>0</v>
      </c>
      <c r="AD9" s="160">
        <f t="shared" si="4"/>
        <v>0.01620718721</v>
      </c>
      <c r="AE9" s="160">
        <f t="shared" si="4"/>
        <v>0</v>
      </c>
      <c r="AF9" s="160">
        <f t="shared" si="4"/>
        <v>0.00358775122</v>
      </c>
      <c r="AG9" s="160">
        <f t="shared" si="4"/>
        <v>0.0004438421405</v>
      </c>
      <c r="AH9" s="160">
        <f t="shared" si="4"/>
        <v>0.01035996829</v>
      </c>
      <c r="AI9" s="161">
        <f t="shared" si="4"/>
        <v>1</v>
      </c>
      <c r="AJ9" s="162">
        <f>AI6-AI2</f>
        <v>-42532.79</v>
      </c>
      <c r="AK9" s="163">
        <f>AI6/AI2-1</f>
        <v>-0.01428151315</v>
      </c>
      <c r="AL9" s="147"/>
      <c r="AM9" s="147"/>
      <c r="AN9" s="147"/>
      <c r="AO9" s="147"/>
      <c r="AP9" s="147"/>
      <c r="AQ9" s="147"/>
      <c r="AR9" s="147"/>
      <c r="AS9" s="147"/>
      <c r="AT9" s="147"/>
      <c r="AU9" s="147"/>
      <c r="AV9" s="147"/>
      <c r="AW9" s="147"/>
      <c r="AX9" s="147"/>
      <c r="AY9" s="147"/>
      <c r="AZ9" s="147"/>
    </row>
    <row r="10" ht="24.75" customHeight="1">
      <c r="A10" s="164">
        <v>45689.0</v>
      </c>
      <c r="B10" s="165" t="s">
        <v>168</v>
      </c>
      <c r="C10" s="166">
        <f t="shared" ref="C10:AH10" si="5">IF(C14="","",C6)</f>
        <v>29710.98</v>
      </c>
      <c r="D10" s="166">
        <f t="shared" si="5"/>
        <v>160621.69</v>
      </c>
      <c r="E10" s="166">
        <f t="shared" si="5"/>
        <v>-127324</v>
      </c>
      <c r="F10" s="166">
        <f t="shared" si="5"/>
        <v>0</v>
      </c>
      <c r="G10" s="166">
        <f t="shared" si="5"/>
        <v>102989.93</v>
      </c>
      <c r="H10" s="166">
        <f t="shared" si="5"/>
        <v>156123.7</v>
      </c>
      <c r="I10" s="166">
        <f t="shared" si="5"/>
        <v>218118.89</v>
      </c>
      <c r="J10" s="166">
        <f t="shared" si="5"/>
        <v>153167.21</v>
      </c>
      <c r="K10" s="166">
        <f t="shared" si="5"/>
        <v>200942.65</v>
      </c>
      <c r="L10" s="166">
        <f t="shared" si="5"/>
        <v>71851.54</v>
      </c>
      <c r="M10" s="166">
        <f t="shared" si="5"/>
        <v>94983.89</v>
      </c>
      <c r="N10" s="166">
        <f t="shared" si="5"/>
        <v>95059.82</v>
      </c>
      <c r="O10" s="166">
        <f t="shared" si="5"/>
        <v>76467</v>
      </c>
      <c r="P10" s="166">
        <f t="shared" si="5"/>
        <v>206862.88</v>
      </c>
      <c r="Q10" s="166">
        <f t="shared" si="5"/>
        <v>56530.06</v>
      </c>
      <c r="R10" s="166">
        <f t="shared" si="5"/>
        <v>0</v>
      </c>
      <c r="S10" s="166">
        <f t="shared" si="5"/>
        <v>62057.25</v>
      </c>
      <c r="T10" s="166">
        <f t="shared" si="5"/>
        <v>0</v>
      </c>
      <c r="U10" s="166">
        <f t="shared" si="5"/>
        <v>363317.25</v>
      </c>
      <c r="V10" s="166">
        <f t="shared" si="5"/>
        <v>51031.47</v>
      </c>
      <c r="W10" s="166">
        <f t="shared" si="5"/>
        <v>218946</v>
      </c>
      <c r="X10" s="166">
        <f t="shared" si="5"/>
        <v>17285.67</v>
      </c>
      <c r="Y10" s="166">
        <f t="shared" si="5"/>
        <v>233553.87</v>
      </c>
      <c r="Z10" s="166">
        <f t="shared" si="5"/>
        <v>400858</v>
      </c>
      <c r="AA10" s="166">
        <f t="shared" si="5"/>
        <v>0</v>
      </c>
      <c r="AB10" s="166">
        <f t="shared" si="5"/>
        <v>2655.72</v>
      </c>
      <c r="AC10" s="166">
        <f t="shared" si="5"/>
        <v>0</v>
      </c>
      <c r="AD10" s="166">
        <f t="shared" si="5"/>
        <v>47578.44</v>
      </c>
      <c r="AE10" s="166">
        <f t="shared" si="5"/>
        <v>0</v>
      </c>
      <c r="AF10" s="166">
        <f t="shared" si="5"/>
        <v>10532.34</v>
      </c>
      <c r="AG10" s="166">
        <f t="shared" si="5"/>
        <v>1302.96</v>
      </c>
      <c r="AH10" s="166">
        <f t="shared" si="5"/>
        <v>30413.12</v>
      </c>
      <c r="AI10" s="167">
        <f t="shared" ref="AI10:AI14" si="6">SUM(C10:AH10)</f>
        <v>2935638.33</v>
      </c>
      <c r="AJ10" s="168"/>
      <c r="AK10" s="169"/>
      <c r="AL10" s="170"/>
      <c r="AM10" s="171"/>
      <c r="AN10" s="171"/>
      <c r="AO10" s="171"/>
      <c r="AP10" s="171"/>
      <c r="AQ10" s="171"/>
      <c r="AR10" s="171"/>
      <c r="AS10" s="171"/>
      <c r="AT10" s="171"/>
      <c r="AU10" s="171"/>
      <c r="AV10" s="171"/>
      <c r="AW10" s="171"/>
      <c r="AX10" s="171"/>
      <c r="AY10" s="171"/>
      <c r="AZ10" s="172"/>
    </row>
    <row r="11" ht="24.75" customHeight="1">
      <c r="A11" s="133"/>
      <c r="B11" s="134" t="s">
        <v>160</v>
      </c>
      <c r="C11" s="135">
        <v>0.0</v>
      </c>
      <c r="D11" s="135">
        <v>0.0</v>
      </c>
      <c r="E11" s="135">
        <v>0.0</v>
      </c>
      <c r="F11" s="135">
        <v>0.0</v>
      </c>
      <c r="G11" s="135">
        <v>0.0</v>
      </c>
      <c r="H11" s="135">
        <v>0.0</v>
      </c>
      <c r="I11" s="135">
        <v>0.0</v>
      </c>
      <c r="J11" s="135">
        <v>0.0</v>
      </c>
      <c r="K11" s="135">
        <v>0.0</v>
      </c>
      <c r="L11" s="135">
        <v>0.0</v>
      </c>
      <c r="M11" s="135">
        <v>0.0</v>
      </c>
      <c r="N11" s="135">
        <v>0.0</v>
      </c>
      <c r="O11" s="135">
        <v>0.0</v>
      </c>
      <c r="P11" s="135">
        <v>0.0</v>
      </c>
      <c r="Q11" s="135">
        <v>0.0</v>
      </c>
      <c r="R11" s="135">
        <v>0.0</v>
      </c>
      <c r="S11" s="135">
        <v>0.0</v>
      </c>
      <c r="T11" s="135">
        <v>0.0</v>
      </c>
      <c r="U11" s="135"/>
      <c r="V11" s="135">
        <v>0.0</v>
      </c>
      <c r="W11" s="135">
        <v>0.0</v>
      </c>
      <c r="X11" s="135">
        <v>0.0</v>
      </c>
      <c r="Y11" s="135">
        <v>0.0</v>
      </c>
      <c r="Z11" s="135">
        <v>0.0</v>
      </c>
      <c r="AA11" s="135">
        <v>0.0</v>
      </c>
      <c r="AB11" s="135">
        <v>0.0</v>
      </c>
      <c r="AC11" s="135">
        <v>0.0</v>
      </c>
      <c r="AD11" s="135">
        <v>0.0</v>
      </c>
      <c r="AE11" s="135">
        <v>0.0</v>
      </c>
      <c r="AF11" s="135">
        <v>0.0</v>
      </c>
      <c r="AG11" s="135">
        <v>0.0</v>
      </c>
      <c r="AH11" s="135">
        <v>0.0</v>
      </c>
      <c r="AI11" s="173">
        <f t="shared" si="6"/>
        <v>0</v>
      </c>
      <c r="AJ11" s="174"/>
      <c r="AK11" s="175"/>
      <c r="AL11" s="170"/>
      <c r="AM11" s="171"/>
      <c r="AN11" s="171"/>
      <c r="AO11" s="171"/>
      <c r="AP11" s="171"/>
      <c r="AQ11" s="171"/>
      <c r="AR11" s="171"/>
      <c r="AS11" s="171"/>
      <c r="AT11" s="171"/>
      <c r="AU11" s="171"/>
      <c r="AV11" s="171"/>
      <c r="AW11" s="171"/>
      <c r="AX11" s="171"/>
      <c r="AY11" s="171"/>
      <c r="AZ11" s="172"/>
    </row>
    <row r="12" ht="24.75" customHeight="1">
      <c r="A12" s="133"/>
      <c r="B12" s="143" t="s">
        <v>161</v>
      </c>
      <c r="C12" s="135">
        <v>0.0</v>
      </c>
      <c r="D12" s="135">
        <v>0.0</v>
      </c>
      <c r="E12" s="135">
        <f>E14-E10</f>
        <v>224619.86</v>
      </c>
      <c r="F12" s="135">
        <v>0.0</v>
      </c>
      <c r="G12" s="135">
        <v>0.0</v>
      </c>
      <c r="H12" s="135">
        <f>-7061.28</f>
        <v>-7061.28</v>
      </c>
      <c r="I12" s="135">
        <v>0.0</v>
      </c>
      <c r="J12" s="135">
        <f>-7000-11000-136468.2</f>
        <v>-154468.2</v>
      </c>
      <c r="K12" s="135">
        <v>0.0</v>
      </c>
      <c r="L12" s="135">
        <v>0.0</v>
      </c>
      <c r="M12" s="135">
        <v>0.0</v>
      </c>
      <c r="N12" s="135">
        <f>-800*23.6-2000*22.68</f>
        <v>-64240</v>
      </c>
      <c r="O12" s="135">
        <v>0.0</v>
      </c>
      <c r="P12" s="135">
        <v>0.0</v>
      </c>
      <c r="Q12" s="135">
        <v>0.0</v>
      </c>
      <c r="R12" s="135">
        <v>0.0</v>
      </c>
      <c r="S12" s="135">
        <v>0.0</v>
      </c>
      <c r="T12" s="135">
        <v>0.0</v>
      </c>
      <c r="U12" s="135"/>
      <c r="V12" s="135">
        <f>-1300</f>
        <v>-1300</v>
      </c>
      <c r="W12" s="135">
        <v>0.0</v>
      </c>
      <c r="X12" s="135">
        <v>0.0</v>
      </c>
      <c r="Y12" s="135">
        <f>-200*80.85-200*80.8-1200*78.14</f>
        <v>-126098</v>
      </c>
      <c r="Z12" s="135">
        <f>-500*57.41</f>
        <v>-28705</v>
      </c>
      <c r="AA12" s="135">
        <v>0.0</v>
      </c>
      <c r="AB12" s="135">
        <f>-12*53.65</f>
        <v>-643.8</v>
      </c>
      <c r="AC12" s="135">
        <v>0.0</v>
      </c>
      <c r="AD12" s="135">
        <f>-8700*5.34</f>
        <v>-46458</v>
      </c>
      <c r="AE12" s="135">
        <v>0.0</v>
      </c>
      <c r="AF12" s="135">
        <f>-1929*5.33</f>
        <v>-10281.57</v>
      </c>
      <c r="AG12" s="135">
        <f>-89*15.45</f>
        <v>-1375.05</v>
      </c>
      <c r="AH12" s="135">
        <f>-1000*23.62-616*23.15</f>
        <v>-37880.4</v>
      </c>
      <c r="AI12" s="173">
        <f t="shared" si="6"/>
        <v>-253891.44</v>
      </c>
      <c r="AJ12" s="174">
        <f>SUM(AI11:AI12)</f>
        <v>-253891.44</v>
      </c>
      <c r="AK12" s="176"/>
      <c r="AL12" s="172"/>
      <c r="AM12" s="171"/>
      <c r="AN12" s="171"/>
      <c r="AO12" s="171"/>
      <c r="AP12" s="171"/>
      <c r="AQ12" s="171"/>
      <c r="AR12" s="171"/>
      <c r="AS12" s="171"/>
      <c r="AT12" s="171"/>
      <c r="AU12" s="171"/>
      <c r="AV12" s="171"/>
      <c r="AW12" s="171"/>
      <c r="AX12" s="171"/>
      <c r="AY12" s="171"/>
      <c r="AZ12" s="172"/>
    </row>
    <row r="13" ht="24.0" customHeight="1">
      <c r="A13" s="133"/>
      <c r="B13" s="144" t="s">
        <v>162</v>
      </c>
      <c r="C13" s="135">
        <v>0.0</v>
      </c>
      <c r="D13" s="135">
        <v>0.0</v>
      </c>
      <c r="E13" s="135">
        <v>0.0</v>
      </c>
      <c r="F13" s="135">
        <v>0.0</v>
      </c>
      <c r="G13" s="135">
        <v>0.0</v>
      </c>
      <c r="H13" s="135">
        <v>0.0</v>
      </c>
      <c r="I13" s="135">
        <v>0.0</v>
      </c>
      <c r="J13" s="135">
        <v>0.0</v>
      </c>
      <c r="K13" s="135">
        <v>0.0</v>
      </c>
      <c r="L13" s="135">
        <v>0.0</v>
      </c>
      <c r="M13" s="135">
        <v>0.0</v>
      </c>
      <c r="N13" s="135">
        <v>0.0</v>
      </c>
      <c r="O13" s="135">
        <v>0.0</v>
      </c>
      <c r="P13" s="135">
        <v>0.0</v>
      </c>
      <c r="Q13" s="135">
        <v>0.0</v>
      </c>
      <c r="R13" s="135">
        <v>0.0</v>
      </c>
      <c r="S13" s="135">
        <v>0.0</v>
      </c>
      <c r="T13" s="135">
        <v>0.0</v>
      </c>
      <c r="U13" s="135">
        <v>0.0</v>
      </c>
      <c r="V13" s="135">
        <v>0.0</v>
      </c>
      <c r="W13" s="135">
        <v>0.0</v>
      </c>
      <c r="X13" s="135">
        <v>0.0</v>
      </c>
      <c r="Y13" s="135">
        <v>0.0</v>
      </c>
      <c r="Z13" s="135">
        <v>0.0</v>
      </c>
      <c r="AA13" s="135">
        <v>0.0</v>
      </c>
      <c r="AB13" s="135">
        <v>0.0</v>
      </c>
      <c r="AC13" s="135">
        <v>0.0</v>
      </c>
      <c r="AD13" s="135">
        <v>0.0</v>
      </c>
      <c r="AE13" s="135">
        <v>0.0</v>
      </c>
      <c r="AF13" s="135">
        <v>0.0</v>
      </c>
      <c r="AG13" s="135">
        <v>0.0</v>
      </c>
      <c r="AH13" s="135">
        <v>0.0</v>
      </c>
      <c r="AI13" s="173">
        <f t="shared" si="6"/>
        <v>0</v>
      </c>
      <c r="AJ13" s="177">
        <f>SUM(AI10:AI13)</f>
        <v>2681746.89</v>
      </c>
      <c r="AK13" s="146"/>
      <c r="AL13" s="147"/>
      <c r="AM13" s="147"/>
      <c r="AN13" s="147"/>
      <c r="AO13" s="147"/>
      <c r="AP13" s="147"/>
      <c r="AQ13" s="147"/>
      <c r="AR13" s="147"/>
      <c r="AS13" s="147"/>
      <c r="AT13" s="147"/>
      <c r="AU13" s="147"/>
      <c r="AV13" s="147"/>
      <c r="AW13" s="147"/>
      <c r="AX13" s="147"/>
      <c r="AY13" s="147"/>
      <c r="AZ13" s="147"/>
    </row>
    <row r="14" ht="24.0" customHeight="1">
      <c r="A14" s="133"/>
      <c r="B14" s="150" t="s">
        <v>163</v>
      </c>
      <c r="C14" s="135">
        <f>+(18572.43+11197.4)*0+(18581.44+11202.23)*0+(18608.83+11218.51)*0+(18627.02+11230.35)*0+(18654.47+11246.45)*0+(18663.54+11251.88)*0+(18699.78+11274.17)*0+(18727.82+11291.32)</f>
        <v>30019.14</v>
      </c>
      <c r="D14" s="135">
        <f>+160937.32*0+161008.05*0+161231.25*0+161419.1*0+161746.38*0+162305.43</f>
        <v>162305.43</v>
      </c>
      <c r="E14" s="135">
        <f>+((222+3600)+1506+(-23379+9000)-42776)*0+(1006+580+606-54423)*0+(-69556.8)*0+(224360.86-127065)</f>
        <v>97295.86</v>
      </c>
      <c r="F14" s="135">
        <v>0.0</v>
      </c>
      <c r="G14" s="135">
        <f>+103185.62*0+103388.2*0+103443.54*0+103495.39*0+103597.42*0+103698.44*0+103850.86*0+104004.97</f>
        <v>104004.97</v>
      </c>
      <c r="H14" s="135">
        <f>+156430.2*0+156737.16*0+156814.12*0+156890.94*0+157121.83*0+(157198.95-7061.28)*0+150362.09*0+150583.34</f>
        <v>150583.34</v>
      </c>
      <c r="I14" s="135">
        <f>+218682.92*0+219146.07*0+219365.18*0+219810*0+220600.19</f>
        <v>220600.19</v>
      </c>
      <c r="J14" s="135">
        <f>+153497.97*0+153763.59*0+153895.83*0+(154161.64-7000-11000)*0+136468.2*0</f>
        <v>0</v>
      </c>
      <c r="K14" s="135">
        <f>+201435.81*0+201831.22*0+202029.21*0+202425.78*0+202723.72*0+203121.64</f>
        <v>203121.64</v>
      </c>
      <c r="L14" s="135">
        <f>+71169.77*0+71061.34*0+73131.55</f>
        <v>73131.55</v>
      </c>
      <c r="M14" s="135">
        <f>+92483.89*0+94983.89</f>
        <v>94983.89</v>
      </c>
      <c r="N14" s="135">
        <f>+(5051-800-2000)*23.23</f>
        <v>52290.73</v>
      </c>
      <c r="O14" s="135">
        <f>+7100*10.03</f>
        <v>71213</v>
      </c>
      <c r="P14" s="135">
        <f>+207153.73*0+207171.21*0+207517.85*0+207590.76*0+207948.9*0+208161.37*0+208800.1*0+209603.07</f>
        <v>209603.07</v>
      </c>
      <c r="Q14" s="135">
        <f>+56748.02*0+56700.8*0+56854.44*0+56915.76*0+57501.63*0+57388.68*0+57507.08*0+57065.36</f>
        <v>57065.36</v>
      </c>
      <c r="R14" s="135">
        <v>0.0</v>
      </c>
      <c r="S14" s="135">
        <f>+62179.06*0+62301.13*0+62331.69*0+62362.25*0+62453.99*0+62484.67*0+62576.6*0+62668.71</f>
        <v>62668.71</v>
      </c>
      <c r="T14" s="135">
        <v>0.0</v>
      </c>
      <c r="U14" s="135">
        <f>+4925*54</f>
        <v>265950</v>
      </c>
      <c r="V14" s="135">
        <f>+51129.1*0+51207.38*0+51246.58*0+51325.08*0+(51384.07-1300)*0+50160.84</f>
        <v>50160.84</v>
      </c>
      <c r="W14" s="135">
        <f>+40100*5.1</f>
        <v>204510</v>
      </c>
      <c r="X14" s="135">
        <f>+219*77</f>
        <v>16863</v>
      </c>
      <c r="Y14" s="135">
        <f>+(2959-400-1200)*75.13</f>
        <v>102101.67</v>
      </c>
      <c r="Z14" s="135">
        <f>+(7400-500)*55.15</f>
        <v>380535</v>
      </c>
      <c r="AA14" s="135">
        <v>0.0</v>
      </c>
      <c r="AB14" s="135">
        <f>+(36-12)*54</f>
        <v>1296</v>
      </c>
      <c r="AC14" s="135">
        <v>0.0</v>
      </c>
      <c r="AD14" s="135">
        <f>+14*5.1</f>
        <v>71.4</v>
      </c>
      <c r="AE14" s="135">
        <v>0.0</v>
      </c>
      <c r="AF14" s="135">
        <f>+1929*5.33*0</f>
        <v>0</v>
      </c>
      <c r="AG14" s="135">
        <f>+89*16.6*0</f>
        <v>0</v>
      </c>
      <c r="AH14" s="135">
        <f>+1616*24.6*0</f>
        <v>0</v>
      </c>
      <c r="AI14" s="178">
        <f t="shared" si="6"/>
        <v>2610374.79</v>
      </c>
      <c r="AJ14" s="177">
        <f>AJ13-AI14</f>
        <v>71372.1</v>
      </c>
      <c r="AK14" s="146"/>
      <c r="AL14" s="147"/>
      <c r="AM14" s="147"/>
      <c r="AN14" s="147"/>
      <c r="AO14" s="147"/>
      <c r="AP14" s="147"/>
      <c r="AQ14" s="147"/>
      <c r="AR14" s="147"/>
      <c r="AS14" s="147"/>
      <c r="AT14" s="147"/>
      <c r="AU14" s="147"/>
      <c r="AV14" s="147"/>
      <c r="AW14" s="147"/>
      <c r="AX14" s="147"/>
      <c r="AY14" s="147"/>
      <c r="AZ14" s="147"/>
    </row>
    <row r="15" ht="24.0" customHeight="1">
      <c r="A15" s="133"/>
      <c r="B15" s="153" t="s">
        <v>165</v>
      </c>
      <c r="C15" s="154">
        <f t="shared" ref="C15:AI15" si="7">IFERROR(IF(C14=0,(-C12/C10)-1,C16),"")</f>
        <v>0.01037192311</v>
      </c>
      <c r="D15" s="154">
        <f t="shared" si="7"/>
        <v>0.01048264403</v>
      </c>
      <c r="E15" s="154">
        <f t="shared" si="7"/>
        <v>0</v>
      </c>
      <c r="F15" s="154" t="str">
        <f t="shared" si="7"/>
        <v/>
      </c>
      <c r="G15" s="154">
        <f t="shared" si="7"/>
        <v>0.009855720846</v>
      </c>
      <c r="H15" s="154">
        <f t="shared" si="7"/>
        <v>0.01020324237</v>
      </c>
      <c r="I15" s="154">
        <f t="shared" si="7"/>
        <v>0.01137590605</v>
      </c>
      <c r="J15" s="154">
        <f t="shared" si="7"/>
        <v>0.008493919815</v>
      </c>
      <c r="K15" s="154">
        <f t="shared" si="7"/>
        <v>0.01084384027</v>
      </c>
      <c r="L15" s="154">
        <f t="shared" si="7"/>
        <v>0.01781464948</v>
      </c>
      <c r="M15" s="154">
        <f t="shared" si="7"/>
        <v>0</v>
      </c>
      <c r="N15" s="154">
        <f t="shared" si="7"/>
        <v>0.6966591628</v>
      </c>
      <c r="O15" s="154">
        <f t="shared" si="7"/>
        <v>-0.0687093779</v>
      </c>
      <c r="P15" s="154">
        <f t="shared" si="7"/>
        <v>0.01324640748</v>
      </c>
      <c r="Q15" s="154">
        <f t="shared" si="7"/>
        <v>0.009469298281</v>
      </c>
      <c r="R15" s="154" t="str">
        <f t="shared" si="7"/>
        <v/>
      </c>
      <c r="S15" s="154">
        <f t="shared" si="7"/>
        <v>0.009853159784</v>
      </c>
      <c r="T15" s="154" t="str">
        <f t="shared" si="7"/>
        <v/>
      </c>
      <c r="U15" s="154">
        <f t="shared" si="7"/>
        <v>-0.26799512</v>
      </c>
      <c r="V15" s="154">
        <f t="shared" si="7"/>
        <v>0.008633768517</v>
      </c>
      <c r="W15" s="154">
        <f t="shared" si="7"/>
        <v>-0.06593406593</v>
      </c>
      <c r="X15" s="154">
        <f t="shared" si="7"/>
        <v>-0.02445204612</v>
      </c>
      <c r="Y15" s="154">
        <f t="shared" si="7"/>
        <v>-0.04982696618</v>
      </c>
      <c r="Z15" s="154">
        <f t="shared" si="7"/>
        <v>0.02252299457</v>
      </c>
      <c r="AA15" s="154" t="str">
        <f t="shared" si="7"/>
        <v/>
      </c>
      <c r="AB15" s="154">
        <f t="shared" si="7"/>
        <v>-0.3558391984</v>
      </c>
      <c r="AC15" s="154" t="str">
        <f t="shared" si="7"/>
        <v/>
      </c>
      <c r="AD15" s="154">
        <f t="shared" si="7"/>
        <v>-0.9362750348</v>
      </c>
      <c r="AE15" s="154" t="str">
        <f t="shared" si="7"/>
        <v/>
      </c>
      <c r="AF15" s="154">
        <f t="shared" si="7"/>
        <v>-0.02380952381</v>
      </c>
      <c r="AG15" s="154">
        <f t="shared" si="7"/>
        <v>0.05532786885</v>
      </c>
      <c r="AH15" s="154">
        <f t="shared" si="7"/>
        <v>0.2455282457</v>
      </c>
      <c r="AI15" s="179">
        <f t="shared" si="7"/>
        <v>-0.02661403291</v>
      </c>
      <c r="AJ15" s="177">
        <f>AI14*AI15</f>
        <v>-69472.60058</v>
      </c>
      <c r="AK15" s="146"/>
      <c r="AL15" s="147"/>
      <c r="AM15" s="147"/>
      <c r="AN15" s="147"/>
      <c r="AO15" s="147"/>
      <c r="AP15" s="147"/>
      <c r="AQ15" s="147"/>
      <c r="AR15" s="147"/>
      <c r="AS15" s="147"/>
      <c r="AT15" s="147"/>
      <c r="AU15" s="147"/>
      <c r="AV15" s="147"/>
      <c r="AW15" s="147"/>
      <c r="AX15" s="147"/>
      <c r="AY15" s="147"/>
      <c r="AZ15" s="147"/>
    </row>
    <row r="16" ht="24.0" hidden="1" customHeight="1">
      <c r="A16" s="133"/>
      <c r="B16" s="156" t="s">
        <v>166</v>
      </c>
      <c r="C16" s="180">
        <f t="shared" ref="C16:AI16" si="8">IFERROR(IF(AND(C10&lt;&gt;0,C14=""),"",(C14/(C10+C11+C12+C13))-1),"")</f>
        <v>0.01037192311</v>
      </c>
      <c r="D16" s="180">
        <f t="shared" si="8"/>
        <v>0.01048264403</v>
      </c>
      <c r="E16" s="180">
        <f t="shared" si="8"/>
        <v>0</v>
      </c>
      <c r="F16" s="180" t="str">
        <f t="shared" si="8"/>
        <v/>
      </c>
      <c r="G16" s="180">
        <f t="shared" si="8"/>
        <v>0.009855720846</v>
      </c>
      <c r="H16" s="180">
        <f t="shared" si="8"/>
        <v>0.01020324237</v>
      </c>
      <c r="I16" s="180">
        <f t="shared" si="8"/>
        <v>0.01137590605</v>
      </c>
      <c r="J16" s="180">
        <f t="shared" si="8"/>
        <v>-1</v>
      </c>
      <c r="K16" s="180">
        <f t="shared" si="8"/>
        <v>0.01084384027</v>
      </c>
      <c r="L16" s="180">
        <f t="shared" si="8"/>
        <v>0.01781464948</v>
      </c>
      <c r="M16" s="180">
        <f t="shared" si="8"/>
        <v>0</v>
      </c>
      <c r="N16" s="180">
        <f t="shared" si="8"/>
        <v>0.6966591628</v>
      </c>
      <c r="O16" s="180">
        <f t="shared" si="8"/>
        <v>-0.0687093779</v>
      </c>
      <c r="P16" s="180">
        <f t="shared" si="8"/>
        <v>0.01324640748</v>
      </c>
      <c r="Q16" s="180">
        <f t="shared" si="8"/>
        <v>0.009469298281</v>
      </c>
      <c r="R16" s="180" t="str">
        <f t="shared" si="8"/>
        <v/>
      </c>
      <c r="S16" s="180">
        <f t="shared" si="8"/>
        <v>0.009853159784</v>
      </c>
      <c r="T16" s="180" t="str">
        <f t="shared" si="8"/>
        <v/>
      </c>
      <c r="U16" s="180">
        <f t="shared" si="8"/>
        <v>-0.26799512</v>
      </c>
      <c r="V16" s="180">
        <f t="shared" si="8"/>
        <v>0.008633768517</v>
      </c>
      <c r="W16" s="180">
        <f t="shared" si="8"/>
        <v>-0.06593406593</v>
      </c>
      <c r="X16" s="180">
        <f t="shared" si="8"/>
        <v>-0.02445204612</v>
      </c>
      <c r="Y16" s="180">
        <f t="shared" si="8"/>
        <v>-0.04982696618</v>
      </c>
      <c r="Z16" s="180">
        <f t="shared" si="8"/>
        <v>0.02252299457</v>
      </c>
      <c r="AA16" s="180" t="str">
        <f t="shared" si="8"/>
        <v/>
      </c>
      <c r="AB16" s="180">
        <f t="shared" si="8"/>
        <v>-0.3558391984</v>
      </c>
      <c r="AC16" s="180" t="str">
        <f t="shared" si="8"/>
        <v/>
      </c>
      <c r="AD16" s="180">
        <f t="shared" si="8"/>
        <v>-0.9362750348</v>
      </c>
      <c r="AE16" s="180" t="str">
        <f t="shared" si="8"/>
        <v/>
      </c>
      <c r="AF16" s="180">
        <f t="shared" si="8"/>
        <v>-1</v>
      </c>
      <c r="AG16" s="180">
        <f t="shared" si="8"/>
        <v>-1</v>
      </c>
      <c r="AH16" s="180">
        <f t="shared" si="8"/>
        <v>-1</v>
      </c>
      <c r="AI16" s="181">
        <f t="shared" si="8"/>
        <v>-0.02661403291</v>
      </c>
      <c r="AJ16" s="177"/>
      <c r="AK16" s="146"/>
      <c r="AL16" s="147"/>
      <c r="AM16" s="147"/>
      <c r="AN16" s="147"/>
      <c r="AO16" s="147"/>
      <c r="AP16" s="147"/>
      <c r="AQ16" s="147"/>
      <c r="AR16" s="147"/>
      <c r="AS16" s="147"/>
      <c r="AT16" s="147"/>
      <c r="AU16" s="147"/>
      <c r="AV16" s="147"/>
      <c r="AW16" s="147"/>
      <c r="AX16" s="147"/>
      <c r="AY16" s="147"/>
      <c r="AZ16" s="147"/>
    </row>
    <row r="17" ht="24.0" customHeight="1">
      <c r="A17" s="158"/>
      <c r="B17" s="159" t="s">
        <v>167</v>
      </c>
      <c r="C17" s="160">
        <f t="shared" ref="C17:AI17" si="9">IFERROR(C14/$AI$14,"")</f>
        <v>0.01149993484</v>
      </c>
      <c r="D17" s="160">
        <f t="shared" si="9"/>
        <v>0.06217706002</v>
      </c>
      <c r="E17" s="160">
        <f t="shared" si="9"/>
        <v>0.037272755</v>
      </c>
      <c r="F17" s="160">
        <f t="shared" si="9"/>
        <v>0</v>
      </c>
      <c r="G17" s="160">
        <f t="shared" si="9"/>
        <v>0.03984292616</v>
      </c>
      <c r="H17" s="160">
        <f t="shared" si="9"/>
        <v>0.05768648264</v>
      </c>
      <c r="I17" s="160">
        <f t="shared" si="9"/>
        <v>0.08450901029</v>
      </c>
      <c r="J17" s="160">
        <f t="shared" si="9"/>
        <v>0</v>
      </c>
      <c r="K17" s="160">
        <f t="shared" si="9"/>
        <v>0.07781320934</v>
      </c>
      <c r="L17" s="160">
        <f t="shared" si="9"/>
        <v>0.02801572796</v>
      </c>
      <c r="M17" s="160">
        <f t="shared" si="9"/>
        <v>0.03638706992</v>
      </c>
      <c r="N17" s="160">
        <f t="shared" si="9"/>
        <v>0.02003188592</v>
      </c>
      <c r="O17" s="160">
        <f t="shared" si="9"/>
        <v>0.02728075688</v>
      </c>
      <c r="P17" s="160">
        <f t="shared" si="9"/>
        <v>0.08029615931</v>
      </c>
      <c r="Q17" s="160">
        <f t="shared" si="9"/>
        <v>0.02186098342</v>
      </c>
      <c r="R17" s="160">
        <f t="shared" si="9"/>
        <v>0</v>
      </c>
      <c r="S17" s="160">
        <f t="shared" si="9"/>
        <v>0.02400755257</v>
      </c>
      <c r="T17" s="160">
        <f t="shared" si="9"/>
        <v>0</v>
      </c>
      <c r="U17" s="160">
        <f t="shared" si="9"/>
        <v>0.1018819217</v>
      </c>
      <c r="V17" s="160">
        <f t="shared" si="9"/>
        <v>0.01921595328</v>
      </c>
      <c r="W17" s="160">
        <f t="shared" si="9"/>
        <v>0.07834507167</v>
      </c>
      <c r="X17" s="160">
        <f t="shared" si="9"/>
        <v>0.0064599919</v>
      </c>
      <c r="Y17" s="160">
        <f t="shared" si="9"/>
        <v>0.03911379714</v>
      </c>
      <c r="Z17" s="160">
        <f t="shared" si="9"/>
        <v>0.1457779172</v>
      </c>
      <c r="AA17" s="160">
        <f t="shared" si="9"/>
        <v>0</v>
      </c>
      <c r="AB17" s="160">
        <f t="shared" si="9"/>
        <v>0.0004964804307</v>
      </c>
      <c r="AC17" s="160">
        <f t="shared" si="9"/>
        <v>0</v>
      </c>
      <c r="AD17" s="160">
        <f t="shared" si="9"/>
        <v>0.0000273523941</v>
      </c>
      <c r="AE17" s="160">
        <f t="shared" si="9"/>
        <v>0</v>
      </c>
      <c r="AF17" s="160">
        <f t="shared" si="9"/>
        <v>0</v>
      </c>
      <c r="AG17" s="160">
        <f t="shared" si="9"/>
        <v>0</v>
      </c>
      <c r="AH17" s="160">
        <f t="shared" si="9"/>
        <v>0</v>
      </c>
      <c r="AI17" s="182">
        <f t="shared" si="9"/>
        <v>1</v>
      </c>
      <c r="AJ17" s="177">
        <f>AI14-AI10</f>
        <v>-325263.54</v>
      </c>
      <c r="AK17" s="146">
        <f>AI14/AI10-1</f>
        <v>-0.1107982331</v>
      </c>
      <c r="AL17" s="147"/>
      <c r="AM17" s="147"/>
      <c r="AN17" s="147"/>
      <c r="AO17" s="147"/>
      <c r="AP17" s="147"/>
      <c r="AQ17" s="147"/>
      <c r="AR17" s="147"/>
      <c r="AS17" s="147"/>
      <c r="AT17" s="147"/>
      <c r="AU17" s="147"/>
      <c r="AV17" s="147"/>
      <c r="AW17" s="147"/>
      <c r="AX17" s="147"/>
      <c r="AY17" s="147"/>
      <c r="AZ17" s="147"/>
    </row>
    <row r="18" ht="24.0" customHeight="1">
      <c r="A18" s="164">
        <v>45717.0</v>
      </c>
      <c r="B18" s="165" t="s">
        <v>168</v>
      </c>
      <c r="C18" s="166">
        <f t="shared" ref="C18:AH18" si="10">IF(C22="","",C14)</f>
        <v>30019.14</v>
      </c>
      <c r="D18" s="166">
        <f t="shared" si="10"/>
        <v>162305.43</v>
      </c>
      <c r="E18" s="166">
        <f t="shared" si="10"/>
        <v>97295.86</v>
      </c>
      <c r="F18" s="166">
        <f t="shared" si="10"/>
        <v>0</v>
      </c>
      <c r="G18" s="166">
        <f t="shared" si="10"/>
        <v>104004.97</v>
      </c>
      <c r="H18" s="166">
        <f t="shared" si="10"/>
        <v>150583.34</v>
      </c>
      <c r="I18" s="166">
        <f t="shared" si="10"/>
        <v>220600.19</v>
      </c>
      <c r="J18" s="166">
        <f t="shared" si="10"/>
        <v>0</v>
      </c>
      <c r="K18" s="166">
        <f t="shared" si="10"/>
        <v>203121.64</v>
      </c>
      <c r="L18" s="166">
        <f t="shared" si="10"/>
        <v>73131.55</v>
      </c>
      <c r="M18" s="166">
        <f t="shared" si="10"/>
        <v>94983.89</v>
      </c>
      <c r="N18" s="166">
        <f t="shared" si="10"/>
        <v>52290.73</v>
      </c>
      <c r="O18" s="166">
        <f t="shared" si="10"/>
        <v>71213</v>
      </c>
      <c r="P18" s="166">
        <f t="shared" si="10"/>
        <v>209603.07</v>
      </c>
      <c r="Q18" s="166">
        <f t="shared" si="10"/>
        <v>57065.36</v>
      </c>
      <c r="R18" s="166">
        <f t="shared" si="10"/>
        <v>0</v>
      </c>
      <c r="S18" s="166">
        <f t="shared" si="10"/>
        <v>62668.71</v>
      </c>
      <c r="T18" s="166">
        <f t="shared" si="10"/>
        <v>0</v>
      </c>
      <c r="U18" s="166">
        <f t="shared" si="10"/>
        <v>265950</v>
      </c>
      <c r="V18" s="166">
        <f t="shared" si="10"/>
        <v>50160.84</v>
      </c>
      <c r="W18" s="166">
        <f t="shared" si="10"/>
        <v>204510</v>
      </c>
      <c r="X18" s="166">
        <f t="shared" si="10"/>
        <v>16863</v>
      </c>
      <c r="Y18" s="166">
        <f t="shared" si="10"/>
        <v>102101.67</v>
      </c>
      <c r="Z18" s="166">
        <f t="shared" si="10"/>
        <v>380535</v>
      </c>
      <c r="AA18" s="166">
        <f t="shared" si="10"/>
        <v>0</v>
      </c>
      <c r="AB18" s="166">
        <f t="shared" si="10"/>
        <v>1296</v>
      </c>
      <c r="AC18" s="166">
        <f t="shared" si="10"/>
        <v>0</v>
      </c>
      <c r="AD18" s="166">
        <f t="shared" si="10"/>
        <v>71.4</v>
      </c>
      <c r="AE18" s="166">
        <f t="shared" si="10"/>
        <v>0</v>
      </c>
      <c r="AF18" s="166">
        <f t="shared" si="10"/>
        <v>0</v>
      </c>
      <c r="AG18" s="166">
        <f t="shared" si="10"/>
        <v>0</v>
      </c>
      <c r="AH18" s="166">
        <f t="shared" si="10"/>
        <v>0</v>
      </c>
      <c r="AI18" s="183">
        <f t="shared" ref="AI18:AI22" si="11">SUM(C18:AH18)</f>
        <v>2610374.79</v>
      </c>
      <c r="AJ18" s="184"/>
      <c r="AK18" s="185"/>
      <c r="AL18" s="186"/>
      <c r="AM18" s="170"/>
      <c r="AN18" s="171"/>
      <c r="AO18" s="171"/>
      <c r="AP18" s="171"/>
      <c r="AQ18" s="171"/>
      <c r="AR18" s="171"/>
      <c r="AS18" s="171"/>
      <c r="AT18" s="171"/>
      <c r="AU18" s="171"/>
      <c r="AV18" s="171"/>
      <c r="AW18" s="171"/>
      <c r="AX18" s="171"/>
      <c r="AY18" s="171"/>
      <c r="AZ18" s="172"/>
    </row>
    <row r="19" ht="24.0" customHeight="1">
      <c r="A19" s="133"/>
      <c r="B19" s="134" t="s">
        <v>160</v>
      </c>
      <c r="C19" s="187">
        <v>0.0</v>
      </c>
      <c r="D19" s="187">
        <v>0.0</v>
      </c>
      <c r="E19" s="187">
        <v>0.0</v>
      </c>
      <c r="F19" s="187">
        <f>+100*130.63+200*130.62+200*130.61+200*130.6+199*130.67+80*130.76+80*130.75+80*130.74+40*130.83+80*130.82+80*130.81+40*130.8</f>
        <v>180207.93</v>
      </c>
      <c r="G19" s="187">
        <v>0.0</v>
      </c>
      <c r="H19" s="187">
        <v>0.0</v>
      </c>
      <c r="I19" s="187">
        <v>0.0</v>
      </c>
      <c r="J19" s="188">
        <v>50000.0</v>
      </c>
      <c r="K19" s="187">
        <v>0.0</v>
      </c>
      <c r="L19" s="187">
        <v>0.0</v>
      </c>
      <c r="M19" s="187">
        <v>0.0</v>
      </c>
      <c r="N19" s="187">
        <f>+100*19.69+300*19.68+100*19.61+50*19.65+50*19.51+100*19.56+50*19.6+50*19.74+50*20.41+200*20.36+50*20.39+50*20.34+50*20.28+50*20.25+50*20.21+100*20.14+50*20.05+100*19.96+50*19.85+50*19.74+50*19.61+50*19.88+50*19.97+50*19.88+50*23.08+50*23.05+50*23.02+50*22.99+50*22.96+50*22.95+150*22.93+100*22.96+50*22.9+50*22.87+50*22.84+50*22.91+50*22.88+50*22.34+50*22.33+50*22.31+50*22.3+100*22.28+50*22.27+100*22.26+100*22.25+50*22.23</f>
        <v>68566</v>
      </c>
      <c r="O19" s="187">
        <f>+100*10.62+100*10.63+100*10.64+100*10.65+100*10.66+100*10.69</f>
        <v>6389</v>
      </c>
      <c r="P19" s="187">
        <v>0.0</v>
      </c>
      <c r="Q19" s="187">
        <v>0.0</v>
      </c>
      <c r="R19" s="187">
        <v>0.0</v>
      </c>
      <c r="S19" s="187">
        <v>0.0</v>
      </c>
      <c r="T19" s="187">
        <v>0.0</v>
      </c>
      <c r="U19" s="187">
        <f>+100*49.37+100*49.68+100*49.5+50*49.4+50*49.6+100*49.81+50*49.61+50*49.46+50*49.29+50*49.31+150*49.21+50*49.87+50*47.5+50*47.45+50*47.41+50*47.39+50*47.36+50*47.31+50*47.27+50*47.64+50*47.51+50*47.41+50*47.36+50*47.52+50*47.27+50*47.19+50*47.01+50*41.09+50*41.01+50*40.98+50*40.84+50*40.72+50*40.51+100*40.1+50*40.11+50*40.15+50*40.2+50*40.21+50*40.23+50*40.43+50*40.54+50*41.01+50*41.12+50*41.51+50*42.16+50*42.9+50*42.6+50*42.01+50*41.6+50*41.56+50*41.5+50*41.57+50*41.54+50*42.24+50*42.14+50*42.01+50*42.46+50*39.72+50*39.64+50*49.64+50*49.49+50*49.41+50*49.32+50*49.11+50*49.01+50*48.9+50*48.83+50*48.78+50*48.65+50*48.51+50*48.37+50*48.02</f>
        <v>179702</v>
      </c>
      <c r="V19" s="187">
        <v>0.0</v>
      </c>
      <c r="W19" s="187">
        <v>0.0</v>
      </c>
      <c r="X19" s="187">
        <v>0.0</v>
      </c>
      <c r="Y19" s="187">
        <v>0.0</v>
      </c>
      <c r="Z19" s="187">
        <v>0.0</v>
      </c>
      <c r="AA19" s="187">
        <f>+100*2.24+1000*2.25+400*2.23+1800*2.34+1800*2.36+2000*2.35+1000*2.33+1000*2.37+400*2.38+500*2.4+500*2.41+900*2.24</f>
        <v>26599</v>
      </c>
      <c r="AB19" s="187">
        <f>+12*40.56+50*40.52+50*40.42+50*40.27+50*40.12+50*40.35+50*40.52+50*40.75+50*40.78</f>
        <v>16673.22</v>
      </c>
      <c r="AC19" s="187">
        <f>+1000*2.2+2000*2.19+1000*2.18+3000*2.17+2000*2.16+1000*2.15</f>
        <v>21740</v>
      </c>
      <c r="AD19" s="187">
        <v>0.0</v>
      </c>
      <c r="AE19" s="187">
        <v>0.0</v>
      </c>
      <c r="AF19" s="187">
        <v>0.0</v>
      </c>
      <c r="AG19" s="187">
        <v>0.0</v>
      </c>
      <c r="AH19" s="187">
        <v>0.0</v>
      </c>
      <c r="AI19" s="151">
        <f t="shared" si="11"/>
        <v>549877.15</v>
      </c>
      <c r="AJ19" s="189"/>
      <c r="AK19" s="175"/>
      <c r="AL19" s="190"/>
      <c r="AM19" s="170"/>
      <c r="AN19" s="171"/>
      <c r="AP19" s="171"/>
      <c r="AQ19" s="171"/>
      <c r="AR19" s="171"/>
      <c r="AS19" s="171"/>
      <c r="AT19" s="171"/>
      <c r="AU19" s="171"/>
      <c r="AV19" s="171"/>
      <c r="AW19" s="171"/>
      <c r="AX19" s="171"/>
      <c r="AY19" s="171"/>
      <c r="AZ19" s="172"/>
    </row>
    <row r="20" ht="24.0" customHeight="1">
      <c r="A20" s="133"/>
      <c r="B20" s="143" t="s">
        <v>161</v>
      </c>
      <c r="C20" s="187">
        <v>0.0</v>
      </c>
      <c r="D20" s="187">
        <v>0.0</v>
      </c>
      <c r="E20" s="187">
        <f>E22-E18</f>
        <v>-98622.86</v>
      </c>
      <c r="F20" s="187">
        <f>-400*131.15-240*131.26</f>
        <v>-83962.4</v>
      </c>
      <c r="G20" s="187">
        <v>0.0</v>
      </c>
      <c r="H20" s="187">
        <v>0.0</v>
      </c>
      <c r="I20" s="187">
        <v>0.0</v>
      </c>
      <c r="J20" s="187">
        <v>0.0</v>
      </c>
      <c r="K20" s="187">
        <v>0.0</v>
      </c>
      <c r="L20" s="187">
        <f>-(1031+745+300)*6.33</f>
        <v>-13141.08</v>
      </c>
      <c r="M20" s="187">
        <v>0.0</v>
      </c>
      <c r="N20" s="187">
        <v>0.0</v>
      </c>
      <c r="O20" s="187">
        <v>0.0</v>
      </c>
      <c r="P20" s="187">
        <v>0.0</v>
      </c>
      <c r="Q20" s="187">
        <v>0.0</v>
      </c>
      <c r="R20" s="187">
        <v>0.0</v>
      </c>
      <c r="S20" s="187">
        <v>0.0</v>
      </c>
      <c r="T20" s="187">
        <v>0.0</v>
      </c>
      <c r="U20" s="187">
        <v>0.0</v>
      </c>
      <c r="V20" s="187">
        <v>0.0</v>
      </c>
      <c r="W20" s="187">
        <f>-20000*5.92-2000*6.17-4000*6.29-200*6.29-13800*6.29</f>
        <v>-243960</v>
      </c>
      <c r="X20" s="187">
        <v>0.0</v>
      </c>
      <c r="Y20" s="187">
        <v>0.0</v>
      </c>
      <c r="Z20" s="187">
        <v>0.0</v>
      </c>
      <c r="AA20" s="187">
        <v>0.0</v>
      </c>
      <c r="AB20" s="187">
        <f>-24*47.33</f>
        <v>-1135.92</v>
      </c>
      <c r="AC20" s="187">
        <v>0.0</v>
      </c>
      <c r="AD20" s="187">
        <f>-14*5.46</f>
        <v>-76.44</v>
      </c>
      <c r="AE20" s="187">
        <v>0.0</v>
      </c>
      <c r="AF20" s="187">
        <v>0.0</v>
      </c>
      <c r="AG20" s="187">
        <v>0.0</v>
      </c>
      <c r="AH20" s="187">
        <v>0.0</v>
      </c>
      <c r="AI20" s="151">
        <f t="shared" si="11"/>
        <v>-440898.7</v>
      </c>
      <c r="AJ20" s="145">
        <f>SUM(AI19:AI20)</f>
        <v>108978.45</v>
      </c>
      <c r="AK20" s="146"/>
      <c r="AL20" s="147"/>
      <c r="AM20" s="147"/>
      <c r="AN20" s="147"/>
      <c r="AO20" s="147"/>
      <c r="AP20" s="147"/>
      <c r="AQ20" s="147"/>
      <c r="AR20" s="147"/>
      <c r="AS20" s="147"/>
      <c r="AT20" s="147"/>
      <c r="AU20" s="147"/>
      <c r="AV20" s="147"/>
      <c r="AW20" s="147"/>
      <c r="AX20" s="147"/>
      <c r="AY20" s="147"/>
      <c r="AZ20" s="147"/>
    </row>
    <row r="21" ht="24.0" customHeight="1">
      <c r="A21" s="133"/>
      <c r="B21" s="144" t="s">
        <v>162</v>
      </c>
      <c r="C21" s="187">
        <v>0.0</v>
      </c>
      <c r="D21" s="187">
        <v>0.0</v>
      </c>
      <c r="E21" s="187">
        <v>0.0</v>
      </c>
      <c r="F21" s="187">
        <v>0.0</v>
      </c>
      <c r="G21" s="187">
        <v>0.0</v>
      </c>
      <c r="H21" s="187">
        <v>0.0</v>
      </c>
      <c r="I21" s="187">
        <v>0.0</v>
      </c>
      <c r="J21" s="187">
        <v>0.0</v>
      </c>
      <c r="K21" s="187">
        <v>0.0</v>
      </c>
      <c r="L21" s="187">
        <v>0.0</v>
      </c>
      <c r="M21" s="187">
        <v>0.0</v>
      </c>
      <c r="N21" s="187">
        <v>0.0</v>
      </c>
      <c r="O21" s="187">
        <v>0.0</v>
      </c>
      <c r="P21" s="187">
        <v>0.0</v>
      </c>
      <c r="Q21" s="187">
        <v>0.0</v>
      </c>
      <c r="R21" s="187">
        <v>0.0</v>
      </c>
      <c r="S21" s="187">
        <v>0.0</v>
      </c>
      <c r="T21" s="187">
        <v>0.0</v>
      </c>
      <c r="U21" s="187">
        <v>0.0</v>
      </c>
      <c r="V21" s="187">
        <v>0.0</v>
      </c>
      <c r="W21" s="187">
        <v>0.0</v>
      </c>
      <c r="X21" s="187">
        <v>0.0</v>
      </c>
      <c r="Y21" s="187">
        <v>0.0</v>
      </c>
      <c r="Z21" s="187">
        <f>-14778.74-2344.98</f>
        <v>-17123.72</v>
      </c>
      <c r="AA21" s="187">
        <v>0.0</v>
      </c>
      <c r="AB21" s="187">
        <v>0.0</v>
      </c>
      <c r="AC21" s="187">
        <v>0.0</v>
      </c>
      <c r="AD21" s="187">
        <v>0.0</v>
      </c>
      <c r="AE21" s="187">
        <v>0.0</v>
      </c>
      <c r="AF21" s="187">
        <v>0.0</v>
      </c>
      <c r="AG21" s="187">
        <v>0.0</v>
      </c>
      <c r="AH21" s="187">
        <v>0.0</v>
      </c>
      <c r="AI21" s="151">
        <f t="shared" si="11"/>
        <v>-17123.72</v>
      </c>
      <c r="AJ21" s="145">
        <f>SUM(AI18:AI21)</f>
        <v>2702229.52</v>
      </c>
      <c r="AK21" s="146"/>
      <c r="AL21" s="147"/>
      <c r="AM21" s="147"/>
      <c r="AN21" s="147"/>
      <c r="AO21" s="147"/>
      <c r="AP21" s="147"/>
      <c r="AQ21" s="147"/>
      <c r="AR21" s="147"/>
      <c r="AS21" s="147"/>
      <c r="AT21" s="147"/>
      <c r="AU21" s="147"/>
      <c r="AV21" s="147"/>
      <c r="AW21" s="147"/>
      <c r="AX21" s="147"/>
      <c r="AY21" s="147"/>
      <c r="AZ21" s="147"/>
    </row>
    <row r="22" ht="24.0" customHeight="1">
      <c r="A22" s="133"/>
      <c r="B22" s="150" t="s">
        <v>163</v>
      </c>
      <c r="C22" s="187">
        <f>+(18755.63+11308.19)*0+(18764.74+11313.84)*0+(18773.86+11318.93)*0+(18782.9+11324.5)*0+(18792.18+11329.95)*0+(18801.46+11335.39)*0+(18810.73+11341.11)*0+(18839.18+11358.09)*0+(18849.04+11364.35)*0+(11370.43+18859)*0+(18868.91+11376.34)*0+(11382.17+18878.78)*0+(18908.57+11400.36)</f>
        <v>30308.93</v>
      </c>
      <c r="D22" s="187">
        <f>+162556.75*0+162636.96*0+162715.9*0+162795.01*0+162875.05*0+162955.23*0+163034.34*0+163276.68*0+163360*0+163446.04*0+163527.42*0+163609.38*0+163868.98</f>
        <v>163868.98</v>
      </c>
      <c r="E22" s="188">
        <f>+(772+6583-42953+83962-49691)</f>
        <v>-1327</v>
      </c>
      <c r="F22" s="187">
        <f>+(700+199+240+240-640)*131.22</f>
        <v>96971.58</v>
      </c>
      <c r="G22" s="187">
        <f>+104210.66*0+104261.55*0+104363.53*0+104414.31*0+104618.93*0+104783.55*0+104838.5*0+104893*0+104948.26*0+105058.49</f>
        <v>105058.49</v>
      </c>
      <c r="H22" s="187">
        <f>+150878.97*0+150952.92*0+151175.18*0+151249.27*0+151551.4*0+151710.69*0+151790.41*0+151870.13*0+151949.85*0+152109.58</f>
        <v>152109.58</v>
      </c>
      <c r="I22" s="187">
        <f>+221083.34*0+221405.95*0+221510.64*0+221965.48*0+222208.88*0+222578.95*0+222835.27</f>
        <v>222835.27</v>
      </c>
      <c r="J22" s="187">
        <f>+50027.55*0+50055.15*0+50082.75*0+50110.4*0+50165.7</f>
        <v>50165.7</v>
      </c>
      <c r="K22" s="187">
        <f>+203520.36*0+203819.9*0+203919.85*0+204019.85*0+204327.26*0+204541.99*0+205079</f>
        <v>205079</v>
      </c>
      <c r="L22" s="187">
        <f>+59746.35*0+59380.04*0+59153.1*0+59084*0+58385.84*0+58426.77*0+58877*0+59021*0+60175.44</f>
        <v>60175.44</v>
      </c>
      <c r="M22" s="188">
        <f>+95000*0+101893.69</f>
        <v>101893.69</v>
      </c>
      <c r="N22" s="187">
        <f>+(2251+800+1050+800+600)*21.46</f>
        <v>118051.46</v>
      </c>
      <c r="O22" s="187">
        <f>+(7100+600)*10.4</f>
        <v>80080</v>
      </c>
      <c r="P22" s="187">
        <f>+210228.93*0+210437.96*0+211103.48*0+211315.71*0+211882*0+212118.23*0+212236.44*0+212354.71*0+212473.06*0+212679.73</f>
        <v>212679.73</v>
      </c>
      <c r="Q22" s="187">
        <f>+57601.7*0+57467.79*0+57643.99*0+57698.09*0+57875.18*0+57851.91*0+57724.87*0+57720.46*0+57682.07*0+57381.82*0+57366.49*0+57503.75*0+57688.06</f>
        <v>57688.06</v>
      </c>
      <c r="R22" s="187">
        <v>0.0</v>
      </c>
      <c r="S22" s="187">
        <f>+62791.75*0+62822.49*0+62914.97*0+62945.83*0+63071.62*0+63137.86*0+63171.05*0+63204.23*0+63237.41*0+63303.9</f>
        <v>63303.9</v>
      </c>
      <c r="T22" s="187">
        <v>0.0</v>
      </c>
      <c r="U22" s="187">
        <f>+(4925+900+750+300+800+450+100+650)*45.92</f>
        <v>407540</v>
      </c>
      <c r="V22" s="187">
        <f>+50218.53*0+50237.77*0+50295.58*0+50314.86*0+50393.48*0+50434.92*0+50455.65*0+50538</f>
        <v>50538</v>
      </c>
      <c r="W22" s="187">
        <f>+(40100-20000-2000-4000-200-13800-100)*6.41</f>
        <v>0</v>
      </c>
      <c r="X22" s="187">
        <f>+219*68.35</f>
        <v>14968.65</v>
      </c>
      <c r="Y22" s="187">
        <f>+1359*68.35</f>
        <v>92887.65</v>
      </c>
      <c r="Z22" s="187">
        <f>+6900*56.7</f>
        <v>391230</v>
      </c>
      <c r="AA22" s="187">
        <f>+(1500+9000+900)*2.21</f>
        <v>25194</v>
      </c>
      <c r="AB22" s="187">
        <f>+(412-24+24)*45.92</f>
        <v>18919.04</v>
      </c>
      <c r="AC22" s="187">
        <f>+10000*2.21</f>
        <v>22100</v>
      </c>
      <c r="AD22" s="187">
        <v>0.0</v>
      </c>
      <c r="AE22" s="187">
        <v>0.0</v>
      </c>
      <c r="AF22" s="187">
        <v>0.0</v>
      </c>
      <c r="AG22" s="187">
        <v>0.0</v>
      </c>
      <c r="AH22" s="187">
        <v>0.0</v>
      </c>
      <c r="AI22" s="191">
        <f t="shared" si="11"/>
        <v>2742320.15</v>
      </c>
      <c r="AJ22" s="145">
        <f>AJ21-AI22</f>
        <v>-40090.63</v>
      </c>
      <c r="AK22" s="146"/>
      <c r="AL22" s="147"/>
      <c r="AM22" s="147"/>
      <c r="AN22" s="147"/>
      <c r="AO22" s="147"/>
      <c r="AP22" s="147"/>
      <c r="AQ22" s="147"/>
      <c r="AR22" s="147"/>
      <c r="AS22" s="147"/>
      <c r="AT22" s="147"/>
      <c r="AU22" s="147"/>
      <c r="AV22" s="147"/>
      <c r="AW22" s="147"/>
      <c r="AX22" s="147"/>
      <c r="AY22" s="147"/>
      <c r="AZ22" s="147"/>
    </row>
    <row r="23" ht="30.0" customHeight="1">
      <c r="A23" s="133"/>
      <c r="B23" s="153" t="s">
        <v>165</v>
      </c>
      <c r="C23" s="154">
        <f t="shared" ref="C23:AI23" si="12">IFERROR(IF(C22=0,(-C20/C18)-1,C24),"")</f>
        <v>0.009653507729</v>
      </c>
      <c r="D23" s="154">
        <f t="shared" si="12"/>
        <v>0.009633380719</v>
      </c>
      <c r="E23" s="154">
        <f t="shared" si="12"/>
        <v>0</v>
      </c>
      <c r="F23" s="154">
        <f t="shared" si="12"/>
        <v>0.007543726966</v>
      </c>
      <c r="G23" s="154">
        <f t="shared" si="12"/>
        <v>0.01012951593</v>
      </c>
      <c r="H23" s="154">
        <f t="shared" si="12"/>
        <v>0.01013551698</v>
      </c>
      <c r="I23" s="154">
        <f t="shared" si="12"/>
        <v>0.01013181358</v>
      </c>
      <c r="J23" s="154">
        <f t="shared" si="12"/>
        <v>0.003314</v>
      </c>
      <c r="K23" s="154">
        <f t="shared" si="12"/>
        <v>0.009636393247</v>
      </c>
      <c r="L23" s="154">
        <f t="shared" si="12"/>
        <v>0.003083323068</v>
      </c>
      <c r="M23" s="154">
        <f t="shared" si="12"/>
        <v>0.07274707321</v>
      </c>
      <c r="N23" s="154">
        <f t="shared" si="12"/>
        <v>-0.02321153319</v>
      </c>
      <c r="O23" s="154">
        <f t="shared" si="12"/>
        <v>0.0319321667</v>
      </c>
      <c r="P23" s="154">
        <f t="shared" si="12"/>
        <v>0.01467850638</v>
      </c>
      <c r="Q23" s="154">
        <f t="shared" si="12"/>
        <v>0.01091204892</v>
      </c>
      <c r="R23" s="154" t="str">
        <f t="shared" si="12"/>
        <v/>
      </c>
      <c r="S23" s="154">
        <f t="shared" si="12"/>
        <v>0.01013568015</v>
      </c>
      <c r="T23" s="154" t="str">
        <f t="shared" si="12"/>
        <v/>
      </c>
      <c r="U23" s="154">
        <f t="shared" si="12"/>
        <v>-0.08551964313</v>
      </c>
      <c r="V23" s="154">
        <f t="shared" si="12"/>
        <v>0.007519012839</v>
      </c>
      <c r="W23" s="154">
        <f t="shared" si="12"/>
        <v>0.1929001027</v>
      </c>
      <c r="X23" s="154">
        <f t="shared" si="12"/>
        <v>-0.1123376623</v>
      </c>
      <c r="Y23" s="154">
        <f t="shared" si="12"/>
        <v>-0.0902435778</v>
      </c>
      <c r="Z23" s="154">
        <f t="shared" si="12"/>
        <v>0.07654886221</v>
      </c>
      <c r="AA23" s="154">
        <f t="shared" si="12"/>
        <v>-0.05282153464</v>
      </c>
      <c r="AB23" s="154">
        <f t="shared" si="12"/>
        <v>0.1239055919</v>
      </c>
      <c r="AC23" s="154">
        <f t="shared" si="12"/>
        <v>0.01655933763</v>
      </c>
      <c r="AD23" s="154">
        <f t="shared" si="12"/>
        <v>0.07058823529</v>
      </c>
      <c r="AE23" s="154" t="str">
        <f t="shared" si="12"/>
        <v/>
      </c>
      <c r="AF23" s="154" t="str">
        <f t="shared" si="12"/>
        <v/>
      </c>
      <c r="AG23" s="154" t="str">
        <f t="shared" si="12"/>
        <v/>
      </c>
      <c r="AH23" s="154" t="str">
        <f t="shared" si="12"/>
        <v/>
      </c>
      <c r="AI23" s="155">
        <f t="shared" si="12"/>
        <v>0.01483613057</v>
      </c>
      <c r="AJ23" s="192">
        <f>AI22*AI23</f>
        <v>40685.41982</v>
      </c>
      <c r="AK23" s="146"/>
      <c r="AL23" s="147"/>
      <c r="AM23" s="147"/>
      <c r="AN23" s="147"/>
      <c r="AO23" s="147"/>
      <c r="AP23" s="147"/>
      <c r="AQ23" s="147"/>
      <c r="AR23" s="147"/>
      <c r="AS23" s="147"/>
      <c r="AT23" s="147"/>
      <c r="AU23" s="147"/>
      <c r="AV23" s="147"/>
      <c r="AW23" s="147"/>
      <c r="AX23" s="147"/>
      <c r="AY23" s="147"/>
      <c r="AZ23" s="147"/>
    </row>
    <row r="24" ht="1.5" customHeight="1">
      <c r="A24" s="133"/>
      <c r="B24" s="156" t="s">
        <v>166</v>
      </c>
      <c r="C24" s="180">
        <f t="shared" ref="C24:AI24" si="13">IFERROR(IF(AND(C18&lt;&gt;0,C22=""),"",(C22/(C18+C19+C20+C21))-1),"")</f>
        <v>0.009653507729</v>
      </c>
      <c r="D24" s="180">
        <f t="shared" si="13"/>
        <v>0.009633380719</v>
      </c>
      <c r="E24" s="180">
        <f t="shared" si="13"/>
        <v>0</v>
      </c>
      <c r="F24" s="180">
        <f t="shared" si="13"/>
        <v>0.007543726966</v>
      </c>
      <c r="G24" s="180">
        <f t="shared" si="13"/>
        <v>0.01012951593</v>
      </c>
      <c r="H24" s="180">
        <f t="shared" si="13"/>
        <v>0.01013551698</v>
      </c>
      <c r="I24" s="180">
        <f t="shared" si="13"/>
        <v>0.01013181358</v>
      </c>
      <c r="J24" s="180">
        <f t="shared" si="13"/>
        <v>0.003314</v>
      </c>
      <c r="K24" s="180">
        <f t="shared" si="13"/>
        <v>0.009636393247</v>
      </c>
      <c r="L24" s="180">
        <f t="shared" si="13"/>
        <v>0.003083323068</v>
      </c>
      <c r="M24" s="180">
        <f t="shared" si="13"/>
        <v>0.07274707321</v>
      </c>
      <c r="N24" s="180">
        <f t="shared" si="13"/>
        <v>-0.02321153319</v>
      </c>
      <c r="O24" s="180">
        <f t="shared" si="13"/>
        <v>0.0319321667</v>
      </c>
      <c r="P24" s="180">
        <f t="shared" si="13"/>
        <v>0.01467850638</v>
      </c>
      <c r="Q24" s="180">
        <f t="shared" si="13"/>
        <v>0.01091204892</v>
      </c>
      <c r="R24" s="180" t="str">
        <f t="shared" si="13"/>
        <v/>
      </c>
      <c r="S24" s="180">
        <f t="shared" si="13"/>
        <v>0.01013568015</v>
      </c>
      <c r="T24" s="180" t="str">
        <f t="shared" si="13"/>
        <v/>
      </c>
      <c r="U24" s="180">
        <f t="shared" si="13"/>
        <v>-0.08551964313</v>
      </c>
      <c r="V24" s="180">
        <f t="shared" si="13"/>
        <v>0.007519012839</v>
      </c>
      <c r="W24" s="180">
        <f t="shared" si="13"/>
        <v>-1</v>
      </c>
      <c r="X24" s="180">
        <f t="shared" si="13"/>
        <v>-0.1123376623</v>
      </c>
      <c r="Y24" s="180">
        <f t="shared" si="13"/>
        <v>-0.0902435778</v>
      </c>
      <c r="Z24" s="180">
        <f t="shared" si="13"/>
        <v>0.07654886221</v>
      </c>
      <c r="AA24" s="180">
        <f t="shared" si="13"/>
        <v>-0.05282153464</v>
      </c>
      <c r="AB24" s="180">
        <f t="shared" si="13"/>
        <v>0.1239055919</v>
      </c>
      <c r="AC24" s="180">
        <f t="shared" si="13"/>
        <v>0.01655933763</v>
      </c>
      <c r="AD24" s="180">
        <f t="shared" si="13"/>
        <v>-1</v>
      </c>
      <c r="AE24" s="180" t="str">
        <f t="shared" si="13"/>
        <v/>
      </c>
      <c r="AF24" s="180" t="str">
        <f t="shared" si="13"/>
        <v/>
      </c>
      <c r="AG24" s="180" t="str">
        <f t="shared" si="13"/>
        <v/>
      </c>
      <c r="AH24" s="180" t="str">
        <f t="shared" si="13"/>
        <v/>
      </c>
      <c r="AI24" s="181">
        <f t="shared" si="13"/>
        <v>0.01483613057</v>
      </c>
      <c r="AJ24" s="145"/>
      <c r="AK24" s="146"/>
      <c r="AL24" s="147"/>
      <c r="AM24" s="147"/>
      <c r="AN24" s="147"/>
      <c r="AO24" s="147"/>
      <c r="AP24" s="147"/>
      <c r="AQ24" s="147"/>
      <c r="AR24" s="147"/>
      <c r="AS24" s="147"/>
      <c r="AT24" s="147"/>
      <c r="AU24" s="147"/>
      <c r="AV24" s="147"/>
      <c r="AW24" s="147"/>
      <c r="AX24" s="147"/>
      <c r="AY24" s="147"/>
      <c r="AZ24" s="147"/>
    </row>
    <row r="25" ht="24.0" customHeight="1">
      <c r="A25" s="158"/>
      <c r="B25" s="159" t="s">
        <v>167</v>
      </c>
      <c r="C25" s="160">
        <f t="shared" ref="C25:AI25" si="14">IFERROR(C22/$AI$22,"")</f>
        <v>0.01105229453</v>
      </c>
      <c r="D25" s="160">
        <f t="shared" si="14"/>
        <v>0.05975559783</v>
      </c>
      <c r="E25" s="160">
        <f t="shared" si="14"/>
        <v>-0.00048389682</v>
      </c>
      <c r="F25" s="160">
        <f t="shared" si="14"/>
        <v>0.03536114483</v>
      </c>
      <c r="G25" s="160">
        <f t="shared" si="14"/>
        <v>0.03831007477</v>
      </c>
      <c r="H25" s="160">
        <f t="shared" si="14"/>
        <v>0.05546747706</v>
      </c>
      <c r="I25" s="160">
        <f t="shared" si="14"/>
        <v>0.08125793409</v>
      </c>
      <c r="J25" s="160">
        <f t="shared" si="14"/>
        <v>0.01829315954</v>
      </c>
      <c r="K25" s="160">
        <f t="shared" si="14"/>
        <v>0.07478302634</v>
      </c>
      <c r="L25" s="160">
        <f t="shared" si="14"/>
        <v>0.02194325852</v>
      </c>
      <c r="M25" s="160">
        <f t="shared" si="14"/>
        <v>0.0371560155</v>
      </c>
      <c r="N25" s="160">
        <f t="shared" si="14"/>
        <v>0.04304802268</v>
      </c>
      <c r="O25" s="160">
        <f t="shared" si="14"/>
        <v>0.02920155037</v>
      </c>
      <c r="P25" s="160">
        <f t="shared" si="14"/>
        <v>0.07755466844</v>
      </c>
      <c r="Q25" s="160">
        <f t="shared" si="14"/>
        <v>0.02103622365</v>
      </c>
      <c r="R25" s="160">
        <f t="shared" si="14"/>
        <v>0</v>
      </c>
      <c r="S25" s="160">
        <f t="shared" si="14"/>
        <v>0.02308406624</v>
      </c>
      <c r="T25" s="160">
        <f t="shared" si="14"/>
        <v>0</v>
      </c>
      <c r="U25" s="160">
        <f t="shared" si="14"/>
        <v>0.1486113866</v>
      </c>
      <c r="V25" s="160">
        <f t="shared" si="14"/>
        <v>0.01842892049</v>
      </c>
      <c r="W25" s="160">
        <f t="shared" si="14"/>
        <v>0</v>
      </c>
      <c r="X25" s="160">
        <f t="shared" si="14"/>
        <v>0.005458388948</v>
      </c>
      <c r="Y25" s="160">
        <f t="shared" si="14"/>
        <v>0.03387192046</v>
      </c>
      <c r="Z25" s="160">
        <f t="shared" si="14"/>
        <v>0.142663868</v>
      </c>
      <c r="AA25" s="160">
        <f t="shared" si="14"/>
        <v>0.00918711114</v>
      </c>
      <c r="AB25" s="160">
        <f t="shared" si="14"/>
        <v>0.006898917327</v>
      </c>
      <c r="AC25" s="160">
        <f t="shared" si="14"/>
        <v>0.008058869421</v>
      </c>
      <c r="AD25" s="160">
        <f t="shared" si="14"/>
        <v>0</v>
      </c>
      <c r="AE25" s="160">
        <f t="shared" si="14"/>
        <v>0</v>
      </c>
      <c r="AF25" s="160">
        <f t="shared" si="14"/>
        <v>0</v>
      </c>
      <c r="AG25" s="160">
        <f t="shared" si="14"/>
        <v>0</v>
      </c>
      <c r="AH25" s="160">
        <f t="shared" si="14"/>
        <v>0</v>
      </c>
      <c r="AI25" s="161">
        <f t="shared" si="14"/>
        <v>1</v>
      </c>
      <c r="AJ25" s="162">
        <f>AI22-AI18</f>
        <v>131945.36</v>
      </c>
      <c r="AK25" s="163">
        <f>AI22/AI18-1</f>
        <v>0.05054651941</v>
      </c>
      <c r="AL25" s="147"/>
      <c r="AM25" s="147"/>
      <c r="AN25" s="147"/>
      <c r="AO25" s="147"/>
      <c r="AP25" s="147"/>
      <c r="AQ25" s="147"/>
      <c r="AR25" s="147"/>
      <c r="AS25" s="147"/>
      <c r="AT25" s="147"/>
      <c r="AU25" s="147"/>
      <c r="AV25" s="147"/>
      <c r="AW25" s="147"/>
      <c r="AX25" s="147"/>
      <c r="AY25" s="147"/>
      <c r="AZ25" s="147"/>
    </row>
    <row r="26" ht="24.0" customHeight="1">
      <c r="A26" s="164">
        <v>45748.0</v>
      </c>
      <c r="B26" s="165" t="s">
        <v>168</v>
      </c>
      <c r="C26" s="166">
        <f t="shared" ref="C26:AH26" si="15">IF(C30="","",C22)</f>
        <v>30308.93</v>
      </c>
      <c r="D26" s="166">
        <f t="shared" si="15"/>
        <v>163868.98</v>
      </c>
      <c r="E26" s="166">
        <f t="shared" si="15"/>
        <v>-1327</v>
      </c>
      <c r="F26" s="166">
        <f t="shared" si="15"/>
        <v>96971.58</v>
      </c>
      <c r="G26" s="166">
        <f t="shared" si="15"/>
        <v>105058.49</v>
      </c>
      <c r="H26" s="166">
        <f t="shared" si="15"/>
        <v>152109.58</v>
      </c>
      <c r="I26" s="166">
        <f t="shared" si="15"/>
        <v>222835.27</v>
      </c>
      <c r="J26" s="166">
        <f t="shared" si="15"/>
        <v>50165.7</v>
      </c>
      <c r="K26" s="166">
        <f t="shared" si="15"/>
        <v>205079</v>
      </c>
      <c r="L26" s="166">
        <f t="shared" si="15"/>
        <v>60175.44</v>
      </c>
      <c r="M26" s="166">
        <f t="shared" si="15"/>
        <v>101893.69</v>
      </c>
      <c r="N26" s="166">
        <f t="shared" si="15"/>
        <v>118051.46</v>
      </c>
      <c r="O26" s="166">
        <f t="shared" si="15"/>
        <v>80080</v>
      </c>
      <c r="P26" s="166">
        <f t="shared" si="15"/>
        <v>212679.73</v>
      </c>
      <c r="Q26" s="166">
        <f t="shared" si="15"/>
        <v>57688.06</v>
      </c>
      <c r="R26" s="166">
        <f t="shared" si="15"/>
        <v>0</v>
      </c>
      <c r="S26" s="166">
        <f t="shared" si="15"/>
        <v>63303.9</v>
      </c>
      <c r="T26" s="166">
        <f t="shared" si="15"/>
        <v>0</v>
      </c>
      <c r="U26" s="166">
        <f t="shared" si="15"/>
        <v>407540</v>
      </c>
      <c r="V26" s="166">
        <f t="shared" si="15"/>
        <v>50538</v>
      </c>
      <c r="W26" s="166">
        <f t="shared" si="15"/>
        <v>0</v>
      </c>
      <c r="X26" s="166">
        <f t="shared" si="15"/>
        <v>14968.65</v>
      </c>
      <c r="Y26" s="166">
        <f t="shared" si="15"/>
        <v>92887.65</v>
      </c>
      <c r="Z26" s="166">
        <f t="shared" si="15"/>
        <v>391230</v>
      </c>
      <c r="AA26" s="166">
        <f t="shared" si="15"/>
        <v>25194</v>
      </c>
      <c r="AB26" s="166">
        <f t="shared" si="15"/>
        <v>18919.04</v>
      </c>
      <c r="AC26" s="166">
        <f t="shared" si="15"/>
        <v>22100</v>
      </c>
      <c r="AD26" s="166">
        <f t="shared" si="15"/>
        <v>0</v>
      </c>
      <c r="AE26" s="166">
        <f t="shared" si="15"/>
        <v>0</v>
      </c>
      <c r="AF26" s="166">
        <f t="shared" si="15"/>
        <v>0</v>
      </c>
      <c r="AG26" s="166">
        <f t="shared" si="15"/>
        <v>0</v>
      </c>
      <c r="AH26" s="166">
        <f t="shared" si="15"/>
        <v>0</v>
      </c>
      <c r="AI26" s="193">
        <f t="shared" ref="AI26:AI30" si="16">SUM(C26:AH26)</f>
        <v>2742320.15</v>
      </c>
      <c r="AJ26" s="184"/>
      <c r="AK26" s="185"/>
      <c r="AL26" s="186"/>
      <c r="AM26" s="170"/>
      <c r="AN26" s="171"/>
      <c r="AO26" s="171"/>
      <c r="AP26" s="171"/>
      <c r="AQ26" s="171"/>
      <c r="AR26" s="171"/>
      <c r="AS26" s="171"/>
      <c r="AT26" s="171"/>
      <c r="AU26" s="171"/>
      <c r="AV26" s="171"/>
      <c r="AW26" s="171"/>
      <c r="AX26" s="171"/>
      <c r="AY26" s="171"/>
      <c r="AZ26" s="172"/>
    </row>
    <row r="27" ht="24.0" customHeight="1">
      <c r="A27" s="133"/>
      <c r="B27" s="134" t="s">
        <v>160</v>
      </c>
      <c r="C27" s="135">
        <v>0.0</v>
      </c>
      <c r="D27" s="135">
        <v>0.0</v>
      </c>
      <c r="E27" s="135">
        <v>0.0</v>
      </c>
      <c r="F27" s="135">
        <f>+100*131.84</f>
        <v>13184</v>
      </c>
      <c r="G27" s="135">
        <v>0.0</v>
      </c>
      <c r="H27" s="135">
        <v>0.0</v>
      </c>
      <c r="I27" s="135">
        <v>0.0</v>
      </c>
      <c r="J27" s="135">
        <v>0.0</v>
      </c>
      <c r="K27" s="135">
        <v>0.0</v>
      </c>
      <c r="L27" s="135">
        <v>0.0</v>
      </c>
      <c r="M27" s="135">
        <v>0.0</v>
      </c>
      <c r="N27" s="135">
        <f>+100*20.92+50*20.69+50*20.64+50*20.59+50*20.54+50*20.49+50*20.44+50*20.99+50*21.03+450*20.91+50*20.46+50*20.52+50*20.41+50*20.32+50*20.24+50*20.18+50*20.11+50*20.03+50*19.66+50*19.61+50*19.57+50*19.51+50*19.44+20*19.82+20*19.81+20*19.8+20*19.79+20*19.78+40*19.77+20*19.76+50*19.75+20*19.77+20*19.93+20*19.98+20*19.91+20*19.79+20*19.67+50*19.56+50*19.36+50*19.21+20*18.86+110*18.8+20*18.77+55*18.74+55*18.72+55*18.71+55*18.7+55*18.69+55*18.68+55*18.66+55*18.64+55*18.61+55*18.51+55*18.5+55*18.37+55*18.35+55*18.31+55*18.29+50*18.51+50*18.54+50*18.63+100*18.57+50*18.65+50*18.66+50*18.76+50*18.78+50*18.88</f>
        <v>69680.5</v>
      </c>
      <c r="O27" s="135">
        <f>+200*9.83+300*9.82+200*9.81+100*9.8+100*9.79</f>
        <v>8833</v>
      </c>
      <c r="P27" s="135">
        <v>0.0</v>
      </c>
      <c r="Q27" s="135">
        <v>0.0</v>
      </c>
      <c r="R27" s="135">
        <v>0.0</v>
      </c>
      <c r="S27" s="135">
        <v>0.0</v>
      </c>
      <c r="T27" s="135">
        <f>+30*51.93+30*51.98+30*52.07+30*52.09+30*52.15+30*52.2+30*52.22+30*52.27+60*52.32+30*52.42+30*52.46+30*52.5+30*52.58+30*52.69+30*52.75+30*52.78+30*52.8+30*52.84+30*52.86+30*52.87+30*52.88+30*52.97+30*54.06+50*54.32+50*54.01+50*54.38</f>
        <v>45965.8</v>
      </c>
      <c r="U27" s="135">
        <f>+201*47.5+100*47.47+200*47.05+100*46+50*45.53+50*45.21+50*45.02+50*44.76+50*44.45+50*44.11+50*44.03+50*43.87+50*43.77+50*43.34+50*43.14+315*41.4+35*41.36+105*41.21+35*41.18+35+41.13+35*41.09+35*41.04+35*41.02+35*41.01+35*41+35*40.9+35*40.93+70*40.92+35*40.65+35*40.63+35*40.61+35*40.58+70*40.24+35*40.05+35*40.03+35*40.01+35*39.65+35*39.63+70*39.61+35*39.6+35*39.59+70*39.58+35*42.62+35*42.53+35*41.41+50*46.04+50*46.02+50*45.93+50*45.81+50*45.76+250*41.78+50*41.66+50*41.61+50*41.48</f>
        <v>142294.38</v>
      </c>
      <c r="V27" s="135">
        <v>0.0</v>
      </c>
      <c r="W27" s="135">
        <v>0.0</v>
      </c>
      <c r="X27" s="135">
        <v>0.0</v>
      </c>
      <c r="Y27" s="135">
        <f>+50*67.89+50*67.7+50*67.35+50*68.05+33*70.09+33*70.04+33*70.01+33*69.97</f>
        <v>22793.13</v>
      </c>
      <c r="Z27" s="135">
        <v>0.0</v>
      </c>
      <c r="AA27" s="135">
        <f>+200*2.19+500*2.18</f>
        <v>1528</v>
      </c>
      <c r="AB27" s="135">
        <v>0.0</v>
      </c>
      <c r="AC27" s="135">
        <v>0.0</v>
      </c>
      <c r="AD27" s="135">
        <v>0.0</v>
      </c>
      <c r="AE27" s="135">
        <v>0.0</v>
      </c>
      <c r="AF27" s="135">
        <v>0.0</v>
      </c>
      <c r="AG27" s="135">
        <v>0.0</v>
      </c>
      <c r="AH27" s="135">
        <f>+61*18.33+50*18.34+150*18.35</f>
        <v>4787.63</v>
      </c>
      <c r="AI27" s="151">
        <f t="shared" si="16"/>
        <v>309066.44</v>
      </c>
      <c r="AJ27" s="189"/>
      <c r="AK27" s="175"/>
      <c r="AL27" s="190"/>
      <c r="AM27" s="170"/>
      <c r="AN27" s="171"/>
      <c r="AO27" s="171"/>
      <c r="AP27" s="171"/>
      <c r="AQ27" s="171"/>
      <c r="AR27" s="171"/>
      <c r="AS27" s="171"/>
      <c r="AT27" s="171"/>
      <c r="AU27" s="171"/>
      <c r="AV27" s="171"/>
      <c r="AW27" s="171"/>
      <c r="AX27" s="171"/>
      <c r="AY27" s="171"/>
      <c r="AZ27" s="172"/>
    </row>
    <row r="28" ht="24.0" customHeight="1">
      <c r="A28" s="133"/>
      <c r="B28" s="143" t="s">
        <v>161</v>
      </c>
      <c r="C28" s="135">
        <v>0.0</v>
      </c>
      <c r="D28" s="135">
        <v>0.0</v>
      </c>
      <c r="E28" s="135">
        <f>E30-E26</f>
        <v>1764.44</v>
      </c>
      <c r="F28" s="135">
        <f>-90*131.34-(99*2*131.64)-99*131.63-99*131.71-(99+40)*131.76-99*131.77-35*132.09-75*132.17-5*132.5</f>
        <v>-110514.25</v>
      </c>
      <c r="G28" s="135">
        <v>0.0</v>
      </c>
      <c r="H28" s="136">
        <v>0.0</v>
      </c>
      <c r="I28" s="135">
        <v>0.0</v>
      </c>
      <c r="J28" s="135">
        <v>0.0</v>
      </c>
      <c r="K28" s="135">
        <v>0.0</v>
      </c>
      <c r="L28" s="135">
        <v>0.0</v>
      </c>
      <c r="M28" s="135">
        <v>0.0</v>
      </c>
      <c r="N28" s="135">
        <v>0.0</v>
      </c>
      <c r="O28" s="135">
        <v>0.0</v>
      </c>
      <c r="P28" s="135">
        <v>0.0</v>
      </c>
      <c r="Q28" s="135">
        <v>0.0</v>
      </c>
      <c r="R28" s="135">
        <v>0.0</v>
      </c>
      <c r="S28" s="135">
        <f>-900</f>
        <v>-900</v>
      </c>
      <c r="T28" s="135">
        <v>0.0</v>
      </c>
      <c r="U28" s="135">
        <v>0.0</v>
      </c>
      <c r="V28" s="135">
        <f>-767.74-2000-2100-5000</f>
        <v>-9867.74</v>
      </c>
      <c r="W28" s="135">
        <v>0.0</v>
      </c>
      <c r="X28" s="135">
        <v>0.0</v>
      </c>
      <c r="Y28" s="135">
        <v>0.0</v>
      </c>
      <c r="Z28" s="135">
        <v>0.0</v>
      </c>
      <c r="AA28" s="135">
        <v>0.0</v>
      </c>
      <c r="AB28" s="135">
        <v>0.0</v>
      </c>
      <c r="AC28" s="135">
        <v>0.0</v>
      </c>
      <c r="AD28" s="135">
        <v>0.0</v>
      </c>
      <c r="AE28" s="135">
        <v>0.0</v>
      </c>
      <c r="AF28" s="135">
        <v>0.0</v>
      </c>
      <c r="AG28" s="135">
        <v>0.0</v>
      </c>
      <c r="AH28" s="135">
        <v>0.0</v>
      </c>
      <c r="AI28" s="151">
        <f t="shared" si="16"/>
        <v>-119517.55</v>
      </c>
      <c r="AJ28" s="145"/>
      <c r="AK28" s="146"/>
      <c r="AL28" s="147"/>
      <c r="AM28" s="147"/>
      <c r="AN28" s="147"/>
      <c r="AO28" s="147"/>
      <c r="AP28" s="147"/>
      <c r="AQ28" s="147"/>
      <c r="AR28" s="147"/>
      <c r="AS28" s="147"/>
      <c r="AT28" s="147"/>
      <c r="AU28" s="147"/>
      <c r="AV28" s="147"/>
      <c r="AW28" s="147"/>
      <c r="AX28" s="147"/>
      <c r="AY28" s="147"/>
      <c r="AZ28" s="147"/>
    </row>
    <row r="29" ht="24.0" customHeight="1">
      <c r="A29" s="133"/>
      <c r="B29" s="144" t="s">
        <v>162</v>
      </c>
      <c r="C29" s="135">
        <v>0.0</v>
      </c>
      <c r="D29" s="135">
        <v>0.0</v>
      </c>
      <c r="E29" s="135">
        <v>0.0</v>
      </c>
      <c r="F29" s="135">
        <v>0.0</v>
      </c>
      <c r="G29" s="135">
        <v>0.0</v>
      </c>
      <c r="H29" s="135">
        <v>0.0</v>
      </c>
      <c r="I29" s="135">
        <v>0.0</v>
      </c>
      <c r="J29" s="135">
        <v>0.0</v>
      </c>
      <c r="K29" s="135">
        <v>0.0</v>
      </c>
      <c r="L29" s="135">
        <v>0.0</v>
      </c>
      <c r="M29" s="135">
        <v>0.0</v>
      </c>
      <c r="N29" s="135">
        <v>0.0</v>
      </c>
      <c r="O29" s="135">
        <v>0.0</v>
      </c>
      <c r="P29" s="135">
        <v>0.0</v>
      </c>
      <c r="Q29" s="135">
        <v>0.0</v>
      </c>
      <c r="R29" s="135">
        <v>0.0</v>
      </c>
      <c r="S29" s="135">
        <v>0.0</v>
      </c>
      <c r="T29" s="135">
        <v>0.0</v>
      </c>
      <c r="U29" s="135">
        <v>0.0</v>
      </c>
      <c r="V29" s="135">
        <v>0.0</v>
      </c>
      <c r="W29" s="135">
        <v>0.0</v>
      </c>
      <c r="X29" s="135">
        <v>0.0</v>
      </c>
      <c r="Y29" s="135">
        <v>0.0</v>
      </c>
      <c r="Z29" s="135">
        <v>0.0</v>
      </c>
      <c r="AA29" s="135">
        <v>0.0</v>
      </c>
      <c r="AB29" s="135">
        <v>0.0</v>
      </c>
      <c r="AC29" s="135">
        <v>0.0</v>
      </c>
      <c r="AD29" s="135">
        <v>0.0</v>
      </c>
      <c r="AE29" s="135">
        <v>0.0</v>
      </c>
      <c r="AF29" s="135">
        <v>0.0</v>
      </c>
      <c r="AG29" s="135">
        <v>0.0</v>
      </c>
      <c r="AH29" s="135">
        <v>0.0</v>
      </c>
      <c r="AI29" s="151">
        <f t="shared" si="16"/>
        <v>0</v>
      </c>
      <c r="AJ29" s="194">
        <f>SUM(AI26:AI29)</f>
        <v>2931869.04</v>
      </c>
      <c r="AK29" s="146"/>
      <c r="AL29" s="147"/>
      <c r="AM29" s="147"/>
      <c r="AN29" s="147"/>
      <c r="AO29" s="147"/>
      <c r="AP29" s="147"/>
      <c r="AQ29" s="147"/>
      <c r="AR29" s="147"/>
      <c r="AS29" s="147"/>
      <c r="AT29" s="147"/>
      <c r="AU29" s="147"/>
      <c r="AV29" s="147"/>
      <c r="AW29" s="147"/>
      <c r="AX29" s="147"/>
      <c r="AY29" s="147"/>
      <c r="AZ29" s="147"/>
    </row>
    <row r="30" ht="24.0" customHeight="1">
      <c r="A30" s="133"/>
      <c r="B30" s="150" t="s">
        <v>163</v>
      </c>
      <c r="C30" s="135">
        <f>+30308.93*0+(18939.06+11418.74)*0+(18949.15+11424.83)*0+(11430.84+18959.12)*0+(18969.06+11436.87)*0+(18979.04+11442.75)*0+(18988.92+11448.46)*0+(18998.91+11454.36)*0+(19008.72+11460.32)*0+(19018.59+11466.39)*0+(19028.47+11472.45)*0+(11478.38+19038.38)*0+(19058.22+11490.44)*0+(19068.25+11496.38)*0+(19078.28+11502.1)*0+(19087.97+11507.59)*0+(19097.82+11512.99)</f>
        <v>30610.81</v>
      </c>
      <c r="D30" s="135">
        <f>+163868.98*0+164140.17*0+164230.79*0+164316.77*0+164403.06*0+164488.79*0+164574.28*0+164657.12*0+164742.66*0+164828.83*0+164915.4*0+164994.07*0+165081.05*0+165169.16*0+165256.95*0+165343.33*0+165425.74*0+165501.99*0+(81958.6+75897.38+7565.67+80.33)</f>
        <v>165501.98</v>
      </c>
      <c r="E30" s="135">
        <f>+(+772+60426+103876-22853-49618+552)*0+(772+60426-126000-22853+761-49618)*0+(772+60426-136450+4904-22853)*0+(772+426+22146+761+2289-79739+24000)*0+(772+426+19068+102+2289-55834)*0+(772+426+102+14068-48545-8645)*0+(772+426+102+14068-48545-8620)*0+(772+426-39197+169+332+11695+8000+12000)*0+(772+12243-39197+19435)*0+(5795+18446-39197+1274+10307)*0+(5795+18446-39197+11473)*0+(5795+17446-39197-13188+6992+735)*0+(+1009+5795+18127-39649-6314)*0+(+809-39749+8251-11481+20246+4795)*0+(+809-39749+4795+20246-3229)*0+(-23532+12540+786)*0+(+12241+1021-23532+461)*0+(-29713+1021+12241+10054)*0+(15866+1112-38712+786+967)*0+(-39621+967+3000+7733+6062-2375)*0+(+11090+3019-39621+967)*0+(-23513.93+11675+6929)*0+(-8696+5008)*0+(-2719.68+1098+3043)*0+(-1671+2994)*0+(+6.41+21+7.04+353.81+49.18)</f>
        <v>437.44</v>
      </c>
      <c r="F30" s="135">
        <f>+(+739-90-297-99-238+100-35-75-5)*132.5</f>
        <v>0</v>
      </c>
      <c r="G30" s="135">
        <f>+105058.49*0+105281.22*0+105392.07*0+105447.28*0+105501.94*0+105556.64*0+105611.72*0+105722.72*0+105777.53*0+105888.54*0+105943.98*0+106053.08*0+106106.01</f>
        <v>106106.01</v>
      </c>
      <c r="H30" s="136">
        <f>+152109.58*0+152429.47*0+152589.64*0+152669.79*0+152749.94*0+152830.24*0+152910.54*0+152990.84*0+153071.28*0+153151.58*0+153312.61*0+153393.19*0+153473.64*0+153554.37*0+153634.95</f>
        <v>153634.95</v>
      </c>
      <c r="I30" s="135">
        <f>+222835.27*0+223303.44*0+223646.68*0+223993.78*0+224231.23*0+224583.54*0+225058.64</f>
        <v>225058.64</v>
      </c>
      <c r="J30" s="135">
        <f>+50165.7*0+50276.45*0+50331.95*0+50359.7*0+50387.45*0+50415.25*0+50443.05*0+50470.9*0+50498.75*0+50526.6*0+50582.35*0+50610.25*0+50638.15*0+50666.1*0+50694.05</f>
        <v>50694.05</v>
      </c>
      <c r="K30" s="135">
        <f>+205079.8*0+205511.06*0+205835.1*0+206159.65*0+206376.31*0+206484.71*0+206810.29*0+206918.93*0+207136.38</f>
        <v>207136.38</v>
      </c>
      <c r="L30" s="135">
        <f>+58344.93*0+60777.1*0+61288*0+61350.41*0+59964*0+59491.14*0+58903.13*0+59389.03</f>
        <v>59389.03</v>
      </c>
      <c r="M30" s="135">
        <f>+101893.69*0+109022.46</f>
        <v>109022.46</v>
      </c>
      <c r="N30" s="135">
        <f>+(5501+100+300+550+1130+975+500)*19.06</f>
        <v>172607.36</v>
      </c>
      <c r="O30" s="135">
        <f>+(7700+900)*10.35</f>
        <v>89010</v>
      </c>
      <c r="P30" s="135">
        <f>+212679.73*0+213142.11*0+213373.68*0+213489.56*0+213740.78*0+213857.87*0+213975.03*0+214081.42*0+214187.86*0+214400.91*0+214507.61*0+214614.17*0+214720.88*0+214836.33*0+214944.59</f>
        <v>214944.59</v>
      </c>
      <c r="Q30" s="135">
        <f>+57688.06*0+58099.66*0+58060.01*0+58285.2*0+57701.1*0+57946.37*0+57935.79*0+58202.74*0+58274.45*0+58343.7*0+58368.89*0+58579.63*0+58608.35*0+58897.14*0+58960.4*0+59186.99*0+59322.84</f>
        <v>59322.84</v>
      </c>
      <c r="R30" s="135">
        <v>0.0</v>
      </c>
      <c r="S30" s="135">
        <f>+63303.9*0+63437.01*0+63503.68*0+63537.05*0+63570.41*0+63603.78*0+63637.21*0+(63670.64-900)*0+62795.01*0+62828.02*0+62894.04*0+62927.11*0+62960.12*0+62993.19*0+63026.33</f>
        <v>63026.33</v>
      </c>
      <c r="T30" s="135">
        <f>+(+720+150)*60.25</f>
        <v>52417.5</v>
      </c>
      <c r="U30" s="135">
        <f>+(8875+301+850+1540+250+400)*50.19</f>
        <v>613121.04</v>
      </c>
      <c r="V30" s="136">
        <f>+50538.7*0+50663*0+50684.45*0+50747.08*0+50000.22*0+50020.82*0+50082.66*0+(50103.3-2000)*0+46041*0+41060.94</f>
        <v>41060.94</v>
      </c>
      <c r="W30" s="135">
        <v>0.0</v>
      </c>
      <c r="X30" s="135">
        <f>+219*68.81</f>
        <v>15069.39</v>
      </c>
      <c r="Y30" s="135">
        <f>+(1359+200+132)*68.81</f>
        <v>116357.71</v>
      </c>
      <c r="Z30" s="135">
        <f>+6900*53</f>
        <v>365700</v>
      </c>
      <c r="AA30" s="135">
        <f>+(11400+700)*2.33</f>
        <v>28193</v>
      </c>
      <c r="AB30" s="135">
        <f>+412*50.19</f>
        <v>20678.28</v>
      </c>
      <c r="AC30" s="135">
        <f>+10000*2.33</f>
        <v>23300</v>
      </c>
      <c r="AD30" s="135">
        <v>0.0</v>
      </c>
      <c r="AE30" s="135">
        <v>0.0</v>
      </c>
      <c r="AF30" s="135">
        <v>0.0</v>
      </c>
      <c r="AG30" s="135">
        <v>0.0</v>
      </c>
      <c r="AH30" s="135">
        <f>+261*19.06</f>
        <v>4974.66</v>
      </c>
      <c r="AI30" s="191">
        <f t="shared" si="16"/>
        <v>2987375.39</v>
      </c>
      <c r="AJ30" s="145">
        <f>AJ29-AI30</f>
        <v>-55506.35</v>
      </c>
      <c r="AK30" s="146"/>
      <c r="AL30" s="147"/>
      <c r="AM30" s="147"/>
      <c r="AN30" s="147"/>
      <c r="AO30" s="147"/>
      <c r="AP30" s="147"/>
      <c r="AQ30" s="147"/>
      <c r="AR30" s="147"/>
      <c r="AS30" s="147"/>
      <c r="AT30" s="147"/>
      <c r="AU30" s="147"/>
      <c r="AV30" s="147"/>
      <c r="AW30" s="147"/>
      <c r="AX30" s="147"/>
      <c r="AY30" s="147"/>
      <c r="AZ30" s="147"/>
    </row>
    <row r="31" ht="19.5" customHeight="1">
      <c r="A31" s="133"/>
      <c r="B31" s="153" t="s">
        <v>165</v>
      </c>
      <c r="C31" s="154">
        <f t="shared" ref="C31:AI31" si="17">IFERROR(IF(C30=0,(-C28/C26)-1,C32),"")</f>
        <v>0.009960100868</v>
      </c>
      <c r="D31" s="154">
        <f t="shared" si="17"/>
        <v>0.009965278358</v>
      </c>
      <c r="E31" s="154">
        <f t="shared" si="17"/>
        <v>0</v>
      </c>
      <c r="F31" s="154">
        <f t="shared" si="17"/>
        <v>0.1396560724</v>
      </c>
      <c r="G31" s="154">
        <f t="shared" si="17"/>
        <v>0.009970826727</v>
      </c>
      <c r="H31" s="154">
        <f t="shared" si="17"/>
        <v>0.01002809948</v>
      </c>
      <c r="I31" s="154">
        <f t="shared" si="17"/>
        <v>0.009977639536</v>
      </c>
      <c r="J31" s="154">
        <f t="shared" si="17"/>
        <v>0.01053209663</v>
      </c>
      <c r="K31" s="154">
        <f t="shared" si="17"/>
        <v>0.01003213396</v>
      </c>
      <c r="L31" s="154">
        <f t="shared" si="17"/>
        <v>-0.01306862069</v>
      </c>
      <c r="M31" s="154">
        <f t="shared" si="17"/>
        <v>0.06996282105</v>
      </c>
      <c r="N31" s="154">
        <f t="shared" si="17"/>
        <v>-0.08056486493</v>
      </c>
      <c r="O31" s="154">
        <f t="shared" si="17"/>
        <v>0.001090954079</v>
      </c>
      <c r="P31" s="154">
        <f t="shared" si="17"/>
        <v>0.01064915777</v>
      </c>
      <c r="Q31" s="154">
        <f t="shared" si="17"/>
        <v>0.02833827312</v>
      </c>
      <c r="R31" s="154" t="str">
        <f t="shared" si="17"/>
        <v/>
      </c>
      <c r="S31" s="154">
        <f t="shared" si="17"/>
        <v>0.009974216355</v>
      </c>
      <c r="T31" s="154">
        <f t="shared" si="17"/>
        <v>0.1403587015</v>
      </c>
      <c r="U31" s="154">
        <f t="shared" si="17"/>
        <v>0.1151013147</v>
      </c>
      <c r="V31" s="154">
        <f t="shared" si="17"/>
        <v>0.00960603645</v>
      </c>
      <c r="W31" s="154" t="str">
        <f t="shared" si="17"/>
        <v/>
      </c>
      <c r="X31" s="154">
        <f t="shared" si="17"/>
        <v>0.006730065838</v>
      </c>
      <c r="Y31" s="154">
        <f t="shared" si="17"/>
        <v>0.00585170674</v>
      </c>
      <c r="Z31" s="154">
        <f t="shared" si="17"/>
        <v>-0.06525573192</v>
      </c>
      <c r="AA31" s="154">
        <f t="shared" si="17"/>
        <v>0.05504827483</v>
      </c>
      <c r="AB31" s="154">
        <f t="shared" si="17"/>
        <v>0.09298780488</v>
      </c>
      <c r="AC31" s="154">
        <f t="shared" si="17"/>
        <v>0.05429864253</v>
      </c>
      <c r="AD31" s="154" t="str">
        <f t="shared" si="17"/>
        <v/>
      </c>
      <c r="AE31" s="154" t="str">
        <f t="shared" si="17"/>
        <v/>
      </c>
      <c r="AF31" s="154" t="str">
        <f t="shared" si="17"/>
        <v/>
      </c>
      <c r="AG31" s="154" t="str">
        <f t="shared" si="17"/>
        <v/>
      </c>
      <c r="AH31" s="154">
        <f t="shared" si="17"/>
        <v>0.03906525776</v>
      </c>
      <c r="AI31" s="155">
        <f t="shared" si="17"/>
        <v>0.01893207004</v>
      </c>
      <c r="AJ31" s="192">
        <f>AI30*AI31</f>
        <v>56557.20011</v>
      </c>
      <c r="AK31" s="146"/>
      <c r="AL31" s="147"/>
      <c r="AM31" s="147"/>
      <c r="AN31" s="147"/>
      <c r="AO31" s="147"/>
      <c r="AP31" s="147"/>
      <c r="AQ31" s="147"/>
      <c r="AR31" s="147"/>
      <c r="AS31" s="147"/>
      <c r="AT31" s="147"/>
      <c r="AU31" s="147"/>
      <c r="AV31" s="147"/>
      <c r="AW31" s="147"/>
      <c r="AX31" s="147"/>
      <c r="AY31" s="147"/>
      <c r="AZ31" s="147"/>
    </row>
    <row r="32" ht="1.5" customHeight="1">
      <c r="A32" s="133"/>
      <c r="B32" s="156" t="s">
        <v>166</v>
      </c>
      <c r="C32" s="180">
        <f t="shared" ref="C32:AI32" si="18">IFERROR(IF(AND(C26&lt;&gt;0,C30=""),"",(C30/(C26+C27+C28+C29))-1),"")</f>
        <v>0.009960100868</v>
      </c>
      <c r="D32" s="180">
        <f t="shared" si="18"/>
        <v>0.009965278358</v>
      </c>
      <c r="E32" s="180">
        <f t="shared" si="18"/>
        <v>0</v>
      </c>
      <c r="F32" s="180">
        <f t="shared" si="18"/>
        <v>-1</v>
      </c>
      <c r="G32" s="180">
        <f t="shared" si="18"/>
        <v>0.009970826727</v>
      </c>
      <c r="H32" s="180">
        <f t="shared" si="18"/>
        <v>0.01002809948</v>
      </c>
      <c r="I32" s="180">
        <f t="shared" si="18"/>
        <v>0.009977639536</v>
      </c>
      <c r="J32" s="180">
        <f t="shared" si="18"/>
        <v>0.01053209663</v>
      </c>
      <c r="K32" s="180">
        <f t="shared" si="18"/>
        <v>0.01003213396</v>
      </c>
      <c r="L32" s="180">
        <f t="shared" si="18"/>
        <v>-0.01306862069</v>
      </c>
      <c r="M32" s="180">
        <f t="shared" si="18"/>
        <v>0.06996282105</v>
      </c>
      <c r="N32" s="180">
        <f t="shared" si="18"/>
        <v>-0.08056486493</v>
      </c>
      <c r="O32" s="180">
        <f t="shared" si="18"/>
        <v>0.001090954079</v>
      </c>
      <c r="P32" s="180">
        <f t="shared" si="18"/>
        <v>0.01064915777</v>
      </c>
      <c r="Q32" s="180">
        <f t="shared" si="18"/>
        <v>0.02833827312</v>
      </c>
      <c r="R32" s="180" t="str">
        <f t="shared" si="18"/>
        <v/>
      </c>
      <c r="S32" s="180">
        <f t="shared" si="18"/>
        <v>0.009974216355</v>
      </c>
      <c r="T32" s="180">
        <f t="shared" si="18"/>
        <v>0.1403587015</v>
      </c>
      <c r="U32" s="180">
        <f t="shared" si="18"/>
        <v>0.1151013147</v>
      </c>
      <c r="V32" s="180">
        <f t="shared" si="18"/>
        <v>0.00960603645</v>
      </c>
      <c r="W32" s="180" t="str">
        <f t="shared" si="18"/>
        <v/>
      </c>
      <c r="X32" s="180">
        <f t="shared" si="18"/>
        <v>0.006730065838</v>
      </c>
      <c r="Y32" s="180">
        <f t="shared" si="18"/>
        <v>0.00585170674</v>
      </c>
      <c r="Z32" s="180">
        <f t="shared" si="18"/>
        <v>-0.06525573192</v>
      </c>
      <c r="AA32" s="180">
        <f t="shared" si="18"/>
        <v>0.05504827483</v>
      </c>
      <c r="AB32" s="180">
        <f t="shared" si="18"/>
        <v>0.09298780488</v>
      </c>
      <c r="AC32" s="180">
        <f t="shared" si="18"/>
        <v>0.05429864253</v>
      </c>
      <c r="AD32" s="180" t="str">
        <f t="shared" si="18"/>
        <v/>
      </c>
      <c r="AE32" s="180" t="str">
        <f t="shared" si="18"/>
        <v/>
      </c>
      <c r="AF32" s="180" t="str">
        <f t="shared" si="18"/>
        <v/>
      </c>
      <c r="AG32" s="180" t="str">
        <f t="shared" si="18"/>
        <v/>
      </c>
      <c r="AH32" s="180">
        <f t="shared" si="18"/>
        <v>0.03906525776</v>
      </c>
      <c r="AI32" s="181">
        <f t="shared" si="18"/>
        <v>0.01893207004</v>
      </c>
      <c r="AJ32" s="145"/>
      <c r="AK32" s="146"/>
      <c r="AL32" s="147"/>
      <c r="AM32" s="147"/>
      <c r="AN32" s="147"/>
      <c r="AO32" s="147"/>
      <c r="AP32" s="147"/>
      <c r="AQ32" s="147"/>
      <c r="AR32" s="147"/>
      <c r="AS32" s="147"/>
      <c r="AT32" s="147"/>
      <c r="AU32" s="147"/>
      <c r="AV32" s="147"/>
      <c r="AW32" s="147"/>
      <c r="AX32" s="147"/>
      <c r="AY32" s="147"/>
      <c r="AZ32" s="147"/>
    </row>
    <row r="33" ht="21.0" customHeight="1">
      <c r="A33" s="158"/>
      <c r="B33" s="159" t="s">
        <v>167</v>
      </c>
      <c r="C33" s="160">
        <f t="shared" ref="C33:AI33" si="19">IFERROR(C30/$AI$30,"")</f>
        <v>0.01024672363</v>
      </c>
      <c r="D33" s="160">
        <f t="shared" si="19"/>
        <v>0.05540046308</v>
      </c>
      <c r="E33" s="160">
        <f t="shared" si="19"/>
        <v>0.0001464295386</v>
      </c>
      <c r="F33" s="160">
        <f t="shared" si="19"/>
        <v>0</v>
      </c>
      <c r="G33" s="160">
        <f t="shared" si="19"/>
        <v>0.03551813754</v>
      </c>
      <c r="H33" s="160">
        <f t="shared" si="19"/>
        <v>0.05142806977</v>
      </c>
      <c r="I33" s="160">
        <f t="shared" si="19"/>
        <v>0.07533657831</v>
      </c>
      <c r="J33" s="160">
        <f t="shared" si="19"/>
        <v>0.01696942747</v>
      </c>
      <c r="K33" s="160">
        <f t="shared" si="19"/>
        <v>0.06933724523</v>
      </c>
      <c r="L33" s="160">
        <f t="shared" si="19"/>
        <v>0.01988000243</v>
      </c>
      <c r="M33" s="160">
        <f t="shared" si="19"/>
        <v>0.03649439584</v>
      </c>
      <c r="N33" s="160">
        <f t="shared" si="19"/>
        <v>0.05777893216</v>
      </c>
      <c r="O33" s="160">
        <f t="shared" si="19"/>
        <v>0.02979538504</v>
      </c>
      <c r="P33" s="160">
        <f t="shared" si="19"/>
        <v>0.07195098102</v>
      </c>
      <c r="Q33" s="160">
        <f t="shared" si="19"/>
        <v>0.01985784585</v>
      </c>
      <c r="R33" s="160">
        <f t="shared" si="19"/>
        <v>0</v>
      </c>
      <c r="S33" s="160">
        <f t="shared" si="19"/>
        <v>0.02109755949</v>
      </c>
      <c r="T33" s="160">
        <f t="shared" si="19"/>
        <v>0.01754633856</v>
      </c>
      <c r="U33" s="160">
        <f t="shared" si="19"/>
        <v>0.2052373605</v>
      </c>
      <c r="V33" s="160">
        <f t="shared" si="19"/>
        <v>0.013744821</v>
      </c>
      <c r="W33" s="160">
        <f t="shared" si="19"/>
        <v>0</v>
      </c>
      <c r="X33" s="160">
        <f t="shared" si="19"/>
        <v>0.005044357683</v>
      </c>
      <c r="Y33" s="160">
        <f t="shared" si="19"/>
        <v>0.03894981206</v>
      </c>
      <c r="Z33" s="160">
        <f t="shared" si="19"/>
        <v>0.1224151478</v>
      </c>
      <c r="AA33" s="160">
        <f t="shared" si="19"/>
        <v>0.009437381085</v>
      </c>
      <c r="AB33" s="160">
        <f t="shared" si="19"/>
        <v>0.006921888715</v>
      </c>
      <c r="AC33" s="160">
        <f t="shared" si="19"/>
        <v>0.0077994885</v>
      </c>
      <c r="AD33" s="160">
        <f t="shared" si="19"/>
        <v>0</v>
      </c>
      <c r="AE33" s="160">
        <f t="shared" si="19"/>
        <v>0</v>
      </c>
      <c r="AF33" s="160">
        <f t="shared" si="19"/>
        <v>0</v>
      </c>
      <c r="AG33" s="160">
        <f t="shared" si="19"/>
        <v>0</v>
      </c>
      <c r="AH33" s="160">
        <f t="shared" si="19"/>
        <v>0.001665227616</v>
      </c>
      <c r="AI33" s="161">
        <f t="shared" si="19"/>
        <v>1</v>
      </c>
      <c r="AJ33" s="162">
        <f>AI30-AI26</f>
        <v>245055.24</v>
      </c>
      <c r="AK33" s="163">
        <f>AI30/AI26-1</f>
        <v>0.08936055114</v>
      </c>
      <c r="AL33" s="147"/>
      <c r="AM33" s="147"/>
      <c r="AN33" s="147"/>
      <c r="AO33" s="147"/>
      <c r="AP33" s="147"/>
      <c r="AQ33" s="147"/>
      <c r="AR33" s="147"/>
      <c r="AS33" s="147"/>
      <c r="AT33" s="147"/>
      <c r="AU33" s="147"/>
      <c r="AV33" s="147"/>
      <c r="AW33" s="147"/>
      <c r="AX33" s="147"/>
      <c r="AY33" s="147"/>
      <c r="AZ33" s="147"/>
    </row>
    <row r="34" ht="18.75" customHeight="1">
      <c r="A34" s="164">
        <v>45778.0</v>
      </c>
      <c r="B34" s="165" t="s">
        <v>168</v>
      </c>
      <c r="C34" s="166">
        <f t="shared" ref="C34:AH34" si="20">IF(C38="","",C30)</f>
        <v>30610.81</v>
      </c>
      <c r="D34" s="166">
        <f t="shared" si="20"/>
        <v>165501.98</v>
      </c>
      <c r="E34" s="166">
        <f t="shared" si="20"/>
        <v>437.44</v>
      </c>
      <c r="F34" s="166">
        <f t="shared" si="20"/>
        <v>0</v>
      </c>
      <c r="G34" s="166">
        <f t="shared" si="20"/>
        <v>106106.01</v>
      </c>
      <c r="H34" s="166">
        <f t="shared" si="20"/>
        <v>153634.95</v>
      </c>
      <c r="I34" s="166">
        <f t="shared" si="20"/>
        <v>225058.64</v>
      </c>
      <c r="J34" s="166">
        <f t="shared" si="20"/>
        <v>50694.05</v>
      </c>
      <c r="K34" s="166">
        <f t="shared" si="20"/>
        <v>207136.38</v>
      </c>
      <c r="L34" s="166">
        <f t="shared" si="20"/>
        <v>59389.03</v>
      </c>
      <c r="M34" s="166">
        <f t="shared" si="20"/>
        <v>109022.46</v>
      </c>
      <c r="N34" s="166">
        <f t="shared" si="20"/>
        <v>172607.36</v>
      </c>
      <c r="O34" s="166">
        <f t="shared" si="20"/>
        <v>89010</v>
      </c>
      <c r="P34" s="166">
        <f t="shared" si="20"/>
        <v>214944.59</v>
      </c>
      <c r="Q34" s="166">
        <f t="shared" si="20"/>
        <v>59322.84</v>
      </c>
      <c r="R34" s="166" t="str">
        <f t="shared" si="20"/>
        <v/>
      </c>
      <c r="S34" s="166">
        <f t="shared" si="20"/>
        <v>63026.33</v>
      </c>
      <c r="T34" s="166">
        <f t="shared" si="20"/>
        <v>52417.5</v>
      </c>
      <c r="U34" s="166">
        <f t="shared" si="20"/>
        <v>613121.04</v>
      </c>
      <c r="V34" s="166">
        <f t="shared" si="20"/>
        <v>41060.94</v>
      </c>
      <c r="W34" s="166">
        <f t="shared" si="20"/>
        <v>0</v>
      </c>
      <c r="X34" s="166">
        <f t="shared" si="20"/>
        <v>15069.39</v>
      </c>
      <c r="Y34" s="166">
        <f t="shared" si="20"/>
        <v>116357.71</v>
      </c>
      <c r="Z34" s="166">
        <f t="shared" si="20"/>
        <v>365700</v>
      </c>
      <c r="AA34" s="166">
        <f t="shared" si="20"/>
        <v>28193</v>
      </c>
      <c r="AB34" s="166">
        <f t="shared" si="20"/>
        <v>20678.28</v>
      </c>
      <c r="AC34" s="166">
        <f t="shared" si="20"/>
        <v>23300</v>
      </c>
      <c r="AD34" s="166">
        <f t="shared" si="20"/>
        <v>0</v>
      </c>
      <c r="AE34" s="166">
        <f t="shared" si="20"/>
        <v>0</v>
      </c>
      <c r="AF34" s="166">
        <f t="shared" si="20"/>
        <v>0</v>
      </c>
      <c r="AG34" s="166">
        <f t="shared" si="20"/>
        <v>0</v>
      </c>
      <c r="AH34" s="166">
        <f t="shared" si="20"/>
        <v>4974.66</v>
      </c>
      <c r="AI34" s="195">
        <f t="shared" ref="AI34:AI38" si="21">SUM(C34:AH34)</f>
        <v>2987375.39</v>
      </c>
      <c r="AJ34" s="184"/>
      <c r="AK34" s="185"/>
      <c r="AL34" s="186"/>
      <c r="AM34" s="170"/>
      <c r="AN34" s="171"/>
      <c r="AO34" s="171"/>
      <c r="AP34" s="171"/>
      <c r="AQ34" s="171"/>
      <c r="AR34" s="171"/>
      <c r="AS34" s="171"/>
      <c r="AT34" s="171"/>
      <c r="AU34" s="171"/>
      <c r="AV34" s="171"/>
      <c r="AW34" s="171"/>
      <c r="AX34" s="171"/>
      <c r="AY34" s="171"/>
      <c r="AZ34" s="172"/>
    </row>
    <row r="35" ht="16.5" customHeight="1">
      <c r="A35" s="133"/>
      <c r="B35" s="134" t="s">
        <v>160</v>
      </c>
      <c r="C35" s="135">
        <v>0.0</v>
      </c>
      <c r="D35" s="135">
        <v>0.0</v>
      </c>
      <c r="E35" s="135">
        <v>0.0</v>
      </c>
      <c r="F35" s="135">
        <f>7*132.66+30*132.67+40*132.63+175*133.65+70*133.67+70*133.68+35*133.69+35*133.7</f>
        <v>61675.82</v>
      </c>
      <c r="G35" s="135">
        <v>0.0</v>
      </c>
      <c r="H35" s="135">
        <v>0.0</v>
      </c>
      <c r="I35" s="135">
        <v>0.0</v>
      </c>
      <c r="J35" s="135">
        <v>0.0</v>
      </c>
      <c r="K35" s="135">
        <v>0.0</v>
      </c>
      <c r="L35" s="135">
        <f>+500*7.63+25213*0.0396+5181+10000+4000+10000+10000+10000+5000</f>
        <v>58994.4348</v>
      </c>
      <c r="M35" s="135">
        <v>0.0</v>
      </c>
      <c r="N35" s="135">
        <v>0.0</v>
      </c>
      <c r="O35" s="135">
        <f>+200*11.11+100*11.12+100*11.13+200*11.16+100*11.18+100*11.19+400*11.2+200*11.21+100*11.22+100*11.26+100*11.3+100*11.31+100*11.33</f>
        <v>21280</v>
      </c>
      <c r="P35" s="135">
        <v>0.0</v>
      </c>
      <c r="Q35" s="135">
        <v>0.0</v>
      </c>
      <c r="R35" s="135">
        <v>0.0</v>
      </c>
      <c r="S35" s="135">
        <v>0.0</v>
      </c>
      <c r="T35" s="135">
        <v>0.0</v>
      </c>
      <c r="U35" s="135">
        <v>0.0</v>
      </c>
      <c r="V35" s="135">
        <v>0.0</v>
      </c>
      <c r="W35" s="135">
        <v>0.0</v>
      </c>
      <c r="X35" s="135">
        <f>+6*72.28+3*77.45+6*78.01+7*77.83+100*74.42+20*75.21+13*75.71</f>
        <v>11609.33</v>
      </c>
      <c r="Y35" s="135">
        <v>0.0</v>
      </c>
      <c r="Z35" s="135">
        <v>0.0</v>
      </c>
      <c r="AA35" s="135">
        <f>+400*2.45+300*2.44</f>
        <v>1712</v>
      </c>
      <c r="AB35" s="135">
        <f>+11*55.91</f>
        <v>615.01</v>
      </c>
      <c r="AC35" s="135">
        <v>0.0</v>
      </c>
      <c r="AD35" s="135">
        <v>0.0</v>
      </c>
      <c r="AE35" s="135">
        <f>+400*24.42+100*24.46+200*24.51+100*24.52+200*24.54+200*24.17+200*24.18+200*24.19+100*24.2+100*24.21+100*24.16+100*24.11</f>
        <v>48652</v>
      </c>
      <c r="AF35" s="135">
        <v>0.0</v>
      </c>
      <c r="AG35" s="135">
        <f>+300*15.84+400*15.85+400*15.86+300*15.87+700*15.88+100*15.89+200*15.9+100*15.91+200*15.92+100*15.93+100*15.94+500*15.95</f>
        <v>54019</v>
      </c>
      <c r="AH35" s="135">
        <v>0.0</v>
      </c>
      <c r="AI35" s="137">
        <f t="shared" si="21"/>
        <v>258557.5948</v>
      </c>
      <c r="AJ35" s="189"/>
      <c r="AK35" s="175"/>
      <c r="AL35" s="190"/>
      <c r="AM35" s="170"/>
      <c r="AN35" s="171"/>
      <c r="AO35" s="171"/>
      <c r="AP35" s="171"/>
      <c r="AQ35" s="171"/>
      <c r="AR35" s="171"/>
      <c r="AS35" s="171"/>
      <c r="AT35" s="171"/>
      <c r="AU35" s="171"/>
      <c r="AV35" s="171"/>
      <c r="AW35" s="171"/>
      <c r="AX35" s="171"/>
      <c r="AY35" s="171"/>
      <c r="AZ35" s="172"/>
    </row>
    <row r="36" ht="16.5" customHeight="1">
      <c r="A36" s="133"/>
      <c r="B36" s="143" t="s">
        <v>161</v>
      </c>
      <c r="C36" s="135">
        <v>0.0</v>
      </c>
      <c r="D36" s="135">
        <v>0.0</v>
      </c>
      <c r="E36" s="135">
        <f>+E38-E34</f>
        <v>-44778.93</v>
      </c>
      <c r="F36" s="135">
        <f>-150*133.89-312*134.02</f>
        <v>-61897.74</v>
      </c>
      <c r="G36" s="135">
        <v>0.0</v>
      </c>
      <c r="H36" s="135">
        <v>0.0</v>
      </c>
      <c r="I36" s="135">
        <f>-1975.24</f>
        <v>-1975.24</v>
      </c>
      <c r="J36" s="135">
        <v>0.0</v>
      </c>
      <c r="K36" s="135">
        <v>0.0</v>
      </c>
      <c r="L36" s="135">
        <v>0.0</v>
      </c>
      <c r="M36" s="135">
        <v>0.0</v>
      </c>
      <c r="N36" s="135">
        <v>0.0</v>
      </c>
      <c r="O36" s="135">
        <v>0.0</v>
      </c>
      <c r="P36" s="135">
        <v>0.0</v>
      </c>
      <c r="Q36" s="135">
        <v>0.0</v>
      </c>
      <c r="R36" s="135">
        <v>0.0</v>
      </c>
      <c r="S36" s="135">
        <v>0.0</v>
      </c>
      <c r="T36" s="135">
        <v>0.0</v>
      </c>
      <c r="U36" s="135">
        <v>0.0</v>
      </c>
      <c r="V36" s="135">
        <f>-21500</f>
        <v>-21500</v>
      </c>
      <c r="W36" s="135">
        <v>0.0</v>
      </c>
      <c r="X36" s="135">
        <v>0.0</v>
      </c>
      <c r="Y36" s="135">
        <v>0.0</v>
      </c>
      <c r="Z36" s="135">
        <v>0.0</v>
      </c>
      <c r="AA36" s="135">
        <f>-12800*2.85</f>
        <v>-36480</v>
      </c>
      <c r="AB36" s="135">
        <v>0.0</v>
      </c>
      <c r="AC36" s="135">
        <f>-2000*2.9-6000*2.85-2000*2.86</f>
        <v>-28620</v>
      </c>
      <c r="AD36" s="135">
        <v>0.0</v>
      </c>
      <c r="AE36" s="135">
        <v>0.0</v>
      </c>
      <c r="AF36" s="135">
        <v>0.0</v>
      </c>
      <c r="AG36" s="135">
        <f>-1000*16.53-1400*16.52-1000*16.47</f>
        <v>-56128</v>
      </c>
      <c r="AH36" s="135">
        <v>0.0</v>
      </c>
      <c r="AI36" s="137">
        <f t="shared" si="21"/>
        <v>-251379.91</v>
      </c>
      <c r="AJ36" s="145"/>
      <c r="AK36" s="146"/>
      <c r="AL36" s="147"/>
      <c r="AM36" s="147"/>
      <c r="AN36" s="147"/>
      <c r="AO36" s="147"/>
      <c r="AP36" s="147"/>
      <c r="AQ36" s="147"/>
      <c r="AR36" s="147"/>
      <c r="AS36" s="147"/>
      <c r="AT36" s="147"/>
      <c r="AU36" s="147"/>
      <c r="AV36" s="147"/>
      <c r="AW36" s="147"/>
      <c r="AX36" s="147"/>
      <c r="AY36" s="147"/>
      <c r="AZ36" s="147"/>
    </row>
    <row r="37" ht="19.5" customHeight="1">
      <c r="A37" s="133"/>
      <c r="B37" s="144" t="s">
        <v>162</v>
      </c>
      <c r="C37" s="135">
        <v>0.0</v>
      </c>
      <c r="D37" s="135">
        <v>0.0</v>
      </c>
      <c r="E37" s="135">
        <v>0.0</v>
      </c>
      <c r="F37" s="135">
        <v>0.0</v>
      </c>
      <c r="G37" s="135">
        <v>0.0</v>
      </c>
      <c r="H37" s="135">
        <v>0.0</v>
      </c>
      <c r="I37" s="135">
        <v>0.0</v>
      </c>
      <c r="J37" s="135">
        <v>0.0</v>
      </c>
      <c r="K37" s="135">
        <v>0.0</v>
      </c>
      <c r="L37" s="135">
        <v>0.0</v>
      </c>
      <c r="M37" s="135">
        <v>0.0</v>
      </c>
      <c r="N37" s="135">
        <v>0.0</v>
      </c>
      <c r="O37" s="135">
        <v>0.0</v>
      </c>
      <c r="P37" s="135">
        <v>0.0</v>
      </c>
      <c r="Q37" s="135">
        <v>0.0</v>
      </c>
      <c r="R37" s="135">
        <v>0.0</v>
      </c>
      <c r="S37" s="135">
        <v>0.0</v>
      </c>
      <c r="T37" s="135">
        <v>0.0</v>
      </c>
      <c r="U37" s="135">
        <v>0.0</v>
      </c>
      <c r="V37" s="135">
        <v>0.0</v>
      </c>
      <c r="W37" s="135">
        <v>0.0</v>
      </c>
      <c r="X37" s="135">
        <f>-39.22</f>
        <v>-39.22</v>
      </c>
      <c r="Y37" s="135">
        <f>-302.87</f>
        <v>-302.87</v>
      </c>
      <c r="Z37" s="135">
        <v>0.0</v>
      </c>
      <c r="AA37" s="135">
        <v>0.0</v>
      </c>
      <c r="AB37" s="135">
        <v>0.0</v>
      </c>
      <c r="AC37" s="135">
        <v>0.0</v>
      </c>
      <c r="AD37" s="135">
        <v>0.0</v>
      </c>
      <c r="AE37" s="135">
        <v>0.0</v>
      </c>
      <c r="AF37" s="135">
        <v>0.0</v>
      </c>
      <c r="AG37" s="135">
        <v>0.0</v>
      </c>
      <c r="AH37" s="135">
        <v>0.0</v>
      </c>
      <c r="AI37" s="137">
        <f t="shared" si="21"/>
        <v>-342.09</v>
      </c>
      <c r="AJ37" s="196">
        <f>SUM(AI34:AI37)</f>
        <v>2994210.985</v>
      </c>
      <c r="AK37" s="146"/>
      <c r="AL37" s="147"/>
      <c r="AM37" s="147"/>
      <c r="AN37" s="147"/>
      <c r="AO37" s="147"/>
      <c r="AP37" s="147"/>
      <c r="AQ37" s="147"/>
      <c r="AR37" s="147"/>
      <c r="AS37" s="147"/>
      <c r="AT37" s="147"/>
      <c r="AU37" s="147"/>
      <c r="AV37" s="147"/>
      <c r="AW37" s="147"/>
      <c r="AX37" s="147"/>
      <c r="AY37" s="147"/>
      <c r="AZ37" s="147"/>
    </row>
    <row r="38" ht="19.5" customHeight="1">
      <c r="A38" s="133"/>
      <c r="B38" s="150" t="s">
        <v>163</v>
      </c>
      <c r="C38" s="135">
        <f>+(19107.62+11518.96)*0+(19117.59+11524.91)*0+(11531.06+19127.44)*0+(19137.54+11537.2)*0+(19147.46+11543.5)*0+(11550.11+19157.85)*0+(19178.62+11563.05)*0+(19199.5+11576.32)*0+(11583.08+19209.95)*0+(19220.49+11589.61)*0+(11615.7+19262.74)*0+(19273.21+11622.09)*0+(11628.44+19283.65)*0+(+19294.02+11634.76)*0+(19304.13+11640.96)*0+(19314.08+11646.64)</f>
        <v>30960.72</v>
      </c>
      <c r="D38" s="136">
        <f>+165586.41*0+165668.12*0+165750.62*0+165833.69*0+165918.68*0+166013.28*0+166107.29*0+166199.61*0+166394.91*0+166595.69*0+166690*0+166967.92*0+167242.59*0+167332.11*0+167418.62</f>
        <v>167418.62</v>
      </c>
      <c r="E38" s="136">
        <f>+(+1706+2867-6907+15176-9992)*0+(+1088+8265-20058)*0+(1008-20178+8265+7525)*0+(+365+1008-20178+9050+7369)*0+(+15419-3895+29024-1411-18991+821+35180)*0+(+10820-18991+902+29024+35181)*0+(+902+1000+9000+35138)*0+(+30422+4020+260+902+1625)*0+(+15226+2418-4121)*0+(+477+840+261+11035+4644)*0+(+385+840-11342+3718)*0+(+624-13188+8694+640+1802)*0+(-4494.32+946+640+624)*0+(-49946-23189+14125-28600+36514)*0+(+27881.51-49946-23272-39483+18911+3500)*0+(46879+11090-49946-23272-39483)*0+(+30574+32646+6000+727-39483-27102)*0+(+41128+6834+55136.4-1428+527-39483)*0+(+1016+1000+54727+5000)*0+(+40000+11000+9600-17881-59790)*0+(-135091-17881+11000+9408+40000)*0+(+10257-28830-48778.24+12104+10050)*0+(-13465.42-18417.22+10257-28770-48778)*0+(-36770-49196)*0+(+1229-49196-38011+13600+28170-33849)*0+(-116323+1229-49196-35430+13726+28712)*0+(+1094-22125.67+10070+1124-49196)*0+(-21309.83+9726)*0+(-48196+3854.51)</f>
        <v>-44341.49</v>
      </c>
      <c r="F38" s="136">
        <f>(+77+385-150-312)*134.02</f>
        <v>0</v>
      </c>
      <c r="G38" s="135">
        <f>+106160.89*0+106498.91*0+106675.49*0+107264.17*0+106377.04</f>
        <v>106377.04</v>
      </c>
      <c r="H38" s="135">
        <f>+153715.69*0+154206.14*0+154541.19*0+155297.53*0+155381.87*0+155466.21</f>
        <v>155466.21</v>
      </c>
      <c r="I38" s="135">
        <f>+225170.22*0+225416.16*0+225529*0+225776.95*0+225904.65*0+226125.11*0+226363.88*0+226724.34*0+226966.077*0+227495.11*0+(227617.59-1975)*0+225754.86</f>
        <v>225754.86</v>
      </c>
      <c r="J38" s="135">
        <f>+50722*0+50891.95*0+51008.05*0+51270.2*0+51299.4*0+51328.65</f>
        <v>51328.65</v>
      </c>
      <c r="K38" s="135">
        <f>+207245.19*0+207462.99*0+207793.71*0+208019.3*0+208132.18*0+208358.13*0+208810.76*0+208924.09*0+209337.94*0+209605.25</f>
        <v>209605.25</v>
      </c>
      <c r="L38" s="135">
        <f>+68965.13*0+69020.57*0+69932.92*0+69999.46*0+(68839+10000)*0+(78745+4000+10000+10000)*0+101175.7*0+(101363+10000)*0+111798*0+112796*0+112859*0+(113284+5000)*0+118870*0+117851*0+118240*0+119491*0+119946.6</f>
        <v>119946.6</v>
      </c>
      <c r="M38" s="135">
        <f>+115971.89</f>
        <v>115971.89</v>
      </c>
      <c r="N38" s="135">
        <f>+9056*18.73</f>
        <v>169618.88</v>
      </c>
      <c r="O38" s="135">
        <f>+(+8600+1900)*11.2</f>
        <v>117600</v>
      </c>
      <c r="P38" s="136">
        <f>+214944.59*0+215052.59*0+215610.47*0+216048.7*0+216898.17*0+216992.77*0+217087.4</f>
        <v>217087.4</v>
      </c>
      <c r="Q38" s="135">
        <f>+59290.07*0+59158.97*0+59206.37*0+59452.17*0+59548.55*0+59682.99*0+59557.71*0+59736.03*0+59752.42*0+59673.48*0+59712.07*0+59955.75*0+59884.57*0+59776.91*0+59800.69</f>
        <v>59800.69</v>
      </c>
      <c r="R38" s="136"/>
      <c r="S38" s="135">
        <f>+63059.4*0+63260.65*0+63398.05*0+63708.37*0+63742.95*0+63777.52</f>
        <v>63777.52</v>
      </c>
      <c r="T38" s="135">
        <f>+870*57.3</f>
        <v>49851</v>
      </c>
      <c r="U38" s="135">
        <f>+(+12216)*62.2</f>
        <v>759835.2</v>
      </c>
      <c r="V38" s="135">
        <f>+41135.64*0+41170.6*0+41205*0+41223.71*0+41278.06*0+41368*0+41423.4*0+(41478.1-21500)*0+20004.4</f>
        <v>20004.4</v>
      </c>
      <c r="W38" s="135">
        <v>0.0</v>
      </c>
      <c r="X38" s="135">
        <f>+(+219+6+3+13+133)*76.75</f>
        <v>28704.5</v>
      </c>
      <c r="Y38" s="135">
        <f>+1691*76.75</f>
        <v>129784.25</v>
      </c>
      <c r="Z38" s="135">
        <f>+6900*52.1</f>
        <v>359490</v>
      </c>
      <c r="AA38" s="135">
        <f>+(+12100+700)*2.85*0</f>
        <v>0</v>
      </c>
      <c r="AB38" s="135">
        <f>+(412+11)*62.2</f>
        <v>26310.6</v>
      </c>
      <c r="AC38" s="135">
        <f>+10000*2.9*0</f>
        <v>0</v>
      </c>
      <c r="AD38" s="135">
        <v>0.0</v>
      </c>
      <c r="AE38" s="135">
        <f>+(+1000+1000)*23.42</f>
        <v>46840</v>
      </c>
      <c r="AF38" s="135">
        <v>0.0</v>
      </c>
      <c r="AG38" s="135">
        <f>+(+3400-3400)*16.4</f>
        <v>0</v>
      </c>
      <c r="AH38" s="135">
        <f>+261*18.73</f>
        <v>4888.53</v>
      </c>
      <c r="AI38" s="137">
        <f t="shared" si="21"/>
        <v>3192081.32</v>
      </c>
      <c r="AJ38" s="145">
        <f>AJ37-AI38</f>
        <v>-197870.3352</v>
      </c>
      <c r="AK38" s="146"/>
      <c r="AL38" s="147"/>
      <c r="AM38" s="147"/>
      <c r="AN38" s="147"/>
      <c r="AO38" s="147"/>
      <c r="AP38" s="147"/>
      <c r="AQ38" s="147"/>
      <c r="AR38" s="147"/>
      <c r="AS38" s="147"/>
      <c r="AT38" s="147"/>
      <c r="AU38" s="147"/>
      <c r="AV38" s="147"/>
      <c r="AW38" s="147"/>
      <c r="AX38" s="147"/>
      <c r="AY38" s="147"/>
      <c r="AZ38" s="147"/>
    </row>
    <row r="39" ht="23.25" customHeight="1">
      <c r="A39" s="133"/>
      <c r="B39" s="153" t="s">
        <v>165</v>
      </c>
      <c r="C39" s="154">
        <f t="shared" ref="C39:E39" si="22">IFERROR(IF(C38=0,(-C36/C34)-1,C40),"")</f>
        <v>0.01143092914</v>
      </c>
      <c r="D39" s="154">
        <f t="shared" si="22"/>
        <v>0.0115807678</v>
      </c>
      <c r="E39" s="154">
        <f t="shared" si="22"/>
        <v>0</v>
      </c>
      <c r="F39" s="154">
        <f>IFERROR(IF(F38=0,(-F36/F35)-1,F40),"")</f>
        <v>0.003598168618</v>
      </c>
      <c r="G39" s="154">
        <f t="shared" ref="G39:AF39" si="23">IFERROR(IF(G38=0,(-G36/G34)-1,G40),"")</f>
        <v>0.002554332219</v>
      </c>
      <c r="H39" s="154">
        <f t="shared" si="23"/>
        <v>0.01191955346</v>
      </c>
      <c r="I39" s="154">
        <f t="shared" si="23"/>
        <v>0.01197516265</v>
      </c>
      <c r="J39" s="154">
        <f t="shared" si="23"/>
        <v>0.01251823439</v>
      </c>
      <c r="K39" s="154">
        <f t="shared" si="23"/>
        <v>0.01191905546</v>
      </c>
      <c r="L39" s="154">
        <f t="shared" si="23"/>
        <v>0.01320399942</v>
      </c>
      <c r="M39" s="154">
        <f t="shared" si="23"/>
        <v>0.06374310394</v>
      </c>
      <c r="N39" s="154">
        <f t="shared" si="23"/>
        <v>-0.01731374607</v>
      </c>
      <c r="O39" s="154">
        <f t="shared" si="23"/>
        <v>0.06627980778</v>
      </c>
      <c r="P39" s="154">
        <f t="shared" si="23"/>
        <v>0.009969127392</v>
      </c>
      <c r="Q39" s="154">
        <f t="shared" si="23"/>
        <v>0.008055076257</v>
      </c>
      <c r="R39" s="154" t="str">
        <f t="shared" si="23"/>
        <v/>
      </c>
      <c r="S39" s="154">
        <f t="shared" si="23"/>
        <v>0.01191866955</v>
      </c>
      <c r="T39" s="154">
        <f t="shared" si="23"/>
        <v>-0.0489626556</v>
      </c>
      <c r="U39" s="154">
        <f t="shared" si="23"/>
        <v>0.2392906954</v>
      </c>
      <c r="V39" s="154">
        <f t="shared" si="23"/>
        <v>0.02267068965</v>
      </c>
      <c r="W39" s="154" t="str">
        <f t="shared" si="23"/>
        <v/>
      </c>
      <c r="X39" s="154">
        <f t="shared" si="23"/>
        <v>0.0775164699</v>
      </c>
      <c r="Y39" s="154">
        <f t="shared" si="23"/>
        <v>0.1183010549</v>
      </c>
      <c r="Z39" s="154">
        <f t="shared" si="23"/>
        <v>-0.01698113208</v>
      </c>
      <c r="AA39" s="154">
        <f t="shared" si="23"/>
        <v>0.2939382116</v>
      </c>
      <c r="AB39" s="154">
        <f t="shared" si="23"/>
        <v>0.2356286887</v>
      </c>
      <c r="AC39" s="154">
        <f t="shared" si="23"/>
        <v>0.2283261803</v>
      </c>
      <c r="AD39" s="154" t="str">
        <f t="shared" si="23"/>
        <v/>
      </c>
      <c r="AE39" s="154">
        <f t="shared" si="23"/>
        <v>-0.03724410096</v>
      </c>
      <c r="AF39" s="154" t="str">
        <f t="shared" si="23"/>
        <v/>
      </c>
      <c r="AG39" s="154">
        <f>IFERROR(IF(AG38=0,(-AG36/AG35)-1,AG40),"")</f>
        <v>0.03904181862</v>
      </c>
      <c r="AH39" s="154">
        <f t="shared" ref="AH39:AI39" si="24">IFERROR(IF(AH38=0,(-AH36/AH34)-1,AH40),"")</f>
        <v>-0.01731374607</v>
      </c>
      <c r="AI39" s="155">
        <f t="shared" si="24"/>
        <v>0.0660842994</v>
      </c>
      <c r="AJ39" s="192">
        <f>AI38*AI39</f>
        <v>210946.4577</v>
      </c>
      <c r="AK39" s="146"/>
      <c r="AL39" s="147"/>
      <c r="AM39" s="147"/>
      <c r="AN39" s="147"/>
      <c r="AO39" s="147"/>
      <c r="AP39" s="147"/>
      <c r="AQ39" s="147"/>
      <c r="AR39" s="147"/>
      <c r="AS39" s="147"/>
      <c r="AT39" s="147"/>
      <c r="AU39" s="147"/>
      <c r="AV39" s="147"/>
      <c r="AW39" s="147"/>
      <c r="AX39" s="147"/>
      <c r="AY39" s="147"/>
      <c r="AZ39" s="147"/>
    </row>
    <row r="40" ht="1.5" customHeight="1">
      <c r="A40" s="133"/>
      <c r="B40" s="156" t="s">
        <v>166</v>
      </c>
      <c r="C40" s="180">
        <f t="shared" ref="C40:AI40" si="25">IFERROR(IF(AND(C34&lt;&gt;0,C38=""),"",(C38/(C34+C35+C36+C37))-1),"")</f>
        <v>0.01143092914</v>
      </c>
      <c r="D40" s="180">
        <f t="shared" si="25"/>
        <v>0.0115807678</v>
      </c>
      <c r="E40" s="180">
        <f t="shared" si="25"/>
        <v>0</v>
      </c>
      <c r="F40" s="180">
        <f t="shared" si="25"/>
        <v>-1</v>
      </c>
      <c r="G40" s="180">
        <f t="shared" si="25"/>
        <v>0.002554332219</v>
      </c>
      <c r="H40" s="180">
        <f t="shared" si="25"/>
        <v>0.01191955346</v>
      </c>
      <c r="I40" s="180">
        <f t="shared" si="25"/>
        <v>0.01197516265</v>
      </c>
      <c r="J40" s="180">
        <f t="shared" si="25"/>
        <v>0.01251823439</v>
      </c>
      <c r="K40" s="180">
        <f t="shared" si="25"/>
        <v>0.01191905546</v>
      </c>
      <c r="L40" s="180">
        <f t="shared" si="25"/>
        <v>0.01320399942</v>
      </c>
      <c r="M40" s="180">
        <f t="shared" si="25"/>
        <v>0.06374310394</v>
      </c>
      <c r="N40" s="180">
        <f t="shared" si="25"/>
        <v>-0.01731374607</v>
      </c>
      <c r="O40" s="180">
        <f t="shared" si="25"/>
        <v>0.06627980778</v>
      </c>
      <c r="P40" s="180">
        <f t="shared" si="25"/>
        <v>0.009969127392</v>
      </c>
      <c r="Q40" s="180">
        <f t="shared" si="25"/>
        <v>0.008055076257</v>
      </c>
      <c r="R40" s="180" t="str">
        <f t="shared" si="25"/>
        <v/>
      </c>
      <c r="S40" s="180">
        <f t="shared" si="25"/>
        <v>0.01191866955</v>
      </c>
      <c r="T40" s="180">
        <f t="shared" si="25"/>
        <v>-0.0489626556</v>
      </c>
      <c r="U40" s="180">
        <f t="shared" si="25"/>
        <v>0.2392906954</v>
      </c>
      <c r="V40" s="180">
        <f t="shared" si="25"/>
        <v>0.02267068965</v>
      </c>
      <c r="W40" s="180" t="str">
        <f t="shared" si="25"/>
        <v/>
      </c>
      <c r="X40" s="180">
        <f t="shared" si="25"/>
        <v>0.0775164699</v>
      </c>
      <c r="Y40" s="180">
        <f t="shared" si="25"/>
        <v>0.1183010549</v>
      </c>
      <c r="Z40" s="180">
        <f t="shared" si="25"/>
        <v>-0.01698113208</v>
      </c>
      <c r="AA40" s="180">
        <f t="shared" si="25"/>
        <v>-1</v>
      </c>
      <c r="AB40" s="180">
        <f t="shared" si="25"/>
        <v>0.2356286887</v>
      </c>
      <c r="AC40" s="180">
        <f t="shared" si="25"/>
        <v>-1</v>
      </c>
      <c r="AD40" s="180" t="str">
        <f t="shared" si="25"/>
        <v/>
      </c>
      <c r="AE40" s="180">
        <f t="shared" si="25"/>
        <v>-0.03724410096</v>
      </c>
      <c r="AF40" s="180" t="str">
        <f t="shared" si="25"/>
        <v/>
      </c>
      <c r="AG40" s="180">
        <f t="shared" si="25"/>
        <v>-1</v>
      </c>
      <c r="AH40" s="180">
        <f t="shared" si="25"/>
        <v>-0.01731374607</v>
      </c>
      <c r="AI40" s="181">
        <f t="shared" si="25"/>
        <v>0.0660842994</v>
      </c>
      <c r="AJ40" s="145"/>
      <c r="AK40" s="146"/>
      <c r="AL40" s="147"/>
      <c r="AM40" s="147"/>
      <c r="AN40" s="147"/>
      <c r="AO40" s="147"/>
      <c r="AP40" s="147"/>
      <c r="AQ40" s="147"/>
      <c r="AR40" s="147"/>
      <c r="AS40" s="147"/>
      <c r="AT40" s="147"/>
      <c r="AU40" s="147"/>
      <c r="AV40" s="147"/>
      <c r="AW40" s="147"/>
      <c r="AX40" s="147"/>
      <c r="AY40" s="147"/>
      <c r="AZ40" s="147"/>
    </row>
    <row r="41" ht="18.0" customHeight="1">
      <c r="A41" s="158"/>
      <c r="B41" s="159" t="s">
        <v>167</v>
      </c>
      <c r="C41" s="160">
        <f t="shared" ref="C41:AI41" si="26">IFERROR(C38/$AI$38,"")</f>
        <v>0.009699226585</v>
      </c>
      <c r="D41" s="160">
        <f t="shared" si="26"/>
        <v>0.05244810618</v>
      </c>
      <c r="E41" s="160">
        <f t="shared" si="26"/>
        <v>-0.01389109034</v>
      </c>
      <c r="F41" s="160">
        <f t="shared" si="26"/>
        <v>0</v>
      </c>
      <c r="G41" s="160">
        <f t="shared" si="26"/>
        <v>0.03332529135</v>
      </c>
      <c r="H41" s="160">
        <f t="shared" si="26"/>
        <v>0.04870371222</v>
      </c>
      <c r="I41" s="160">
        <f t="shared" si="26"/>
        <v>0.070723405</v>
      </c>
      <c r="J41" s="160">
        <f t="shared" si="26"/>
        <v>0.01607999448</v>
      </c>
      <c r="K41" s="160">
        <f t="shared" si="26"/>
        <v>0.06566413227</v>
      </c>
      <c r="L41" s="160">
        <f t="shared" si="26"/>
        <v>0.03757629834</v>
      </c>
      <c r="M41" s="160">
        <f t="shared" si="26"/>
        <v>0.03633112016</v>
      </c>
      <c r="N41" s="160">
        <f t="shared" si="26"/>
        <v>0.05313739313</v>
      </c>
      <c r="O41" s="160">
        <f t="shared" si="26"/>
        <v>0.03684116669</v>
      </c>
      <c r="P41" s="160">
        <f t="shared" si="26"/>
        <v>0.06800810451</v>
      </c>
      <c r="Q41" s="160">
        <f t="shared" si="26"/>
        <v>0.01873407473</v>
      </c>
      <c r="R41" s="160">
        <f t="shared" si="26"/>
        <v>0</v>
      </c>
      <c r="S41" s="160">
        <f t="shared" si="26"/>
        <v>0.01997991705</v>
      </c>
      <c r="T41" s="160">
        <f t="shared" si="26"/>
        <v>0.01561708334</v>
      </c>
      <c r="U41" s="160">
        <f t="shared" si="26"/>
        <v>0.2380375447</v>
      </c>
      <c r="V41" s="160">
        <f t="shared" si="26"/>
        <v>0.00626688295</v>
      </c>
      <c r="W41" s="160">
        <f t="shared" si="26"/>
        <v>0</v>
      </c>
      <c r="X41" s="160">
        <f t="shared" si="26"/>
        <v>0.008992408752</v>
      </c>
      <c r="Y41" s="160">
        <f t="shared" si="26"/>
        <v>0.04065819037</v>
      </c>
      <c r="Z41" s="160">
        <f t="shared" si="26"/>
        <v>0.1126193113</v>
      </c>
      <c r="AA41" s="160">
        <f t="shared" si="26"/>
        <v>0</v>
      </c>
      <c r="AB41" s="160">
        <f t="shared" si="26"/>
        <v>0.008242459186</v>
      </c>
      <c r="AC41" s="160">
        <f t="shared" si="26"/>
        <v>0</v>
      </c>
      <c r="AD41" s="160">
        <f t="shared" si="26"/>
        <v>0</v>
      </c>
      <c r="AE41" s="160">
        <f t="shared" si="26"/>
        <v>0.01467381163</v>
      </c>
      <c r="AF41" s="160">
        <f t="shared" si="26"/>
        <v>0</v>
      </c>
      <c r="AG41" s="160">
        <f t="shared" si="26"/>
        <v>0</v>
      </c>
      <c r="AH41" s="160">
        <f t="shared" si="26"/>
        <v>0.001531455345</v>
      </c>
      <c r="AI41" s="161">
        <f t="shared" si="26"/>
        <v>1</v>
      </c>
      <c r="AJ41" s="162">
        <f>AI38-AI34</f>
        <v>204705.93</v>
      </c>
      <c r="AK41" s="163">
        <f>AI38/AI34-1</f>
        <v>0.06852367154</v>
      </c>
      <c r="AL41" s="147"/>
      <c r="AM41" s="147"/>
      <c r="AN41" s="147"/>
      <c r="AO41" s="147"/>
      <c r="AP41" s="147"/>
      <c r="AQ41" s="147"/>
      <c r="AR41" s="147"/>
      <c r="AS41" s="147"/>
      <c r="AT41" s="147"/>
      <c r="AU41" s="197"/>
      <c r="AV41" s="198"/>
      <c r="AW41" s="147"/>
      <c r="AX41" s="147"/>
      <c r="AY41" s="147"/>
      <c r="AZ41" s="147"/>
    </row>
    <row r="42" ht="24.75" customHeight="1">
      <c r="A42" s="199">
        <v>45809.0</v>
      </c>
      <c r="B42" s="165" t="s">
        <v>168</v>
      </c>
      <c r="C42" s="166">
        <f t="shared" ref="C42:AH42" si="27">IF(C46="","",C38)</f>
        <v>30960.72</v>
      </c>
      <c r="D42" s="166">
        <f t="shared" si="27"/>
        <v>167418.62</v>
      </c>
      <c r="E42" s="166">
        <f t="shared" si="27"/>
        <v>-44341.49</v>
      </c>
      <c r="F42" s="166">
        <f t="shared" si="27"/>
        <v>0</v>
      </c>
      <c r="G42" s="166">
        <f t="shared" si="27"/>
        <v>106377.04</v>
      </c>
      <c r="H42" s="166">
        <f t="shared" si="27"/>
        <v>155466.21</v>
      </c>
      <c r="I42" s="166">
        <f t="shared" si="27"/>
        <v>225754.86</v>
      </c>
      <c r="J42" s="166">
        <f t="shared" si="27"/>
        <v>51328.65</v>
      </c>
      <c r="K42" s="166">
        <f t="shared" si="27"/>
        <v>209605.25</v>
      </c>
      <c r="L42" s="166">
        <f t="shared" si="27"/>
        <v>119946.6</v>
      </c>
      <c r="M42" s="166">
        <f t="shared" si="27"/>
        <v>115971.89</v>
      </c>
      <c r="N42" s="166">
        <f t="shared" si="27"/>
        <v>169618.88</v>
      </c>
      <c r="O42" s="166">
        <f t="shared" si="27"/>
        <v>117600</v>
      </c>
      <c r="P42" s="166">
        <f t="shared" si="27"/>
        <v>217087.4</v>
      </c>
      <c r="Q42" s="166">
        <f t="shared" si="27"/>
        <v>59800.69</v>
      </c>
      <c r="R42" s="166" t="str">
        <f t="shared" si="27"/>
        <v/>
      </c>
      <c r="S42" s="166">
        <f t="shared" si="27"/>
        <v>63777.52</v>
      </c>
      <c r="T42" s="166">
        <f t="shared" si="27"/>
        <v>49851</v>
      </c>
      <c r="U42" s="166">
        <f t="shared" si="27"/>
        <v>759835.2</v>
      </c>
      <c r="V42" s="166">
        <f t="shared" si="27"/>
        <v>20004.4</v>
      </c>
      <c r="W42" s="166">
        <f t="shared" si="27"/>
        <v>0</v>
      </c>
      <c r="X42" s="166">
        <f t="shared" si="27"/>
        <v>28704.5</v>
      </c>
      <c r="Y42" s="166">
        <f t="shared" si="27"/>
        <v>129784.25</v>
      </c>
      <c r="Z42" s="166">
        <f t="shared" si="27"/>
        <v>359490</v>
      </c>
      <c r="AA42" s="166">
        <f t="shared" si="27"/>
        <v>0</v>
      </c>
      <c r="AB42" s="166">
        <f t="shared" si="27"/>
        <v>26310.6</v>
      </c>
      <c r="AC42" s="166">
        <f t="shared" si="27"/>
        <v>0</v>
      </c>
      <c r="AD42" s="166">
        <f t="shared" si="27"/>
        <v>0</v>
      </c>
      <c r="AE42" s="166">
        <f t="shared" si="27"/>
        <v>46840</v>
      </c>
      <c r="AF42" s="166">
        <f t="shared" si="27"/>
        <v>0</v>
      </c>
      <c r="AG42" s="166">
        <f t="shared" si="27"/>
        <v>0</v>
      </c>
      <c r="AH42" s="166">
        <f t="shared" si="27"/>
        <v>4888.53</v>
      </c>
      <c r="AI42" s="183">
        <f t="shared" ref="AI42:AI46" si="28">SUM(C42:AH42)</f>
        <v>3192081.32</v>
      </c>
      <c r="AJ42" s="184"/>
      <c r="AK42" s="185"/>
      <c r="AL42" s="200"/>
      <c r="AM42" s="201"/>
      <c r="AN42" s="202"/>
      <c r="AO42" s="171"/>
      <c r="AP42" s="171"/>
      <c r="AQ42" s="171"/>
      <c r="AR42" s="171"/>
      <c r="AS42" s="171"/>
      <c r="AT42" s="171"/>
      <c r="AU42" s="203"/>
      <c r="AW42" s="171"/>
      <c r="AX42" s="171"/>
      <c r="AY42" s="171"/>
      <c r="AZ42" s="172"/>
    </row>
    <row r="43" ht="23.25" customHeight="1">
      <c r="A43" s="133"/>
      <c r="B43" s="134" t="s">
        <v>160</v>
      </c>
      <c r="C43" s="135">
        <v>0.0</v>
      </c>
      <c r="D43" s="135">
        <v>0.0</v>
      </c>
      <c r="E43" s="135">
        <v>0.0</v>
      </c>
      <c r="F43" s="135">
        <f>+150*134.86+150*134.87</f>
        <v>40459.5</v>
      </c>
      <c r="G43" s="135">
        <v>0.0</v>
      </c>
      <c r="H43" s="135">
        <v>0.0</v>
      </c>
      <c r="I43" s="135">
        <v>0.0</v>
      </c>
      <c r="J43" s="135">
        <v>0.0</v>
      </c>
      <c r="K43" s="135">
        <v>0.0</v>
      </c>
      <c r="L43" s="135">
        <f>+2500</f>
        <v>2500</v>
      </c>
      <c r="M43" s="135">
        <v>0.0</v>
      </c>
      <c r="N43" s="135">
        <f>+250*19.31</f>
        <v>4827.5</v>
      </c>
      <c r="O43" s="135">
        <v>0.0</v>
      </c>
      <c r="P43" s="135">
        <v>0.0</v>
      </c>
      <c r="Q43" s="135">
        <v>0.0</v>
      </c>
      <c r="R43" s="135">
        <v>0.0</v>
      </c>
      <c r="S43" s="135">
        <v>0.0</v>
      </c>
      <c r="T43" s="135">
        <v>0.0</v>
      </c>
      <c r="U43" s="135">
        <v>0.0</v>
      </c>
      <c r="V43" s="135">
        <v>0.0</v>
      </c>
      <c r="W43" s="135">
        <v>0.0</v>
      </c>
      <c r="X43" s="135">
        <f>+374*77.92</f>
        <v>29142.08</v>
      </c>
      <c r="Y43" s="135">
        <v>0.0</v>
      </c>
      <c r="Z43" s="135">
        <v>0.0</v>
      </c>
      <c r="AA43" s="135">
        <v>0.0</v>
      </c>
      <c r="AB43" s="135">
        <f>+423*53.3</f>
        <v>22545.9</v>
      </c>
      <c r="AC43" s="135">
        <v>0.0</v>
      </c>
      <c r="AD43" s="135">
        <v>0.0</v>
      </c>
      <c r="AE43" s="135">
        <f>+100*23.21+100*23.23+100*23.24+100*23.26+100*23.27+100*23.3</f>
        <v>13951</v>
      </c>
      <c r="AF43" s="135">
        <f>+100*55.32+30*55.22+30*55.09+100*54.84+100*54.83+100*54.77+100*54.74+100*55.84+50*55.99+50*56.01+50*56.03+50*56.1+50*56.15+50*56.25+100*56.31+50*56.37+90*56.8+38*55.25+38*55.2+40*54.88+40*54.86+38*54.84</f>
        <v>77401.92</v>
      </c>
      <c r="AG43" s="135">
        <f>+50*54.65+50*54.5+50*54.34+40*55.38+40*55.13+40*55.06+50*55.86</f>
        <v>17590.3</v>
      </c>
      <c r="AH43" s="135">
        <f>+100*19.5+100*19.24+200*19.25+100*19.18+100*19.13+100*19.2+150*19.24</f>
        <v>16361</v>
      </c>
      <c r="AI43" s="151">
        <f t="shared" si="28"/>
        <v>224779.2</v>
      </c>
      <c r="AJ43" s="145"/>
      <c r="AK43" s="146"/>
      <c r="AL43" s="204"/>
      <c r="AM43" s="201"/>
      <c r="AN43" s="202"/>
      <c r="AO43" s="147"/>
      <c r="AP43" s="147"/>
      <c r="AQ43" s="147"/>
      <c r="AR43" s="147"/>
      <c r="AS43" s="147"/>
      <c r="AT43" s="147"/>
      <c r="AU43" s="205"/>
      <c r="AV43" s="206"/>
      <c r="AW43" s="147"/>
      <c r="AX43" s="147"/>
      <c r="AY43" s="147"/>
      <c r="AZ43" s="147"/>
    </row>
    <row r="44" ht="27.0" customHeight="1">
      <c r="A44" s="133"/>
      <c r="B44" s="143" t="s">
        <v>161</v>
      </c>
      <c r="C44" s="135">
        <v>0.0</v>
      </c>
      <c r="D44" s="135">
        <v>0.0</v>
      </c>
      <c r="E44" s="135">
        <f>+E46-E42</f>
        <v>-257286.51</v>
      </c>
      <c r="F44" s="135">
        <f>-300*135.39</f>
        <v>-40617</v>
      </c>
      <c r="G44" s="135">
        <v>0.0</v>
      </c>
      <c r="H44" s="135">
        <v>0.0</v>
      </c>
      <c r="I44" s="135">
        <f>-2000</f>
        <v>-2000</v>
      </c>
      <c r="J44" s="135">
        <f>-51592.45</f>
        <v>-51592.45</v>
      </c>
      <c r="K44" s="135">
        <v>0.0</v>
      </c>
      <c r="L44" s="135">
        <v>0.0</v>
      </c>
      <c r="M44" s="135">
        <v>0.0</v>
      </c>
      <c r="N44" s="135">
        <v>0.0</v>
      </c>
      <c r="O44" s="135">
        <v>0.0</v>
      </c>
      <c r="P44" s="135">
        <v>0.0</v>
      </c>
      <c r="Q44" s="135">
        <v>0.0</v>
      </c>
      <c r="R44" s="135">
        <v>0.0</v>
      </c>
      <c r="S44" s="135">
        <v>0.0</v>
      </c>
      <c r="T44" s="135">
        <v>0.0</v>
      </c>
      <c r="U44" s="135">
        <v>0.0</v>
      </c>
      <c r="V44" s="135">
        <f>-5000-10000</f>
        <v>-15000</v>
      </c>
      <c r="W44" s="135">
        <v>0.0</v>
      </c>
      <c r="X44" s="135">
        <f>-374*77.92-52*79.12-322*79.35</f>
        <v>-58807.02</v>
      </c>
      <c r="Y44" s="135">
        <v>0.0</v>
      </c>
      <c r="Z44" s="135">
        <v>0.0</v>
      </c>
      <c r="AA44" s="135">
        <v>0.0</v>
      </c>
      <c r="AB44" s="135">
        <f>-423*53.51-423*56.39</f>
        <v>-46487.7</v>
      </c>
      <c r="AC44" s="135">
        <v>0.0</v>
      </c>
      <c r="AD44" s="135">
        <v>0.0</v>
      </c>
      <c r="AE44" s="135">
        <v>0.0</v>
      </c>
      <c r="AF44" s="135">
        <f>-100*56.03</f>
        <v>-5603</v>
      </c>
      <c r="AG44" s="135">
        <v>0.0</v>
      </c>
      <c r="AH44" s="136">
        <f>-261*19.02</f>
        <v>-4964.22</v>
      </c>
      <c r="AI44" s="151">
        <f t="shared" si="28"/>
        <v>-482357.9</v>
      </c>
      <c r="AJ44" s="145"/>
      <c r="AK44" s="146"/>
      <c r="AL44" s="207"/>
      <c r="AM44" s="208"/>
      <c r="AN44" s="209"/>
      <c r="AO44" s="147"/>
      <c r="AP44" s="147"/>
      <c r="AQ44" s="147"/>
      <c r="AR44" s="147"/>
      <c r="AS44" s="147"/>
      <c r="AT44" s="147"/>
      <c r="AU44" s="210"/>
      <c r="AV44" s="210"/>
      <c r="AW44" s="147"/>
      <c r="AX44" s="147"/>
      <c r="AY44" s="147"/>
      <c r="AZ44" s="147"/>
    </row>
    <row r="45" ht="23.25" customHeight="1">
      <c r="A45" s="133"/>
      <c r="B45" s="144" t="s">
        <v>162</v>
      </c>
      <c r="C45" s="135">
        <v>0.0</v>
      </c>
      <c r="D45" s="135">
        <v>0.0</v>
      </c>
      <c r="E45" s="135">
        <v>0.0</v>
      </c>
      <c r="F45" s="135">
        <v>0.0</v>
      </c>
      <c r="G45" s="135">
        <v>0.0</v>
      </c>
      <c r="H45" s="135">
        <v>0.0</v>
      </c>
      <c r="I45" s="135">
        <v>0.0</v>
      </c>
      <c r="J45" s="135"/>
      <c r="K45" s="135">
        <v>0.0</v>
      </c>
      <c r="L45" s="135">
        <v>0.0</v>
      </c>
      <c r="M45" s="135">
        <v>0.0</v>
      </c>
      <c r="N45" s="135">
        <v>0.0</v>
      </c>
      <c r="O45" s="135">
        <v>0.0</v>
      </c>
      <c r="P45" s="135">
        <v>0.0</v>
      </c>
      <c r="Q45" s="135">
        <v>0.0</v>
      </c>
      <c r="R45" s="135">
        <v>0.0</v>
      </c>
      <c r="S45" s="135">
        <v>0.0</v>
      </c>
      <c r="T45" s="135">
        <v>0.0</v>
      </c>
      <c r="U45" s="135">
        <v>0.0</v>
      </c>
      <c r="V45" s="135">
        <v>0.0</v>
      </c>
      <c r="W45" s="135">
        <v>0.0</v>
      </c>
      <c r="X45" s="135">
        <v>0.0</v>
      </c>
      <c r="Y45" s="135">
        <v>0.0</v>
      </c>
      <c r="Z45" s="135">
        <v>0.0</v>
      </c>
      <c r="AA45" s="135">
        <v>0.0</v>
      </c>
      <c r="AB45" s="135">
        <v>0.0</v>
      </c>
      <c r="AC45" s="135">
        <v>0.0</v>
      </c>
      <c r="AD45" s="135">
        <v>0.0</v>
      </c>
      <c r="AE45" s="135">
        <f>-738.72-199.88</f>
        <v>-938.6</v>
      </c>
      <c r="AF45" s="135">
        <v>0.0</v>
      </c>
      <c r="AG45" s="135">
        <v>0.0</v>
      </c>
      <c r="AH45" s="135">
        <v>0.0</v>
      </c>
      <c r="AI45" s="151">
        <f t="shared" si="28"/>
        <v>-938.6</v>
      </c>
      <c r="AJ45" s="145">
        <f>SUM(AI42:AI44)</f>
        <v>2934502.62</v>
      </c>
      <c r="AK45" s="146"/>
      <c r="AL45" s="207"/>
      <c r="AM45" s="208"/>
      <c r="AN45" s="211" t="s">
        <v>169</v>
      </c>
      <c r="AO45" s="212"/>
      <c r="AP45" s="212"/>
      <c r="AQ45" s="213"/>
      <c r="AR45" s="147"/>
      <c r="AS45" s="147"/>
      <c r="AT45" s="147"/>
      <c r="AU45" s="210"/>
      <c r="AV45" s="210"/>
      <c r="AW45" s="147"/>
      <c r="AX45" s="147"/>
      <c r="AY45" s="147"/>
      <c r="AZ45" s="147"/>
    </row>
    <row r="46" ht="25.5" customHeight="1">
      <c r="A46" s="133"/>
      <c r="B46" s="150" t="s">
        <v>163</v>
      </c>
      <c r="C46" s="135">
        <f>+(+19324.28+11652.84)*0+(19345.34+11665.63)*0+(11672.14+19355.96)*0+(19377.29+11685.04)*0+(19388.03+11691.43)*0+(19409.57+11704.92)*0+(+11711.41+19420.2)*0+(+19430.73+11717.95)*0+(19441.3+11724.46)*0+(19451.89+11731.03)*0+(11737.51+19462.58)*0+(19473.23+11744.03)*0+(19483.99+11750.44)*0+(11763.02+19505.57)*0+(19516.27+11769.36)*0+(11775.76+19527.07)</f>
        <v>31302.83</v>
      </c>
      <c r="D46" s="136">
        <f>+167508.61*0+167599.44*0+167692.36*0+167785.76*0+167878.33*0+167971.2*0+168063.6*0+168250*0+168680.53*0+168436.64*0+168529.39*0+168620.53*0+168712.85*0+168805.92*0+168898.43*0+168987.72*0+169081.51*0+169266.37</f>
        <v>169266.37</v>
      </c>
      <c r="E46" s="135">
        <f>+(-23429-21778+11443)*0+(-2621-21850-21987.61-29593-7409+825)*0+(+10132-250-6009.27-24924.78-21033-21987.61)*0+(+6735+9091.87-39138-23587)*0+(-28393-46941-86420-23587)*0+(-6024+5427-27397-23579-37990-89319)*0+(-18296-49162-23579-38596-89319)*0+(-49610-16882-64905-89819-23579-39596+41023+10643+61000)*0+(-153671+1423-49610-16882+10643+61000+41023)*0+(+1423+57307+20277-39907)*0+(+5869+9629+1074+17057-39907+4233)*0+(-37675+5906+10724+15057+1074+2067)*0+(+5858+3450-37675+17657.88+9629)*0+(-37722+3450+28090+17657+2000+9629)*0+(-37722+2000+1100)*0+(-37722+2007+0)*0+(-13980.85+1928-5349+2007-37448+1129)*0+(+955+6734+2218-43879+2007+551)*0+(-13980+2667+5607+1000+551-43879)*0+(+2667+5607+551-57879+1000)*0+(-33217+1191.74+5607+551-58119.06)*0+(+24308-32273-39448)*0+(-32274.06-12005-10465-39488)*0+(-43162-18197-71441)*0+(-76717-43162-191292+9543)</f>
        <v>-301628</v>
      </c>
      <c r="F46" s="135">
        <f>+300*135.39*0</f>
        <v>0</v>
      </c>
      <c r="G46" s="135">
        <f>+106433.75*0+106549.83*0+106901.68*0+106960.77*0+107077.09*0+107135.7*0+107370.08*0+107546.85</f>
        <v>107546.85</v>
      </c>
      <c r="H46" s="136">
        <f>+155550.55*0+155634.89*0+156142.39*0+156227.16*0+156311.94*0+156566.55*0+156912.01*0+157085.17*0+157171.67</f>
        <v>157171.67</v>
      </c>
      <c r="I46" s="136">
        <f>+225754*0+226852.29*0+226969.03*0+(227306.18-2000)*0+225680.37*0+225800.61*0+226205.97</f>
        <v>226205.97</v>
      </c>
      <c r="J46" s="136">
        <f>+51357.9*0+51387.15*0+51563.1*0+51592.45*0</f>
        <v>0</v>
      </c>
      <c r="K46" s="136">
        <f>+209605*0+210060.6*0+210631.18*0+210859.84*0+211088.75*0+211438.07*0+211554.64*0+211904.73</f>
        <v>211904.73</v>
      </c>
      <c r="L46" s="135">
        <f>+119217.29*0+119622*0+118625.97*0+117216.57*0+117581*0+118283*0+119923*0+120086*0+118409*0+117828.46*0+117945.9</f>
        <v>117945.9</v>
      </c>
      <c r="M46" s="136">
        <v>115971.89</v>
      </c>
      <c r="N46" s="135">
        <f>+(9056+250)*20.37</f>
        <v>189563.22</v>
      </c>
      <c r="O46" s="135">
        <f>+10500*11.5</f>
        <v>120750</v>
      </c>
      <c r="P46" s="136">
        <f>+217087*0+217182.08*0+217276.79*0+217695.97*0+217783.02*0+217870.1*0+218136.69*0+218496.1*0+218614.94*0+218697.3</f>
        <v>218697.3</v>
      </c>
      <c r="Q46" s="136">
        <f>+59772.15*0+59819.72*0+59734.97*0+59839.28*0+59844.92*0+59694.97*0+59652.86*0+59966.32*0+59794.53*0+59688.1*0+59780.43*0+59835.05*0+59900.78*0+59942.92*0+59973.72*0+59938.31</f>
        <v>59938.31</v>
      </c>
      <c r="R46" s="135">
        <v>0.0</v>
      </c>
      <c r="S46" s="136">
        <f>+63812.16*0+63846.73*0+64054.9*0+64089.66*0+64124.47*0+64228.92*0+64370.64*0+64441.65*0+64477.19</f>
        <v>64477.19</v>
      </c>
      <c r="T46" s="135">
        <f>+870*55.85</f>
        <v>48589.5</v>
      </c>
      <c r="U46" s="135">
        <f>+12216*54</f>
        <v>659664</v>
      </c>
      <c r="V46" s="135">
        <f>+20004.4*0+20013.2*0+(20083.78-5000-10000)*0+5083.92*0+5092.92*0+5099*0+5106.61</f>
        <v>5106.61</v>
      </c>
      <c r="W46" s="135">
        <v>0.0</v>
      </c>
      <c r="X46" s="135">
        <f>+(+374-374+374-52-322)*79.5</f>
        <v>0</v>
      </c>
      <c r="Y46" s="135">
        <f>+1691*79.22</f>
        <v>133961.02</v>
      </c>
      <c r="Z46" s="135">
        <f>+6900*52.65</f>
        <v>363285</v>
      </c>
      <c r="AA46" s="135">
        <v>0.0</v>
      </c>
      <c r="AB46" s="135">
        <f>+(423*60.2)*0</f>
        <v>0</v>
      </c>
      <c r="AC46" s="135">
        <v>0.0</v>
      </c>
      <c r="AD46" s="135">
        <v>0.0</v>
      </c>
      <c r="AE46" s="135">
        <f>+(2000+600)*22.09</f>
        <v>57434</v>
      </c>
      <c r="AF46" s="135">
        <f>+(+560+640-100+194)*54</f>
        <v>69876</v>
      </c>
      <c r="AG46" s="135">
        <f>+(+150+120+50)*55.85</f>
        <v>17872</v>
      </c>
      <c r="AH46" s="135">
        <f>+(261*19*0)+(+500+350)*20.37</f>
        <v>17314.5</v>
      </c>
      <c r="AI46" s="151">
        <f t="shared" si="28"/>
        <v>2862216.86</v>
      </c>
      <c r="AJ46" s="145">
        <f>AJ45-AI46</f>
        <v>72285.76</v>
      </c>
      <c r="AK46" s="146"/>
      <c r="AL46" s="207"/>
      <c r="AM46" s="208"/>
      <c r="AN46" s="214"/>
      <c r="AO46" s="215"/>
      <c r="AP46" s="215"/>
      <c r="AQ46" s="216"/>
      <c r="AR46" s="147"/>
      <c r="AS46" s="147"/>
      <c r="AT46" s="147"/>
      <c r="AU46" s="205"/>
      <c r="AV46" s="217"/>
      <c r="AW46" s="147"/>
      <c r="AX46" s="147"/>
      <c r="AY46" s="147"/>
      <c r="AZ46" s="147"/>
    </row>
    <row r="47" ht="23.25" customHeight="1">
      <c r="A47" s="133"/>
      <c r="B47" s="153" t="s">
        <v>165</v>
      </c>
      <c r="C47" s="154">
        <f t="shared" ref="C47:AI47" si="29">IFERROR(IF(C46=0,(-C44/C42)-1,C48),"")</f>
        <v>0.01104980763</v>
      </c>
      <c r="D47" s="154">
        <f t="shared" si="29"/>
        <v>0.01103670548</v>
      </c>
      <c r="E47" s="154">
        <f t="shared" si="29"/>
        <v>0</v>
      </c>
      <c r="F47" s="154" t="str">
        <f t="shared" si="29"/>
        <v/>
      </c>
      <c r="G47" s="154">
        <f t="shared" si="29"/>
        <v>0.01099682789</v>
      </c>
      <c r="H47" s="154">
        <f t="shared" si="29"/>
        <v>0.01096997219</v>
      </c>
      <c r="I47" s="154">
        <f t="shared" si="29"/>
        <v>0.01095444363</v>
      </c>
      <c r="J47" s="154">
        <f t="shared" si="29"/>
        <v>0.005139429929</v>
      </c>
      <c r="K47" s="154">
        <f t="shared" si="29"/>
        <v>0.01097052674</v>
      </c>
      <c r="L47" s="154">
        <f t="shared" si="29"/>
        <v>-0.03675643097</v>
      </c>
      <c r="M47" s="154">
        <f t="shared" si="29"/>
        <v>0</v>
      </c>
      <c r="N47" s="154">
        <f t="shared" si="29"/>
        <v>0.08665608309</v>
      </c>
      <c r="O47" s="154">
        <f t="shared" si="29"/>
        <v>0.02678571429</v>
      </c>
      <c r="P47" s="154">
        <f t="shared" si="29"/>
        <v>0.007415907142</v>
      </c>
      <c r="Q47" s="154">
        <f t="shared" si="29"/>
        <v>0.002301311239</v>
      </c>
      <c r="R47" s="154" t="str">
        <f t="shared" si="29"/>
        <v/>
      </c>
      <c r="S47" s="154">
        <f t="shared" si="29"/>
        <v>0.01097047988</v>
      </c>
      <c r="T47" s="154">
        <f t="shared" si="29"/>
        <v>-0.02530541012</v>
      </c>
      <c r="U47" s="154">
        <f t="shared" si="29"/>
        <v>-0.1318327974</v>
      </c>
      <c r="V47" s="154">
        <f t="shared" si="29"/>
        <v>0.02042402686</v>
      </c>
      <c r="W47" s="154" t="str">
        <f t="shared" si="29"/>
        <v/>
      </c>
      <c r="X47" s="154">
        <f t="shared" si="29"/>
        <v>1.048703862</v>
      </c>
      <c r="Y47" s="154">
        <f t="shared" si="29"/>
        <v>0.03218241042</v>
      </c>
      <c r="Z47" s="154">
        <f t="shared" si="29"/>
        <v>0.01055662188</v>
      </c>
      <c r="AA47" s="154" t="str">
        <f t="shared" si="29"/>
        <v/>
      </c>
      <c r="AB47" s="154">
        <f t="shared" si="29"/>
        <v>0.7668810289</v>
      </c>
      <c r="AC47" s="154" t="str">
        <f t="shared" si="29"/>
        <v/>
      </c>
      <c r="AD47" s="154" t="str">
        <f t="shared" si="29"/>
        <v/>
      </c>
      <c r="AE47" s="154">
        <f t="shared" si="29"/>
        <v>-0.04040606559</v>
      </c>
      <c r="AF47" s="154">
        <f t="shared" si="29"/>
        <v>-0.02678201845</v>
      </c>
      <c r="AG47" s="154">
        <f t="shared" si="29"/>
        <v>0.016014508</v>
      </c>
      <c r="AH47" s="154">
        <f t="shared" si="29"/>
        <v>0.06319744604</v>
      </c>
      <c r="AI47" s="155">
        <f t="shared" si="29"/>
        <v>-0.02432098278</v>
      </c>
      <c r="AJ47" s="145">
        <f>AI46*AI47</f>
        <v>-69611.92695</v>
      </c>
      <c r="AK47" s="146"/>
      <c r="AL47" s="207"/>
      <c r="AM47" s="208"/>
      <c r="AN47" s="218" t="s">
        <v>170</v>
      </c>
      <c r="AO47" s="219"/>
      <c r="AP47" s="220">
        <f>IF(AI94=0,IF(AI86=0,IF(AI78=0,IF(AI70=0,IF(AI62=0,IF(AI54=0,IF(AI46=0,IF(AI38=0,IF(AI30=0,IF(AI22=0,IF(AI14=0,AI6,AI14),AI22),AI30),AI38),AI46),AI54),AI62),AI70),AI78),AI86),AI94)</f>
        <v>3623373.45</v>
      </c>
      <c r="AQ47" s="221"/>
      <c r="AR47" s="147"/>
      <c r="AS47" s="147"/>
      <c r="AT47" s="147"/>
      <c r="AU47" s="210"/>
      <c r="AV47" s="210"/>
      <c r="AW47" s="147"/>
      <c r="AX47" s="147"/>
      <c r="AY47" s="147"/>
      <c r="AZ47" s="147"/>
    </row>
    <row r="48" ht="1.5" hidden="1" customHeight="1">
      <c r="A48" s="133"/>
      <c r="B48" s="156" t="s">
        <v>166</v>
      </c>
      <c r="C48" s="180">
        <f t="shared" ref="C48:AI48" si="30">IFERROR(IF(AND(C42&lt;&gt;0,C46=""),"",(C46/(C42+C43+C44+C45))-1),"")</f>
        <v>0.01104980763</v>
      </c>
      <c r="D48" s="180">
        <f t="shared" si="30"/>
        <v>0.01103670548</v>
      </c>
      <c r="E48" s="180">
        <f t="shared" si="30"/>
        <v>0</v>
      </c>
      <c r="F48" s="180">
        <f t="shared" si="30"/>
        <v>-1</v>
      </c>
      <c r="G48" s="180">
        <f t="shared" si="30"/>
        <v>0.01099682789</v>
      </c>
      <c r="H48" s="180">
        <f t="shared" si="30"/>
        <v>0.01096997219</v>
      </c>
      <c r="I48" s="180">
        <f t="shared" si="30"/>
        <v>0.01095444363</v>
      </c>
      <c r="J48" s="180">
        <f t="shared" si="30"/>
        <v>-1</v>
      </c>
      <c r="K48" s="180">
        <f t="shared" si="30"/>
        <v>0.01097052674</v>
      </c>
      <c r="L48" s="180">
        <f t="shared" si="30"/>
        <v>-0.03675643097</v>
      </c>
      <c r="M48" s="180">
        <f t="shared" si="30"/>
        <v>0</v>
      </c>
      <c r="N48" s="180">
        <f t="shared" si="30"/>
        <v>0.08665608309</v>
      </c>
      <c r="O48" s="180">
        <f t="shared" si="30"/>
        <v>0.02678571429</v>
      </c>
      <c r="P48" s="180">
        <f t="shared" si="30"/>
        <v>0.007415907142</v>
      </c>
      <c r="Q48" s="180">
        <f t="shared" si="30"/>
        <v>0.002301311239</v>
      </c>
      <c r="R48" s="180" t="str">
        <f t="shared" si="30"/>
        <v/>
      </c>
      <c r="S48" s="180">
        <f t="shared" si="30"/>
        <v>0.01097047988</v>
      </c>
      <c r="T48" s="180">
        <f t="shared" si="30"/>
        <v>-0.02530541012</v>
      </c>
      <c r="U48" s="180">
        <f t="shared" si="30"/>
        <v>-0.1318327974</v>
      </c>
      <c r="V48" s="180">
        <f t="shared" si="30"/>
        <v>0.02042402686</v>
      </c>
      <c r="W48" s="180" t="str">
        <f t="shared" si="30"/>
        <v/>
      </c>
      <c r="X48" s="180">
        <f t="shared" si="30"/>
        <v>-1</v>
      </c>
      <c r="Y48" s="180">
        <f t="shared" si="30"/>
        <v>0.03218241042</v>
      </c>
      <c r="Z48" s="180">
        <f t="shared" si="30"/>
        <v>0.01055662188</v>
      </c>
      <c r="AA48" s="180" t="str">
        <f t="shared" si="30"/>
        <v/>
      </c>
      <c r="AB48" s="180">
        <f t="shared" si="30"/>
        <v>-1</v>
      </c>
      <c r="AC48" s="180" t="str">
        <f t="shared" si="30"/>
        <v/>
      </c>
      <c r="AD48" s="180" t="str">
        <f t="shared" si="30"/>
        <v/>
      </c>
      <c r="AE48" s="180">
        <f t="shared" si="30"/>
        <v>-0.04040606559</v>
      </c>
      <c r="AF48" s="180">
        <f t="shared" si="30"/>
        <v>-0.02678201845</v>
      </c>
      <c r="AG48" s="180">
        <f t="shared" si="30"/>
        <v>0.016014508</v>
      </c>
      <c r="AH48" s="180">
        <f t="shared" si="30"/>
        <v>0.06319744604</v>
      </c>
      <c r="AI48" s="181">
        <f t="shared" si="30"/>
        <v>-0.02432098278</v>
      </c>
      <c r="AJ48" s="145"/>
      <c r="AK48" s="146"/>
      <c r="AL48" s="207"/>
      <c r="AM48" s="208"/>
      <c r="AN48" s="222"/>
      <c r="AO48" s="223"/>
      <c r="AP48" s="224"/>
      <c r="AQ48" s="225"/>
      <c r="AR48" s="226"/>
      <c r="AS48" s="147"/>
      <c r="AT48" s="147"/>
      <c r="AU48" s="227"/>
      <c r="AV48" s="228"/>
      <c r="AW48" s="147"/>
      <c r="AX48" s="147"/>
      <c r="AY48" s="147"/>
      <c r="AZ48" s="147"/>
    </row>
    <row r="49" ht="24.75" customHeight="1">
      <c r="A49" s="158"/>
      <c r="B49" s="159" t="s">
        <v>167</v>
      </c>
      <c r="C49" s="160">
        <f t="shared" ref="C49:AI49" si="31">IFERROR(C46/$AI$46,"")</f>
        <v>0.01093656824</v>
      </c>
      <c r="D49" s="160">
        <f t="shared" si="31"/>
        <v>0.0591382059</v>
      </c>
      <c r="E49" s="160">
        <f t="shared" si="31"/>
        <v>-0.1053826508</v>
      </c>
      <c r="F49" s="160">
        <f t="shared" si="31"/>
        <v>0</v>
      </c>
      <c r="G49" s="160">
        <f t="shared" si="31"/>
        <v>0.03757466861</v>
      </c>
      <c r="H49" s="160">
        <f t="shared" si="31"/>
        <v>0.05491256522</v>
      </c>
      <c r="I49" s="160">
        <f t="shared" si="31"/>
        <v>0.07903173696</v>
      </c>
      <c r="J49" s="160">
        <f t="shared" si="31"/>
        <v>0</v>
      </c>
      <c r="K49" s="160">
        <f t="shared" si="31"/>
        <v>0.07403517636</v>
      </c>
      <c r="L49" s="160">
        <f t="shared" si="31"/>
        <v>0.04120788388</v>
      </c>
      <c r="M49" s="160">
        <f t="shared" si="31"/>
        <v>0.04051820518</v>
      </c>
      <c r="N49" s="160">
        <f t="shared" si="31"/>
        <v>0.06622950995</v>
      </c>
      <c r="O49" s="160">
        <f t="shared" si="31"/>
        <v>0.04218757904</v>
      </c>
      <c r="P49" s="160">
        <f t="shared" si="31"/>
        <v>0.07640836131</v>
      </c>
      <c r="Q49" s="160">
        <f t="shared" si="31"/>
        <v>0.02094121897</v>
      </c>
      <c r="R49" s="160">
        <f t="shared" si="31"/>
        <v>0</v>
      </c>
      <c r="S49" s="160">
        <f t="shared" si="31"/>
        <v>0.02252701076</v>
      </c>
      <c r="T49" s="160">
        <f t="shared" si="31"/>
        <v>0.01697617699</v>
      </c>
      <c r="U49" s="160">
        <f t="shared" si="31"/>
        <v>0.2304731026</v>
      </c>
      <c r="V49" s="160">
        <f t="shared" si="31"/>
        <v>0.001784145035</v>
      </c>
      <c r="W49" s="160">
        <f t="shared" si="31"/>
        <v>0</v>
      </c>
      <c r="X49" s="160">
        <f t="shared" si="31"/>
        <v>0</v>
      </c>
      <c r="Y49" s="160">
        <f t="shared" si="31"/>
        <v>0.04680323908</v>
      </c>
      <c r="Z49" s="160">
        <f t="shared" si="31"/>
        <v>0.1269243449</v>
      </c>
      <c r="AA49" s="160">
        <f t="shared" si="31"/>
        <v>0</v>
      </c>
      <c r="AB49" s="160">
        <f t="shared" si="31"/>
        <v>0</v>
      </c>
      <c r="AC49" s="160">
        <f t="shared" si="31"/>
        <v>0</v>
      </c>
      <c r="AD49" s="160">
        <f t="shared" si="31"/>
        <v>0</v>
      </c>
      <c r="AE49" s="160">
        <f t="shared" si="31"/>
        <v>0.0200662643</v>
      </c>
      <c r="AF49" s="160">
        <f t="shared" si="31"/>
        <v>0.02441324449</v>
      </c>
      <c r="AG49" s="160">
        <f t="shared" si="31"/>
        <v>0.006244111077</v>
      </c>
      <c r="AH49" s="160">
        <f t="shared" si="31"/>
        <v>0.006049331985</v>
      </c>
      <c r="AI49" s="229">
        <f t="shared" si="31"/>
        <v>1</v>
      </c>
      <c r="AJ49" s="162">
        <f>AI46-AI42</f>
        <v>-329864.46</v>
      </c>
      <c r="AK49" s="163">
        <f>AI46/AI42-1</f>
        <v>-0.1033383636</v>
      </c>
      <c r="AL49" s="207"/>
      <c r="AM49" s="208"/>
      <c r="AN49" s="222"/>
      <c r="AO49" s="223"/>
      <c r="AP49" s="224"/>
      <c r="AQ49" s="225"/>
      <c r="AR49" s="230"/>
      <c r="AS49" s="147"/>
      <c r="AT49" s="147"/>
      <c r="AU49" s="147"/>
      <c r="AV49" s="147"/>
      <c r="AW49" s="147"/>
      <c r="AX49" s="147"/>
      <c r="AY49" s="147"/>
      <c r="AZ49" s="147"/>
    </row>
    <row r="50" ht="24.0" customHeight="1">
      <c r="A50" s="164">
        <v>45839.0</v>
      </c>
      <c r="B50" s="165" t="s">
        <v>168</v>
      </c>
      <c r="C50" s="166">
        <f t="shared" ref="C50:AH50" si="32">IF(C54="","",C46)</f>
        <v>31302.83</v>
      </c>
      <c r="D50" s="166">
        <f t="shared" si="32"/>
        <v>169266.37</v>
      </c>
      <c r="E50" s="166">
        <f t="shared" si="32"/>
        <v>-301628</v>
      </c>
      <c r="F50" s="166">
        <f t="shared" si="32"/>
        <v>0</v>
      </c>
      <c r="G50" s="166">
        <f t="shared" si="32"/>
        <v>107546.85</v>
      </c>
      <c r="H50" s="166">
        <f t="shared" si="32"/>
        <v>157171.67</v>
      </c>
      <c r="I50" s="166">
        <f t="shared" si="32"/>
        <v>226205.97</v>
      </c>
      <c r="J50" s="166">
        <f t="shared" si="32"/>
        <v>0</v>
      </c>
      <c r="K50" s="166">
        <f t="shared" si="32"/>
        <v>211904.73</v>
      </c>
      <c r="L50" s="166">
        <f t="shared" si="32"/>
        <v>117945.9</v>
      </c>
      <c r="M50" s="166">
        <f t="shared" si="32"/>
        <v>115971.89</v>
      </c>
      <c r="N50" s="166">
        <f t="shared" si="32"/>
        <v>189563.22</v>
      </c>
      <c r="O50" s="166">
        <f t="shared" si="32"/>
        <v>120750</v>
      </c>
      <c r="P50" s="166">
        <f t="shared" si="32"/>
        <v>218697.3</v>
      </c>
      <c r="Q50" s="166">
        <f t="shared" si="32"/>
        <v>59938.31</v>
      </c>
      <c r="R50" s="166">
        <f t="shared" si="32"/>
        <v>0</v>
      </c>
      <c r="S50" s="166">
        <f t="shared" si="32"/>
        <v>64477.19</v>
      </c>
      <c r="T50" s="166">
        <f t="shared" si="32"/>
        <v>48589.5</v>
      </c>
      <c r="U50" s="166">
        <f t="shared" si="32"/>
        <v>659664</v>
      </c>
      <c r="V50" s="166">
        <f t="shared" si="32"/>
        <v>5106.61</v>
      </c>
      <c r="W50" s="166">
        <f t="shared" si="32"/>
        <v>0</v>
      </c>
      <c r="X50" s="166">
        <f t="shared" si="32"/>
        <v>0</v>
      </c>
      <c r="Y50" s="166">
        <f t="shared" si="32"/>
        <v>133961.02</v>
      </c>
      <c r="Z50" s="166">
        <f t="shared" si="32"/>
        <v>363285</v>
      </c>
      <c r="AA50" s="166">
        <f t="shared" si="32"/>
        <v>0</v>
      </c>
      <c r="AB50" s="166">
        <f t="shared" si="32"/>
        <v>0</v>
      </c>
      <c r="AC50" s="166">
        <f t="shared" si="32"/>
        <v>0</v>
      </c>
      <c r="AD50" s="166">
        <f t="shared" si="32"/>
        <v>0</v>
      </c>
      <c r="AE50" s="166">
        <f t="shared" si="32"/>
        <v>57434</v>
      </c>
      <c r="AF50" s="166">
        <f t="shared" si="32"/>
        <v>69876</v>
      </c>
      <c r="AG50" s="166">
        <f t="shared" si="32"/>
        <v>17872</v>
      </c>
      <c r="AH50" s="166">
        <f t="shared" si="32"/>
        <v>17314.5</v>
      </c>
      <c r="AI50" s="183">
        <f t="shared" ref="AI50:AI54" si="33">SUM(C50:AH50)</f>
        <v>2862216.86</v>
      </c>
      <c r="AJ50" s="184"/>
      <c r="AK50" s="185"/>
      <c r="AL50" s="231"/>
      <c r="AM50" s="232"/>
      <c r="AN50" s="214"/>
      <c r="AO50" s="233"/>
      <c r="AP50" s="234"/>
      <c r="AQ50" s="216"/>
      <c r="AR50" s="235"/>
      <c r="AS50" s="170"/>
      <c r="AT50" s="171"/>
      <c r="AU50" s="171"/>
      <c r="AV50" s="171"/>
      <c r="AW50" s="171"/>
      <c r="AX50" s="171"/>
      <c r="AY50" s="171"/>
      <c r="AZ50" s="172"/>
    </row>
    <row r="51" ht="24.0" customHeight="1">
      <c r="A51" s="133"/>
      <c r="B51" s="134" t="s">
        <v>160</v>
      </c>
      <c r="C51" s="135">
        <v>0.0</v>
      </c>
      <c r="D51" s="135">
        <v>0.0</v>
      </c>
      <c r="E51" s="135">
        <v>0.0</v>
      </c>
      <c r="F51" s="135">
        <f>+300*136.75+300*136.74+100*136.73+200*136.72</f>
        <v>123064</v>
      </c>
      <c r="G51" s="135">
        <v>0.0</v>
      </c>
      <c r="H51" s="135">
        <v>0.0</v>
      </c>
      <c r="I51" s="135">
        <v>0.0</v>
      </c>
      <c r="J51" s="135">
        <f>+218744.87</f>
        <v>218744.87</v>
      </c>
      <c r="K51" s="135">
        <v>0.0</v>
      </c>
      <c r="L51" s="135">
        <v>0.0</v>
      </c>
      <c r="M51" s="135">
        <f>+33042</f>
        <v>33042</v>
      </c>
      <c r="N51" s="135">
        <f>+100*18.94+150*19.01+100*19.06+100*19.12+200*19.19+100*19.23+300*19.24+100*19.27+100*18.88+100*18.51</f>
        <v>25762.5</v>
      </c>
      <c r="O51" s="135">
        <f>+1000*10.51+1000*10.53+1000*10.57+2000*10.55+1000*10.61+1000*10.63+1000*10.62+1000*10.69</f>
        <v>95260</v>
      </c>
      <c r="P51" s="135">
        <v>0.0</v>
      </c>
      <c r="Q51" s="135">
        <v>0.0</v>
      </c>
      <c r="R51" s="135">
        <v>0.0</v>
      </c>
      <c r="S51" s="135">
        <v>0.0</v>
      </c>
      <c r="T51" s="135">
        <v>0.0</v>
      </c>
      <c r="U51" s="135">
        <v>0.0</v>
      </c>
      <c r="V51" s="135">
        <v>0.0</v>
      </c>
      <c r="W51" s="135">
        <f>+1000*5.07+2000*5.08+1000*5.05</f>
        <v>20280</v>
      </c>
      <c r="X51" s="135">
        <f>+50*71.41+50*71.48+50*71.55+50*71.64+50*71.71+20*71.51+60*71.43+42*71.41+50*71.39</f>
        <v>30174.22</v>
      </c>
      <c r="Y51" s="135">
        <f>+9*71.19+100*71.06+100*71.39+100*72.52+20*72.16+40*72.11+20*72.07+20*71.91+10*71.75+20*71.71+10*71.67+10*71.59+10*71.57+20*71.51+20*71.45+30*71.42+20*71.35</f>
        <v>40073.71</v>
      </c>
      <c r="Z51" s="135">
        <v>0.0</v>
      </c>
      <c r="AA51" s="135">
        <v>0.0</v>
      </c>
      <c r="AB51" s="135">
        <v>0.0</v>
      </c>
      <c r="AC51" s="135">
        <v>0.0</v>
      </c>
      <c r="AD51" s="135">
        <f>+600*20.21+800*20.22+300*20.23+600*20.24+500*20.27+500*20.32+500*20.11+400*20.04</f>
        <v>84881</v>
      </c>
      <c r="AE51" s="135">
        <f>+1000*20.4</f>
        <v>20400</v>
      </c>
      <c r="AF51" s="135">
        <v>0.0</v>
      </c>
      <c r="AG51" s="135">
        <f>+15*58.1+15*58.15+15*58.2+15*58.25+15*58.28+15*58.3</f>
        <v>5239.2</v>
      </c>
      <c r="AH51" s="135">
        <f>+220*18.89+160*18.92+50*18.93+220*18.94+100*18.97</f>
        <v>14193.3</v>
      </c>
      <c r="AI51" s="151">
        <f t="shared" si="33"/>
        <v>711114.8</v>
      </c>
      <c r="AJ51" s="145"/>
      <c r="AK51" s="175"/>
      <c r="AL51" s="236"/>
      <c r="AM51" s="201"/>
      <c r="AN51" s="218" t="s">
        <v>171</v>
      </c>
      <c r="AO51" s="219"/>
      <c r="AP51" s="237">
        <f>AX73</f>
        <v>0.3864459005</v>
      </c>
      <c r="AQ51" s="221"/>
      <c r="AR51" s="147"/>
      <c r="AS51" s="147"/>
      <c r="AT51" s="147"/>
      <c r="AU51" s="147"/>
      <c r="AV51" s="147"/>
      <c r="AW51" s="147"/>
      <c r="AX51" s="147"/>
      <c r="AY51" s="147"/>
      <c r="AZ51" s="147"/>
    </row>
    <row r="52" ht="24.0" customHeight="1">
      <c r="A52" s="133"/>
      <c r="B52" s="143" t="s">
        <v>161</v>
      </c>
      <c r="C52" s="135">
        <v>0.0</v>
      </c>
      <c r="D52" s="135">
        <f>-19915.18-8943.13</f>
        <v>-28858.31</v>
      </c>
      <c r="E52" s="135">
        <f>+E54-E50</f>
        <v>171438</v>
      </c>
      <c r="F52" s="135">
        <f>-100*136.8</f>
        <v>-13680</v>
      </c>
      <c r="G52" s="135">
        <v>0.0</v>
      </c>
      <c r="H52" s="135">
        <f>-157605.51+2636.94</f>
        <v>-154968.57</v>
      </c>
      <c r="I52" s="135">
        <f>-49000</f>
        <v>-49000</v>
      </c>
      <c r="J52" s="135">
        <v>0.0</v>
      </c>
      <c r="K52" s="135">
        <v>0.0</v>
      </c>
      <c r="L52" s="136">
        <v>-33042.0</v>
      </c>
      <c r="M52" s="135">
        <v>0.0</v>
      </c>
      <c r="N52" s="135">
        <v>0.0</v>
      </c>
      <c r="O52" s="135">
        <f>-3600*10.41-5000*10.44-1000*10.43-4900*10.47-2000*10.48-3000*10.49</f>
        <v>-203839</v>
      </c>
      <c r="P52" s="135">
        <v>0.0</v>
      </c>
      <c r="Q52" s="135">
        <v>0.0</v>
      </c>
      <c r="R52" s="135">
        <v>0.0</v>
      </c>
      <c r="S52" s="135">
        <f>-64655.11+905.11</f>
        <v>-63750</v>
      </c>
      <c r="T52" s="135">
        <v>0.0</v>
      </c>
      <c r="U52" s="135">
        <v>0.0</v>
      </c>
      <c r="V52" s="135">
        <f>-5115.77</f>
        <v>-5115.77</v>
      </c>
      <c r="W52" s="135">
        <v>0.0</v>
      </c>
      <c r="X52" s="135">
        <v>0.0</v>
      </c>
      <c r="Y52" s="135">
        <v>0.0</v>
      </c>
      <c r="Z52" s="135">
        <v>0.0</v>
      </c>
      <c r="AA52" s="135">
        <v>0.0</v>
      </c>
      <c r="AB52" s="135">
        <v>0.0</v>
      </c>
      <c r="AC52" s="135">
        <v>0.0</v>
      </c>
      <c r="AD52" s="135">
        <f>-2100*19.93-1100*19.91-1000*19.9</f>
        <v>-83654</v>
      </c>
      <c r="AE52" s="135">
        <f>-1800*20.07-500*19.89-1000*19.9-300*19.93</f>
        <v>-71950</v>
      </c>
      <c r="AF52" s="135">
        <v>0.0</v>
      </c>
      <c r="AG52" s="135">
        <v>0.0</v>
      </c>
      <c r="AH52" s="135">
        <v>0.0</v>
      </c>
      <c r="AI52" s="151">
        <f t="shared" si="33"/>
        <v>-536419.65</v>
      </c>
      <c r="AJ52" s="145"/>
      <c r="AK52" s="175"/>
      <c r="AL52" s="236"/>
      <c r="AM52" s="201"/>
      <c r="AN52" s="238"/>
      <c r="AO52" s="239"/>
      <c r="AP52" s="240"/>
      <c r="AQ52" s="241"/>
      <c r="AR52" s="242">
        <f>AP47*AP51</f>
        <v>1400237.816</v>
      </c>
      <c r="AS52" s="147"/>
      <c r="AT52" s="147"/>
      <c r="AU52" s="147"/>
      <c r="AV52" s="147"/>
      <c r="AW52" s="147"/>
      <c r="AX52" s="147"/>
      <c r="AY52" s="147"/>
      <c r="AZ52" s="147"/>
    </row>
    <row r="53" ht="24.0" customHeight="1">
      <c r="A53" s="133"/>
      <c r="B53" s="144" t="s">
        <v>162</v>
      </c>
      <c r="C53" s="135">
        <v>0.0</v>
      </c>
      <c r="D53" s="135">
        <v>0.0</v>
      </c>
      <c r="E53" s="135">
        <v>0.0</v>
      </c>
      <c r="F53" s="135">
        <f>-200*137.17-200*137.2</f>
        <v>-54874</v>
      </c>
      <c r="G53" s="135">
        <v>0.0</v>
      </c>
      <c r="H53" s="135">
        <v>0.0</v>
      </c>
      <c r="I53" s="135">
        <v>0.0</v>
      </c>
      <c r="J53" s="135">
        <v>0.0</v>
      </c>
      <c r="K53" s="135">
        <v>0.0</v>
      </c>
      <c r="L53" s="135">
        <v>0.0</v>
      </c>
      <c r="M53" s="135">
        <v>0.0</v>
      </c>
      <c r="N53" s="135">
        <v>0.0</v>
      </c>
      <c r="O53" s="135">
        <v>0.0</v>
      </c>
      <c r="P53" s="135">
        <v>0.0</v>
      </c>
      <c r="Q53" s="135">
        <v>0.0</v>
      </c>
      <c r="R53" s="135">
        <v>0.0</v>
      </c>
      <c r="S53" s="135">
        <v>0.0</v>
      </c>
      <c r="T53" s="135">
        <v>0.0</v>
      </c>
      <c r="U53" s="135">
        <v>0.0</v>
      </c>
      <c r="V53" s="135">
        <v>0.0</v>
      </c>
      <c r="W53" s="135">
        <v>0.0</v>
      </c>
      <c r="X53" s="135">
        <v>0.0</v>
      </c>
      <c r="Y53" s="135">
        <v>0.0</v>
      </c>
      <c r="Z53" s="135">
        <v>0.0</v>
      </c>
      <c r="AA53" s="135">
        <v>0.0</v>
      </c>
      <c r="AB53" s="135">
        <v>0.0</v>
      </c>
      <c r="AC53" s="135">
        <v>0.0</v>
      </c>
      <c r="AD53" s="135">
        <v>0.0</v>
      </c>
      <c r="AE53" s="135">
        <v>0.0</v>
      </c>
      <c r="AF53" s="135">
        <v>0.0</v>
      </c>
      <c r="AG53" s="135">
        <v>0.0</v>
      </c>
      <c r="AH53" s="135">
        <v>0.0</v>
      </c>
      <c r="AI53" s="151">
        <f t="shared" si="33"/>
        <v>-54874</v>
      </c>
      <c r="AJ53" s="145">
        <f>SUM(AI50:AI53)</f>
        <v>2982038.01</v>
      </c>
      <c r="AK53" s="175"/>
      <c r="AL53" s="243"/>
      <c r="AM53" s="244"/>
      <c r="AN53" s="245"/>
      <c r="AO53" s="246"/>
      <c r="AP53" s="247"/>
      <c r="AQ53" s="147"/>
      <c r="AR53" s="147"/>
      <c r="AS53" s="147"/>
      <c r="AT53" s="147"/>
      <c r="AU53" s="147"/>
      <c r="AV53" s="147"/>
      <c r="AW53" s="147"/>
      <c r="AX53" s="147"/>
      <c r="AY53" s="147"/>
      <c r="AZ53" s="147"/>
    </row>
    <row r="54" ht="24.0" customHeight="1">
      <c r="A54" s="133"/>
      <c r="B54" s="150" t="s">
        <v>163</v>
      </c>
      <c r="C54" s="135">
        <f>+(19537.87+11782.3)*0+(+11788.87+19548.62)*0+(11808.2+19581.37)*0+(19592.26+11814.59)*0+(11820.98+19603.08)*0+(19613.88+11827.49)*0+(19668.06+11860.89)*0+(+19679.03+11867.67)*0+(19690.06+11874.63)*0+(19712.48+11888.11)*0+(19734.35+11901.32)*0+(19745.29+11907.94)*0+(+19756.22+11914.45)*0+(19767.11+11920.91)*0+(19778+11927.44)*0+(11934.05+19788.9)</f>
        <v>31722.95</v>
      </c>
      <c r="D54" s="135">
        <f>+169359.68*0+169454.02*0+169644.35*0+169740.9*0+169835.78*0+169929.65*0+141110.3*0+141510.21*0+141597.77*0+141681.23*0+141843.23*0+142003.08*0+142082.22*0+142159.14*0+142236.59*0+142312.56*0+142344.16</f>
        <v>142344.16</v>
      </c>
      <c r="E54" s="135">
        <f>+(-10050-62288)*0+((-75652.18+46202+4006-159841+23761+85910)+(-23534.33-39933-89730.34))*0+((-28024-48473*0)+(-23431-39933-89730.34)*0+27598)*0+((-28024+27598)+(-8461))*0+((-27836+3185)+(+9008+5438))*0+((+3951.93+8673)+(+5438+9008))*0+(-91655+10405-71824)*0+(-48080.74+43648)*0+(+183205.06-47304)*0+(-57343+249319+4140)*0+(+253095-57395.28)*0+(245842-57343)*0+(+37585+84146)*0+(-8853+23422+7867-7414)*0+(+22381-7414)*0+((-32578+2235+6325-25892)+(+1745+2356+3224))*0+((-30242-25900)+(+6673+1554))*0+((-30981-25900)+(+6673))*0+((-3981)+(-52761+6673+800))*0+((-3938+54973)+(-4326-39415+238))*0+((-1847+920)+(9238+673))*0+((-23978+4362+920)+(+673+1162+584+9238))*0+((-19693+920)+(+673+1162+584+9238))*0+(-130190)</f>
        <v>-130190</v>
      </c>
      <c r="F54" s="135">
        <f>+(+900-100-400)*137.27</f>
        <v>54908</v>
      </c>
      <c r="G54" s="135">
        <f>+107606.26*0+107847.13*0+107906.74*0+107966.48*0+108026.26*0+108386.51*0+108807.77*0+108987.13</f>
        <v>108987.13</v>
      </c>
      <c r="H54" s="135">
        <f>+157258.33*0+157518.57*0+157605.51*0+154968.57*0</f>
        <v>0</v>
      </c>
      <c r="I54" s="135">
        <f>+226717.21*0+(226849.22-49000)*0+177887.38*0+178558.45*0+178681.59*0+179295.42*0+179489*0+179585.01</f>
        <v>179585.01</v>
      </c>
      <c r="J54" s="135">
        <f>+218876.75*0+218998.46*0+219729.67*0+220578.87*0+220947.13</f>
        <v>220947.13</v>
      </c>
      <c r="K54" s="135">
        <f>+212372.42*0+212489.5*0+212606.65*0+213428.49*0+213546.16*0+214253.51*0+214371*0+214608.07</f>
        <v>214608.07</v>
      </c>
      <c r="L54" s="135">
        <f>+118285.35*0+117832.39*0+120000*0+119265.06*0+119757.37*0+119922.89*0+86880*0+87277*0+87625*0+87154</f>
        <v>87154</v>
      </c>
      <c r="M54" s="135">
        <f>+115971.89+33042</f>
        <v>149013.89</v>
      </c>
      <c r="N54" s="135">
        <f>+(+9306+1150+100+100)*18.55</f>
        <v>197668.8</v>
      </c>
      <c r="O54" s="135">
        <f>+(+10500+9000-9600-9900)*10.41</f>
        <v>0</v>
      </c>
      <c r="P54" s="135">
        <f>+218779.68*0+219027.03*0+219192.08*0+219357.26*0+219905.51*0+220582.64*0+220775.95*0+220872.66</f>
        <v>220872.66</v>
      </c>
      <c r="Q54" s="135">
        <f>+60238.9*0+60238.73*0+60224.1*0+60245.6*0+59527.94*0+59572.16*0+59740.08*0+59810.91*0+59818.84*0+59836.45*0+59905.89*0+59993.63*0+59956.26</f>
        <v>59956.26</v>
      </c>
      <c r="R54" s="135">
        <v>0.0</v>
      </c>
      <c r="S54" s="135">
        <f>+64512.73*0+64619.52*0+64655.11*0+63700*0</f>
        <v>0</v>
      </c>
      <c r="T54" s="135">
        <f>+870*58.18</f>
        <v>50616.6</v>
      </c>
      <c r="U54" s="135">
        <f>+12216*53.71</f>
        <v>656121.36</v>
      </c>
      <c r="V54" s="135">
        <f>+5115.77*0</f>
        <v>0</v>
      </c>
      <c r="W54" s="135">
        <f>+4000*5.04</f>
        <v>20160</v>
      </c>
      <c r="X54" s="135">
        <f>+(+172+250)*71.99</f>
        <v>30379.78</v>
      </c>
      <c r="Y54" s="135">
        <f>+(+1691+209+100+250)*71.99</f>
        <v>161977.5</v>
      </c>
      <c r="Z54" s="135">
        <f>+6900*53.46</f>
        <v>368874</v>
      </c>
      <c r="AA54" s="135">
        <v>0.0</v>
      </c>
      <c r="AB54" s="135">
        <v>0.0</v>
      </c>
      <c r="AC54" s="135">
        <v>0.0</v>
      </c>
      <c r="AD54" s="135">
        <f>+(3300+900-2100-2100)*19.91</f>
        <v>0</v>
      </c>
      <c r="AE54" s="135">
        <f>+(+2600+1000-1800-1800)*19.92</f>
        <v>0</v>
      </c>
      <c r="AF54" s="135">
        <f>+1294*53.71</f>
        <v>69500.74</v>
      </c>
      <c r="AG54" s="135">
        <f>+(+320+90)*58.18</f>
        <v>23853.8</v>
      </c>
      <c r="AH54" s="135">
        <f>+(+850+750)*18.55</f>
        <v>29680</v>
      </c>
      <c r="AI54" s="151">
        <f t="shared" si="33"/>
        <v>2948741.84</v>
      </c>
      <c r="AJ54" s="145">
        <f>AJ53-AI54</f>
        <v>33296.17</v>
      </c>
      <c r="AK54" s="175"/>
      <c r="AL54" s="243"/>
      <c r="AM54" s="248"/>
      <c r="AN54" s="203"/>
      <c r="AO54" s="249"/>
      <c r="AP54" s="250"/>
      <c r="AQ54" s="147"/>
      <c r="AR54" s="147"/>
      <c r="AS54" s="147"/>
      <c r="AT54" s="147"/>
      <c r="AU54" s="147"/>
      <c r="AV54" s="147"/>
      <c r="AW54" s="147"/>
      <c r="AX54" s="147"/>
      <c r="AY54" s="147"/>
      <c r="AZ54" s="147"/>
    </row>
    <row r="55" ht="24.0" customHeight="1">
      <c r="A55" s="133"/>
      <c r="B55" s="153" t="s">
        <v>165</v>
      </c>
      <c r="C55" s="154">
        <f t="shared" ref="C55:AI55" si="34">IFERROR(IF(C54=0,(-C52/C50)-1,C56),"")</f>
        <v>0.01342115074</v>
      </c>
      <c r="D55" s="154">
        <f t="shared" si="34"/>
        <v>0.01378909444</v>
      </c>
      <c r="E55" s="154">
        <f t="shared" si="34"/>
        <v>0</v>
      </c>
      <c r="F55" s="154">
        <f t="shared" si="34"/>
        <v>0.007301412585</v>
      </c>
      <c r="G55" s="154">
        <f t="shared" si="34"/>
        <v>0.01339211702</v>
      </c>
      <c r="H55" s="154">
        <f t="shared" si="34"/>
        <v>-0.01401715716</v>
      </c>
      <c r="I55" s="154">
        <f t="shared" si="34"/>
        <v>0.01342528133</v>
      </c>
      <c r="J55" s="154">
        <f t="shared" si="34"/>
        <v>0.01006771039</v>
      </c>
      <c r="K55" s="154">
        <f t="shared" si="34"/>
        <v>0.01275733675</v>
      </c>
      <c r="L55" s="154">
        <f t="shared" si="34"/>
        <v>0.02650172725</v>
      </c>
      <c r="M55" s="154">
        <f t="shared" si="34"/>
        <v>0</v>
      </c>
      <c r="N55" s="154">
        <f t="shared" si="34"/>
        <v>-0.08200097973</v>
      </c>
      <c r="O55" s="154">
        <f t="shared" si="34"/>
        <v>0.6881076605</v>
      </c>
      <c r="P55" s="154">
        <f t="shared" si="34"/>
        <v>0.009946899207</v>
      </c>
      <c r="Q55" s="154">
        <f t="shared" si="34"/>
        <v>0.0002994745764</v>
      </c>
      <c r="R55" s="154" t="str">
        <f t="shared" si="34"/>
        <v/>
      </c>
      <c r="S55" s="154">
        <f t="shared" si="34"/>
        <v>-0.01127825205</v>
      </c>
      <c r="T55" s="154">
        <f t="shared" si="34"/>
        <v>0.04171888988</v>
      </c>
      <c r="U55" s="154">
        <f t="shared" si="34"/>
        <v>-0.00537037037</v>
      </c>
      <c r="V55" s="154">
        <f t="shared" si="34"/>
        <v>0.001793753586</v>
      </c>
      <c r="W55" s="154">
        <f t="shared" si="34"/>
        <v>-0.005917159763</v>
      </c>
      <c r="X55" s="154">
        <f t="shared" si="34"/>
        <v>0.006812437902</v>
      </c>
      <c r="Y55" s="154">
        <f t="shared" si="34"/>
        <v>-0.06928059704</v>
      </c>
      <c r="Z55" s="154">
        <f t="shared" si="34"/>
        <v>0.01538461538</v>
      </c>
      <c r="AA55" s="154" t="str">
        <f t="shared" si="34"/>
        <v/>
      </c>
      <c r="AB55" s="154" t="str">
        <f t="shared" si="34"/>
        <v/>
      </c>
      <c r="AC55" s="154" t="str">
        <f t="shared" si="34"/>
        <v/>
      </c>
      <c r="AD55" s="154" t="str">
        <f t="shared" si="34"/>
        <v/>
      </c>
      <c r="AE55" s="154">
        <f t="shared" si="34"/>
        <v>0.2527422781</v>
      </c>
      <c r="AF55" s="154">
        <f t="shared" si="34"/>
        <v>-0.00537037037</v>
      </c>
      <c r="AG55" s="154">
        <f t="shared" si="34"/>
        <v>0.03213160719</v>
      </c>
      <c r="AH55" s="154">
        <f t="shared" si="34"/>
        <v>-0.05801103219</v>
      </c>
      <c r="AI55" s="155">
        <f t="shared" si="34"/>
        <v>-0.01116557532</v>
      </c>
      <c r="AJ55" s="145">
        <f>AI54*AI55</f>
        <v>-32924.39911</v>
      </c>
      <c r="AK55" s="175"/>
      <c r="AL55" s="243"/>
      <c r="AM55" s="248"/>
      <c r="AN55" s="203"/>
      <c r="AO55" s="147"/>
      <c r="AP55" s="147"/>
      <c r="AQ55" s="147"/>
      <c r="AR55" s="147"/>
      <c r="AS55" s="147"/>
      <c r="AT55" s="147"/>
      <c r="AU55" s="147"/>
      <c r="AV55" s="147"/>
      <c r="AW55" s="147"/>
      <c r="AX55" s="147"/>
      <c r="AY55" s="147"/>
      <c r="AZ55" s="147"/>
    </row>
    <row r="56" ht="24.0" hidden="1" customHeight="1">
      <c r="A56" s="133"/>
      <c r="B56" s="156" t="s">
        <v>166</v>
      </c>
      <c r="C56" s="180">
        <f t="shared" ref="C56:AI56" si="35">IFERROR(IF(AND(C50&lt;&gt;0,C54=""),"",(C54/(C50+C51+C52+C53))-1),"")</f>
        <v>0.01342115074</v>
      </c>
      <c r="D56" s="180">
        <f t="shared" si="35"/>
        <v>0.01378909444</v>
      </c>
      <c r="E56" s="180">
        <f t="shared" si="35"/>
        <v>0</v>
      </c>
      <c r="F56" s="180">
        <f t="shared" si="35"/>
        <v>0.007301412585</v>
      </c>
      <c r="G56" s="180">
        <f t="shared" si="35"/>
        <v>0.01339211702</v>
      </c>
      <c r="H56" s="180">
        <f t="shared" si="35"/>
        <v>-1</v>
      </c>
      <c r="I56" s="180">
        <f t="shared" si="35"/>
        <v>0.01342528133</v>
      </c>
      <c r="J56" s="180">
        <f t="shared" si="35"/>
        <v>0.01006771039</v>
      </c>
      <c r="K56" s="180">
        <f t="shared" si="35"/>
        <v>0.01275733675</v>
      </c>
      <c r="L56" s="180">
        <f t="shared" si="35"/>
        <v>0.02650172725</v>
      </c>
      <c r="M56" s="180">
        <f t="shared" si="35"/>
        <v>0</v>
      </c>
      <c r="N56" s="180">
        <f t="shared" si="35"/>
        <v>-0.08200097973</v>
      </c>
      <c r="O56" s="180">
        <f t="shared" si="35"/>
        <v>-1</v>
      </c>
      <c r="P56" s="180">
        <f t="shared" si="35"/>
        <v>0.009946899207</v>
      </c>
      <c r="Q56" s="180">
        <f t="shared" si="35"/>
        <v>0.0002994745764</v>
      </c>
      <c r="R56" s="180" t="str">
        <f t="shared" si="35"/>
        <v/>
      </c>
      <c r="S56" s="180">
        <f t="shared" si="35"/>
        <v>-1</v>
      </c>
      <c r="T56" s="180">
        <f t="shared" si="35"/>
        <v>0.04171888988</v>
      </c>
      <c r="U56" s="180">
        <f t="shared" si="35"/>
        <v>-0.00537037037</v>
      </c>
      <c r="V56" s="180">
        <f t="shared" si="35"/>
        <v>-1</v>
      </c>
      <c r="W56" s="180">
        <f t="shared" si="35"/>
        <v>-0.005917159763</v>
      </c>
      <c r="X56" s="180">
        <f t="shared" si="35"/>
        <v>0.006812437902</v>
      </c>
      <c r="Y56" s="180">
        <f t="shared" si="35"/>
        <v>-0.06928059704</v>
      </c>
      <c r="Z56" s="180">
        <f t="shared" si="35"/>
        <v>0.01538461538</v>
      </c>
      <c r="AA56" s="180" t="str">
        <f t="shared" si="35"/>
        <v/>
      </c>
      <c r="AB56" s="180" t="str">
        <f t="shared" si="35"/>
        <v/>
      </c>
      <c r="AC56" s="180" t="str">
        <f t="shared" si="35"/>
        <v/>
      </c>
      <c r="AD56" s="180">
        <f t="shared" si="35"/>
        <v>-1</v>
      </c>
      <c r="AE56" s="180">
        <f t="shared" si="35"/>
        <v>-1</v>
      </c>
      <c r="AF56" s="180">
        <f t="shared" si="35"/>
        <v>-0.00537037037</v>
      </c>
      <c r="AG56" s="180">
        <f t="shared" si="35"/>
        <v>0.03213160719</v>
      </c>
      <c r="AH56" s="180">
        <f t="shared" si="35"/>
        <v>-0.05801103219</v>
      </c>
      <c r="AI56" s="181">
        <f t="shared" si="35"/>
        <v>-0.01116557532</v>
      </c>
      <c r="AJ56" s="145"/>
      <c r="AK56" s="175"/>
      <c r="AL56" s="251"/>
      <c r="AM56" s="252"/>
      <c r="AN56" s="228"/>
      <c r="AO56" s="147"/>
      <c r="AP56" s="147"/>
      <c r="AQ56" s="147"/>
      <c r="AR56" s="147"/>
      <c r="AS56" s="147"/>
      <c r="AT56" s="147"/>
      <c r="AU56" s="147"/>
      <c r="AV56" s="147"/>
      <c r="AW56" s="147"/>
      <c r="AX56" s="147"/>
      <c r="AY56" s="147"/>
      <c r="AZ56" s="147"/>
    </row>
    <row r="57" ht="24.0" customHeight="1">
      <c r="A57" s="158"/>
      <c r="B57" s="159" t="s">
        <v>167</v>
      </c>
      <c r="C57" s="160">
        <f t="shared" ref="C57:AI57" si="36">IFERROR(C54/$AI$54,"")</f>
        <v>0.01075813066</v>
      </c>
      <c r="D57" s="160">
        <f t="shared" si="36"/>
        <v>0.04827284575</v>
      </c>
      <c r="E57" s="160">
        <f t="shared" si="36"/>
        <v>-0.04415103358</v>
      </c>
      <c r="F57" s="160">
        <f t="shared" si="36"/>
        <v>0.01862082304</v>
      </c>
      <c r="G57" s="160">
        <f t="shared" si="36"/>
        <v>0.03696055332</v>
      </c>
      <c r="H57" s="160">
        <f t="shared" si="36"/>
        <v>0</v>
      </c>
      <c r="I57" s="160">
        <f t="shared" si="36"/>
        <v>0.06090224908</v>
      </c>
      <c r="J57" s="160">
        <f t="shared" si="36"/>
        <v>0.07492928916</v>
      </c>
      <c r="K57" s="160">
        <f t="shared" si="36"/>
        <v>0.07277953841</v>
      </c>
      <c r="L57" s="160">
        <f t="shared" si="36"/>
        <v>0.02955633444</v>
      </c>
      <c r="M57" s="160">
        <f t="shared" si="36"/>
        <v>0.05053473586</v>
      </c>
      <c r="N57" s="160">
        <f t="shared" si="36"/>
        <v>0.06703496295</v>
      </c>
      <c r="O57" s="160">
        <f t="shared" si="36"/>
        <v>0</v>
      </c>
      <c r="P57" s="160">
        <f t="shared" si="36"/>
        <v>0.07490403433</v>
      </c>
      <c r="Q57" s="160">
        <f t="shared" si="36"/>
        <v>0.02033282778</v>
      </c>
      <c r="R57" s="160">
        <f t="shared" si="36"/>
        <v>0</v>
      </c>
      <c r="S57" s="160">
        <f t="shared" si="36"/>
        <v>0</v>
      </c>
      <c r="T57" s="160">
        <f t="shared" si="36"/>
        <v>0.01716549049</v>
      </c>
      <c r="U57" s="160">
        <f t="shared" si="36"/>
        <v>0.2225089193</v>
      </c>
      <c r="V57" s="160">
        <f t="shared" si="36"/>
        <v>0</v>
      </c>
      <c r="W57" s="160">
        <f t="shared" si="36"/>
        <v>0.006836814172</v>
      </c>
      <c r="X57" s="160">
        <f t="shared" si="36"/>
        <v>0.01030262453</v>
      </c>
      <c r="Y57" s="160">
        <f t="shared" si="36"/>
        <v>0.05493105493</v>
      </c>
      <c r="Z57" s="160">
        <f t="shared" si="36"/>
        <v>0.1250953864</v>
      </c>
      <c r="AA57" s="160">
        <f t="shared" si="36"/>
        <v>0</v>
      </c>
      <c r="AB57" s="160">
        <f t="shared" si="36"/>
        <v>0</v>
      </c>
      <c r="AC57" s="160">
        <f t="shared" si="36"/>
        <v>0</v>
      </c>
      <c r="AD57" s="160">
        <f t="shared" si="36"/>
        <v>0</v>
      </c>
      <c r="AE57" s="160">
        <f t="shared" si="36"/>
        <v>0</v>
      </c>
      <c r="AF57" s="160">
        <f t="shared" si="36"/>
        <v>0.02356962521</v>
      </c>
      <c r="AG57" s="160">
        <f t="shared" si="36"/>
        <v>0.008089484022</v>
      </c>
      <c r="AH57" s="160">
        <f t="shared" si="36"/>
        <v>0.01006530975</v>
      </c>
      <c r="AI57" s="161">
        <f t="shared" si="36"/>
        <v>1</v>
      </c>
      <c r="AJ57" s="162">
        <f>AI54-AI50</f>
        <v>86524.98</v>
      </c>
      <c r="AK57" s="253">
        <f>AI54/AI50-1</f>
        <v>0.03023005741</v>
      </c>
      <c r="AL57" s="243"/>
      <c r="AM57" s="244"/>
      <c r="AN57" s="217"/>
      <c r="AO57" s="147"/>
      <c r="AP57" s="147"/>
      <c r="AQ57" s="147"/>
      <c r="AR57" s="147"/>
      <c r="AS57" s="147"/>
      <c r="AT57" s="147"/>
      <c r="AU57" s="147"/>
      <c r="AV57" s="147"/>
      <c r="AW57" s="147"/>
      <c r="AX57" s="147"/>
      <c r="AY57" s="147"/>
      <c r="AZ57" s="147"/>
    </row>
    <row r="58" ht="24.0" customHeight="1">
      <c r="A58" s="164">
        <v>45870.0</v>
      </c>
      <c r="B58" s="165" t="s">
        <v>168</v>
      </c>
      <c r="C58" s="166">
        <f t="shared" ref="C58:AH58" si="37">IF(C62="","",C54)</f>
        <v>31722.95</v>
      </c>
      <c r="D58" s="166">
        <f t="shared" si="37"/>
        <v>142344.16</v>
      </c>
      <c r="E58" s="166">
        <f t="shared" si="37"/>
        <v>-130190</v>
      </c>
      <c r="F58" s="166">
        <f t="shared" si="37"/>
        <v>54908</v>
      </c>
      <c r="G58" s="166">
        <f t="shared" si="37"/>
        <v>108987.13</v>
      </c>
      <c r="H58" s="166">
        <f t="shared" si="37"/>
        <v>0</v>
      </c>
      <c r="I58" s="166">
        <f t="shared" si="37"/>
        <v>179585.01</v>
      </c>
      <c r="J58" s="166">
        <f t="shared" si="37"/>
        <v>220947.13</v>
      </c>
      <c r="K58" s="166">
        <f t="shared" si="37"/>
        <v>214608.07</v>
      </c>
      <c r="L58" s="166">
        <f t="shared" si="37"/>
        <v>87154</v>
      </c>
      <c r="M58" s="166">
        <f t="shared" si="37"/>
        <v>149013.89</v>
      </c>
      <c r="N58" s="166">
        <f t="shared" si="37"/>
        <v>197668.8</v>
      </c>
      <c r="O58" s="166">
        <f t="shared" si="37"/>
        <v>0</v>
      </c>
      <c r="P58" s="166">
        <f t="shared" si="37"/>
        <v>220872.66</v>
      </c>
      <c r="Q58" s="166">
        <f t="shared" si="37"/>
        <v>59956.26</v>
      </c>
      <c r="R58" s="166">
        <f t="shared" si="37"/>
        <v>0</v>
      </c>
      <c r="S58" s="166">
        <f t="shared" si="37"/>
        <v>0</v>
      </c>
      <c r="T58" s="166">
        <f t="shared" si="37"/>
        <v>50616.6</v>
      </c>
      <c r="U58" s="166">
        <f t="shared" si="37"/>
        <v>656121.36</v>
      </c>
      <c r="V58" s="166">
        <f t="shared" si="37"/>
        <v>0</v>
      </c>
      <c r="W58" s="166">
        <f t="shared" si="37"/>
        <v>20160</v>
      </c>
      <c r="X58" s="166">
        <f t="shared" si="37"/>
        <v>30379.78</v>
      </c>
      <c r="Y58" s="166">
        <f t="shared" si="37"/>
        <v>161977.5</v>
      </c>
      <c r="Z58" s="166">
        <f t="shared" si="37"/>
        <v>368874</v>
      </c>
      <c r="AA58" s="166">
        <f t="shared" si="37"/>
        <v>0</v>
      </c>
      <c r="AB58" s="166">
        <f t="shared" si="37"/>
        <v>0</v>
      </c>
      <c r="AC58" s="166">
        <f t="shared" si="37"/>
        <v>0</v>
      </c>
      <c r="AD58" s="166">
        <f t="shared" si="37"/>
        <v>0</v>
      </c>
      <c r="AE58" s="166">
        <f t="shared" si="37"/>
        <v>0</v>
      </c>
      <c r="AF58" s="166">
        <f t="shared" si="37"/>
        <v>69500.74</v>
      </c>
      <c r="AG58" s="166">
        <f t="shared" si="37"/>
        <v>23853.8</v>
      </c>
      <c r="AH58" s="166">
        <f t="shared" si="37"/>
        <v>29680</v>
      </c>
      <c r="AI58" s="183">
        <f t="shared" ref="AI58:AI62" si="38">SUM(C58:AH58)</f>
        <v>2948741.84</v>
      </c>
      <c r="AJ58" s="184"/>
      <c r="AK58" s="185"/>
      <c r="AL58" s="254"/>
      <c r="AM58" s="248"/>
      <c r="AN58" s="210"/>
      <c r="AO58" s="171"/>
      <c r="AP58" s="171"/>
      <c r="AQ58" s="171"/>
      <c r="AR58" s="171"/>
      <c r="AS58" s="171"/>
      <c r="AT58" s="171"/>
      <c r="AU58" s="171"/>
      <c r="AV58" s="171"/>
      <c r="AW58" s="171"/>
      <c r="AX58" s="171"/>
      <c r="AY58" s="171"/>
      <c r="AZ58" s="172"/>
    </row>
    <row r="59" ht="24.0" customHeight="1">
      <c r="A59" s="133"/>
      <c r="B59" s="134" t="s">
        <v>160</v>
      </c>
      <c r="C59" s="135">
        <v>0.0</v>
      </c>
      <c r="D59" s="135">
        <v>0.0</v>
      </c>
      <c r="E59" s="135">
        <v>0.0</v>
      </c>
      <c r="F59" s="135">
        <v>0.0</v>
      </c>
      <c r="G59" s="135">
        <v>0.0</v>
      </c>
      <c r="H59" s="135">
        <v>0.0</v>
      </c>
      <c r="I59" s="135">
        <v>0.0</v>
      </c>
      <c r="J59" s="135">
        <v>0.0</v>
      </c>
      <c r="K59" s="135">
        <v>0.0</v>
      </c>
      <c r="L59" s="135">
        <f>+12000</f>
        <v>12000</v>
      </c>
      <c r="M59" s="135">
        <f>+17.26*500</f>
        <v>8630</v>
      </c>
      <c r="N59" s="135">
        <f>+100*18.06+50*18.01+100*18+50*17.99+50*17.96+50*17.95+100*17.87+94*17.82+50*17.72+100*17.65</f>
        <v>13314.58</v>
      </c>
      <c r="O59" s="135">
        <v>0.0</v>
      </c>
      <c r="P59" s="135">
        <v>0.0</v>
      </c>
      <c r="Q59" s="135">
        <v>0.0</v>
      </c>
      <c r="R59" s="135">
        <v>0.0</v>
      </c>
      <c r="S59" s="135">
        <v>0.0</v>
      </c>
      <c r="T59" s="135">
        <f>+10*58.82+20*58.81+10*58.78+10*58.72+10*58.67+10*58.62+10*58.59+10*58.51+10*58.46+10*58.33+10*58.27+10*58.21</f>
        <v>7616</v>
      </c>
      <c r="U59" s="135">
        <f>+34*52.85+50*52.87+75*57.28</f>
        <v>8736.4</v>
      </c>
      <c r="V59" s="135">
        <v>0.0</v>
      </c>
      <c r="W59" s="135">
        <f>+2000*5.01+1000*5.02+1000*5.03+1000*5.04+800*5.06+1200*5.07+2800*5.08+3600*5.09+1600*5.01+2000*4.81</f>
        <v>85426</v>
      </c>
      <c r="X59" s="135">
        <f>+8*69.57</f>
        <v>556.56</v>
      </c>
      <c r="Y59" s="135">
        <f>+50*69.04+50*69.17+50*69.31+50*69.41+50*69.48</f>
        <v>17320.5</v>
      </c>
      <c r="Z59" s="135">
        <v>0.0</v>
      </c>
      <c r="AA59" s="135">
        <f>+400*11.01+200*11.02+200*11.03+1000*11.07</f>
        <v>19884</v>
      </c>
      <c r="AB59" s="135">
        <f>+500*35.91+100*35.86+100*35.81+100*35.73+100*35.63+100*35.51</f>
        <v>35809</v>
      </c>
      <c r="AC59" s="135">
        <v>0.0</v>
      </c>
      <c r="AD59" s="135">
        <v>0.0</v>
      </c>
      <c r="AE59" s="135">
        <v>0.0</v>
      </c>
      <c r="AF59" s="135">
        <f>+6*52.85</f>
        <v>317.1</v>
      </c>
      <c r="AG59" s="135">
        <f>+50*59.57</f>
        <v>2978.5</v>
      </c>
      <c r="AH59" s="135">
        <f>+100*17.81+100*17.82+100*17.85+300*17.86</f>
        <v>10706</v>
      </c>
      <c r="AI59" s="151">
        <f t="shared" si="38"/>
        <v>223294.64</v>
      </c>
      <c r="AJ59" s="145"/>
      <c r="AK59" s="146"/>
      <c r="AL59" s="255"/>
      <c r="AM59" s="256"/>
      <c r="AN59" s="3"/>
      <c r="AO59" s="257" t="s">
        <v>172</v>
      </c>
      <c r="AP59" s="147"/>
      <c r="AQ59" s="147"/>
      <c r="AR59" s="147"/>
      <c r="AS59" s="147"/>
      <c r="AT59" s="147"/>
      <c r="AU59" s="147"/>
      <c r="AV59" s="147"/>
      <c r="AW59" s="147"/>
      <c r="AX59" s="147"/>
      <c r="AY59" s="147"/>
      <c r="AZ59" s="147"/>
    </row>
    <row r="60" ht="24.0" customHeight="1">
      <c r="A60" s="133"/>
      <c r="B60" s="143" t="s">
        <v>161</v>
      </c>
      <c r="C60" s="135">
        <v>0.0</v>
      </c>
      <c r="D60" s="135">
        <v>0.0</v>
      </c>
      <c r="E60" s="135">
        <f>+E62-E58</f>
        <v>137934</v>
      </c>
      <c r="F60" s="135">
        <f>-30*137.78-50*137.99-320*138.15</f>
        <v>-55240.9</v>
      </c>
      <c r="G60" s="135">
        <v>0.0</v>
      </c>
      <c r="H60" s="135">
        <v>0.0</v>
      </c>
      <c r="I60" s="135">
        <v>0.0</v>
      </c>
      <c r="J60" s="135">
        <v>0.0</v>
      </c>
      <c r="K60" s="135">
        <v>0.0</v>
      </c>
      <c r="L60" s="136">
        <v>-2170.19</v>
      </c>
      <c r="M60" s="136">
        <v>0.0</v>
      </c>
      <c r="N60" s="135">
        <f>-1000*22.81-1000*22.79-500*22.67-500*22.68-200*23.89-200*23.71-200*23.67-200*23.61-200*23.57</f>
        <v>-91965</v>
      </c>
      <c r="O60" s="135">
        <v>0.0</v>
      </c>
      <c r="P60" s="135">
        <v>0.0</v>
      </c>
      <c r="Q60" s="135">
        <v>0.0</v>
      </c>
      <c r="R60" s="135">
        <v>0.0</v>
      </c>
      <c r="S60" s="135">
        <v>0.0</v>
      </c>
      <c r="T60" s="135">
        <v>0.0</v>
      </c>
      <c r="U60" s="135">
        <f>-200*57.46-100*57.49-100*57.47-75*57.19-75*56.94-100*57.26</f>
        <v>-37273.75</v>
      </c>
      <c r="V60" s="135">
        <v>0.0</v>
      </c>
      <c r="W60" s="135">
        <v>0.0</v>
      </c>
      <c r="X60" s="135">
        <v>0.0</v>
      </c>
      <c r="Y60" s="135">
        <f>-93*74.6-200*74.6</f>
        <v>-21857.8</v>
      </c>
      <c r="Z60" s="135">
        <f>-100*53.03-100*53.05-200*54.8-200*54.5</f>
        <v>-32468</v>
      </c>
      <c r="AA60" s="135">
        <v>0.0</v>
      </c>
      <c r="AB60" s="135">
        <v>0.0</v>
      </c>
      <c r="AC60" s="135">
        <v>0.0</v>
      </c>
      <c r="AD60" s="135">
        <v>0.0</v>
      </c>
      <c r="AE60" s="135">
        <v>0.0</v>
      </c>
      <c r="AF60" s="135">
        <v>0.0</v>
      </c>
      <c r="AG60" s="135">
        <v>0.0</v>
      </c>
      <c r="AH60" s="135">
        <v>0.0</v>
      </c>
      <c r="AI60" s="151">
        <f t="shared" si="38"/>
        <v>-103041.64</v>
      </c>
      <c r="AJ60" s="145"/>
      <c r="AK60" s="146"/>
      <c r="AL60" s="147"/>
      <c r="AM60" s="147"/>
      <c r="AN60" s="147"/>
      <c r="AO60" s="147"/>
      <c r="AP60" s="147"/>
      <c r="AQ60" s="147"/>
      <c r="AR60" s="147"/>
      <c r="AS60" s="147"/>
      <c r="AT60" s="147"/>
      <c r="AU60" s="147"/>
      <c r="AV60" s="147"/>
      <c r="AW60" s="147"/>
      <c r="AX60" s="147"/>
      <c r="AY60" s="147"/>
      <c r="AZ60" s="147"/>
    </row>
    <row r="61" ht="24.0" customHeight="1">
      <c r="A61" s="133"/>
      <c r="B61" s="144" t="s">
        <v>162</v>
      </c>
      <c r="C61" s="135">
        <v>0.0</v>
      </c>
      <c r="D61" s="135">
        <v>0.0</v>
      </c>
      <c r="E61" s="135">
        <v>0.0</v>
      </c>
      <c r="F61" s="135">
        <v>0.0</v>
      </c>
      <c r="G61" s="135">
        <v>0.0</v>
      </c>
      <c r="H61" s="135">
        <v>0.0</v>
      </c>
      <c r="I61" s="135">
        <v>0.0</v>
      </c>
      <c r="J61" s="135">
        <v>0.0</v>
      </c>
      <c r="K61" s="135">
        <v>0.0</v>
      </c>
      <c r="L61" s="135">
        <v>0.0</v>
      </c>
      <c r="M61" s="135">
        <v>0.0</v>
      </c>
      <c r="N61" s="135">
        <v>0.0</v>
      </c>
      <c r="O61" s="135">
        <v>0.0</v>
      </c>
      <c r="P61" s="135">
        <v>0.0</v>
      </c>
      <c r="Q61" s="135">
        <v>0.0</v>
      </c>
      <c r="R61" s="135">
        <v>0.0</v>
      </c>
      <c r="S61" s="135">
        <v>0.0</v>
      </c>
      <c r="T61" s="135">
        <f>-47.41</f>
        <v>-47.41</v>
      </c>
      <c r="U61" s="135">
        <v>0.0</v>
      </c>
      <c r="V61" s="135">
        <v>0.0</v>
      </c>
      <c r="W61" s="135">
        <v>0.0</v>
      </c>
      <c r="X61" s="135">
        <v>0.0</v>
      </c>
      <c r="Y61" s="135">
        <v>0.0</v>
      </c>
      <c r="Z61" s="135">
        <v>0.0</v>
      </c>
      <c r="AA61" s="135">
        <v>0.0</v>
      </c>
      <c r="AB61" s="135">
        <v>0.0</v>
      </c>
      <c r="AC61" s="135">
        <v>0.0</v>
      </c>
      <c r="AD61" s="135">
        <v>0.0</v>
      </c>
      <c r="AE61" s="135">
        <v>0.0</v>
      </c>
      <c r="AF61" s="135">
        <v>0.0</v>
      </c>
      <c r="AG61" s="135">
        <f>-21.81</f>
        <v>-21.81</v>
      </c>
      <c r="AH61" s="135">
        <v>0.0</v>
      </c>
      <c r="AI61" s="151">
        <f t="shared" si="38"/>
        <v>-69.22</v>
      </c>
      <c r="AJ61" s="145">
        <f>SUM(AI58:AI61)</f>
        <v>3068925.62</v>
      </c>
      <c r="AK61" s="146"/>
      <c r="AL61" s="147"/>
      <c r="AM61" s="147"/>
      <c r="AN61" s="147"/>
      <c r="AO61" s="147"/>
      <c r="AP61" s="147"/>
      <c r="AQ61" s="147"/>
      <c r="AR61" s="147"/>
      <c r="AS61" s="147"/>
      <c r="AT61" s="147"/>
      <c r="AU61" s="147"/>
      <c r="AV61" s="147"/>
      <c r="AW61" s="147"/>
      <c r="AX61" s="147"/>
      <c r="AY61" s="147"/>
      <c r="AZ61" s="147"/>
    </row>
    <row r="62" ht="24.0" customHeight="1">
      <c r="A62" s="133"/>
      <c r="B62" s="150" t="s">
        <v>163</v>
      </c>
      <c r="C62" s="135">
        <f>+(19799.81+11940.57)*0+(11953.78+19821.59)*0+(12013.86+19920.65)*0+(20008.99+12067.18)</f>
        <v>32076.17</v>
      </c>
      <c r="D62" s="136">
        <f>+142471.14*0+142629.33*0+143433.37*0+(50022.47+82.83+7929.86+85947.24)</f>
        <v>143982.4</v>
      </c>
      <c r="E62" s="135">
        <f>+((-118190+7398)+(-19933+544+7782))*0+((-38846-77755)+10868)*0+((+11174+2408)+(-38846-77755))*0+((2408)+(-89055+453-22613-6000))*0+((-11214-5409+2330)+(-89055-22613+6050))*0+((-2672.47-300)+(-36437-89347))*0+((-34437-90000)+(+4400))*0+((+49683+1873)+(-71891-38437-21389))*0+((-9775+33146)+(-38437-88891))*0+((+9776.46)+(-38437-88891))*0+((7094+9349)+(-9389-38437-88891))*0+((+7355+3735)+(-85878-5489-38437))*0+(-84043+2918)*0+(+47126-84043)*0+((-84294.96+47002)+(-22889+6941))*0+((+23303)+(-22889))*0+((+60503)+(-22889-37921))*0+(53365)*0+(+4089-22000)*0+((126+4927)+(1110+966+615))</f>
        <v>7744</v>
      </c>
      <c r="F62" s="135">
        <f>+(+400-30-50-320)*138.15</f>
        <v>0</v>
      </c>
      <c r="G62" s="135">
        <f>+109047.67*0+109169.21*0+109228*0+109775.62*0+110198.51</f>
        <v>110198.51</v>
      </c>
      <c r="H62" s="135">
        <v>0.0</v>
      </c>
      <c r="I62" s="135">
        <f>+179670.99*0+179892.14*0+179992.73*0+180193*0+180853.83*0+181601.94</f>
        <v>181601.94</v>
      </c>
      <c r="J62" s="135">
        <f>+221068.41*0+221311.65*0+221433*0+221676*0+222535.77*0+223389.69</f>
        <v>223389.69</v>
      </c>
      <c r="K62" s="135">
        <f>+214726.38*0+214963.21*0+215081.72*0+215318*0+215437*0+217106.44</f>
        <v>217106.44</v>
      </c>
      <c r="L62" s="135">
        <f>+85820*0+85386.383*0+96508*0+96648*0+97476*0+95224</f>
        <v>95224</v>
      </c>
      <c r="M62" s="135">
        <f>+149013.89+8630</f>
        <v>157643.89</v>
      </c>
      <c r="N62" s="135">
        <f>+(+10656+744-3000-1000)*22.13</f>
        <v>163762</v>
      </c>
      <c r="O62" s="135">
        <v>0.0</v>
      </c>
      <c r="P62" s="135">
        <f>+220969.42*0+221163.06*0+221259.94*0+221453*0+221817.66*0+222205.9</f>
        <v>222205.9</v>
      </c>
      <c r="Q62" s="135">
        <f>+60020.41*0+60070.8*0+60373.86*0+60534.56</f>
        <v>60534.56</v>
      </c>
      <c r="R62" s="135">
        <v>0.0</v>
      </c>
      <c r="S62" s="135">
        <v>0.0</v>
      </c>
      <c r="T62" s="135">
        <f>+(+870+130)*62.4</f>
        <v>62400</v>
      </c>
      <c r="U62" s="135">
        <f>+(+12216+84-400+75-250)*56.62</f>
        <v>663869.5</v>
      </c>
      <c r="V62" s="135">
        <v>0.0</v>
      </c>
      <c r="W62" s="135">
        <f>+(+4000+15000+2000)*5.2</f>
        <v>109200</v>
      </c>
      <c r="X62" s="135">
        <f>+(+422+8)*74.08</f>
        <v>31854.4</v>
      </c>
      <c r="Y62" s="135">
        <f>+(+2250+250-93-200)*74.08</f>
        <v>163494.56</v>
      </c>
      <c r="Z62" s="135">
        <f>+(+6900-200-400)*55.56</f>
        <v>350028</v>
      </c>
      <c r="AA62" s="135">
        <f>+1800*12.02</f>
        <v>21636</v>
      </c>
      <c r="AB62" s="135">
        <f>+(+800+200)*37.66</f>
        <v>37660</v>
      </c>
      <c r="AC62" s="135">
        <v>0.0</v>
      </c>
      <c r="AD62" s="135">
        <v>0.0</v>
      </c>
      <c r="AE62" s="135">
        <v>0.0</v>
      </c>
      <c r="AF62" s="135">
        <f>+(+1294+6)*56.62</f>
        <v>73606</v>
      </c>
      <c r="AG62" s="135">
        <f>+(+410+50)*62.4</f>
        <v>28704</v>
      </c>
      <c r="AH62" s="135">
        <f>+(1600+600)*22.13</f>
        <v>48686</v>
      </c>
      <c r="AI62" s="151">
        <f t="shared" si="38"/>
        <v>3206607.96</v>
      </c>
      <c r="AJ62" s="145">
        <f>AJ61-AI62</f>
        <v>-137682.34</v>
      </c>
      <c r="AK62" s="146"/>
      <c r="AL62" s="172"/>
      <c r="AM62" s="147"/>
      <c r="AN62" s="147"/>
      <c r="AO62" s="147"/>
      <c r="AP62" s="147"/>
      <c r="AQ62" s="147"/>
      <c r="AR62" s="147"/>
      <c r="AS62" s="147"/>
      <c r="AT62" s="147"/>
      <c r="AU62" s="147"/>
      <c r="AV62" s="147"/>
      <c r="AW62" s="147"/>
      <c r="AX62" s="147"/>
      <c r="AY62" s="147"/>
      <c r="AZ62" s="147"/>
    </row>
    <row r="63" ht="24.0" customHeight="1">
      <c r="A63" s="133"/>
      <c r="B63" s="153" t="s">
        <v>165</v>
      </c>
      <c r="C63" s="154">
        <f t="shared" ref="C63:AI63" si="39">IFERROR(IF(C62=0,(-C60/C58)-1,C64),"")</f>
        <v>0.01113452564</v>
      </c>
      <c r="D63" s="154">
        <f t="shared" si="39"/>
        <v>0.01150900746</v>
      </c>
      <c r="E63" s="154">
        <f t="shared" si="39"/>
        <v>0</v>
      </c>
      <c r="F63" s="154">
        <f t="shared" si="39"/>
        <v>0.006062868799</v>
      </c>
      <c r="G63" s="154">
        <f t="shared" si="39"/>
        <v>0.01111489035</v>
      </c>
      <c r="H63" s="154" t="str">
        <f t="shared" si="39"/>
        <v/>
      </c>
      <c r="I63" s="154">
        <f t="shared" si="39"/>
        <v>0.01123105988</v>
      </c>
      <c r="J63" s="154">
        <f t="shared" si="39"/>
        <v>0.01105495238</v>
      </c>
      <c r="K63" s="154">
        <f t="shared" si="39"/>
        <v>0.01164154731</v>
      </c>
      <c r="L63" s="154">
        <f t="shared" si="39"/>
        <v>-0.01814539973</v>
      </c>
      <c r="M63" s="154">
        <f t="shared" si="39"/>
        <v>0</v>
      </c>
      <c r="N63" s="154">
        <f t="shared" si="39"/>
        <v>0.3759387416</v>
      </c>
      <c r="O63" s="154" t="str">
        <f t="shared" si="39"/>
        <v/>
      </c>
      <c r="P63" s="154">
        <f t="shared" si="39"/>
        <v>0.006036238256</v>
      </c>
      <c r="Q63" s="154">
        <f t="shared" si="39"/>
        <v>0.009645364804</v>
      </c>
      <c r="R63" s="154" t="str">
        <f t="shared" si="39"/>
        <v/>
      </c>
      <c r="S63" s="154" t="str">
        <f t="shared" si="39"/>
        <v/>
      </c>
      <c r="T63" s="154">
        <f t="shared" si="39"/>
        <v>0.07243784888</v>
      </c>
      <c r="U63" s="154">
        <f t="shared" si="39"/>
        <v>0.0578177414</v>
      </c>
      <c r="V63" s="154" t="str">
        <f t="shared" si="39"/>
        <v/>
      </c>
      <c r="W63" s="154">
        <f t="shared" si="39"/>
        <v>0.03422802265</v>
      </c>
      <c r="X63" s="154">
        <f t="shared" si="39"/>
        <v>0.02967577936</v>
      </c>
      <c r="Y63" s="154">
        <f t="shared" si="39"/>
        <v>0.03845498164</v>
      </c>
      <c r="Z63" s="154">
        <f t="shared" si="39"/>
        <v>0.04049273794</v>
      </c>
      <c r="AA63" s="154">
        <f t="shared" si="39"/>
        <v>0.08811104406</v>
      </c>
      <c r="AB63" s="154">
        <f t="shared" si="39"/>
        <v>0.05169091569</v>
      </c>
      <c r="AC63" s="154" t="str">
        <f t="shared" si="39"/>
        <v/>
      </c>
      <c r="AD63" s="154" t="str">
        <f t="shared" si="39"/>
        <v/>
      </c>
      <c r="AE63" s="154" t="str">
        <f t="shared" si="39"/>
        <v/>
      </c>
      <c r="AF63" s="154">
        <f t="shared" si="39"/>
        <v>0.05425776564</v>
      </c>
      <c r="AG63" s="154">
        <f t="shared" si="39"/>
        <v>0.07062571404</v>
      </c>
      <c r="AH63" s="154">
        <f t="shared" si="39"/>
        <v>0.2055167632</v>
      </c>
      <c r="AI63" s="155">
        <f t="shared" si="39"/>
        <v>0.04486336818</v>
      </c>
      <c r="AJ63" s="145">
        <f>AI62*AI63</f>
        <v>143859.2335</v>
      </c>
      <c r="AK63" s="146"/>
      <c r="AL63" s="258"/>
      <c r="AM63" s="259" t="s">
        <v>173</v>
      </c>
      <c r="AN63" s="213"/>
      <c r="AO63" s="147"/>
      <c r="AP63" s="147"/>
      <c r="AQ63" s="147"/>
      <c r="AR63" s="147"/>
      <c r="AS63" s="147"/>
      <c r="AT63" s="147"/>
      <c r="AU63" s="147"/>
      <c r="AV63" s="147"/>
      <c r="AW63" s="147"/>
      <c r="AX63" s="147"/>
      <c r="AY63" s="147"/>
      <c r="AZ63" s="147"/>
    </row>
    <row r="64" ht="24.0" hidden="1" customHeight="1">
      <c r="A64" s="133"/>
      <c r="B64" s="156" t="s">
        <v>166</v>
      </c>
      <c r="C64" s="180">
        <f t="shared" ref="C64:AI64" si="40">IFERROR(IF(AND(C58&lt;&gt;0,C62=""),"",(C62/(C58+C59+C60+C61))-1),"")</f>
        <v>0.01113452564</v>
      </c>
      <c r="D64" s="180">
        <f t="shared" si="40"/>
        <v>0.01150900746</v>
      </c>
      <c r="E64" s="180">
        <f t="shared" si="40"/>
        <v>0</v>
      </c>
      <c r="F64" s="180">
        <f t="shared" si="40"/>
        <v>-1</v>
      </c>
      <c r="G64" s="180">
        <f t="shared" si="40"/>
        <v>0.01111489035</v>
      </c>
      <c r="H64" s="180" t="str">
        <f t="shared" si="40"/>
        <v/>
      </c>
      <c r="I64" s="180">
        <f t="shared" si="40"/>
        <v>0.01123105988</v>
      </c>
      <c r="J64" s="180">
        <f t="shared" si="40"/>
        <v>0.01105495238</v>
      </c>
      <c r="K64" s="180">
        <f t="shared" si="40"/>
        <v>0.01164154731</v>
      </c>
      <c r="L64" s="180">
        <f t="shared" si="40"/>
        <v>-0.01814539973</v>
      </c>
      <c r="M64" s="180">
        <f t="shared" si="40"/>
        <v>0</v>
      </c>
      <c r="N64" s="180">
        <f t="shared" si="40"/>
        <v>0.3759387416</v>
      </c>
      <c r="O64" s="180" t="str">
        <f t="shared" si="40"/>
        <v/>
      </c>
      <c r="P64" s="180">
        <f t="shared" si="40"/>
        <v>0.006036238256</v>
      </c>
      <c r="Q64" s="180">
        <f t="shared" si="40"/>
        <v>0.009645364804</v>
      </c>
      <c r="R64" s="180" t="str">
        <f t="shared" si="40"/>
        <v/>
      </c>
      <c r="S64" s="180" t="str">
        <f t="shared" si="40"/>
        <v/>
      </c>
      <c r="T64" s="180">
        <f t="shared" si="40"/>
        <v>0.07243784888</v>
      </c>
      <c r="U64" s="180">
        <f t="shared" si="40"/>
        <v>0.0578177414</v>
      </c>
      <c r="V64" s="180" t="str">
        <f t="shared" si="40"/>
        <v/>
      </c>
      <c r="W64" s="180">
        <f t="shared" si="40"/>
        <v>0.03422802265</v>
      </c>
      <c r="X64" s="180">
        <f t="shared" si="40"/>
        <v>0.02967577936</v>
      </c>
      <c r="Y64" s="180">
        <f t="shared" si="40"/>
        <v>0.03845498164</v>
      </c>
      <c r="Z64" s="180">
        <f t="shared" si="40"/>
        <v>0.04049273794</v>
      </c>
      <c r="AA64" s="180">
        <f t="shared" si="40"/>
        <v>0.08811104406</v>
      </c>
      <c r="AB64" s="180">
        <f t="shared" si="40"/>
        <v>0.05169091569</v>
      </c>
      <c r="AC64" s="180" t="str">
        <f t="shared" si="40"/>
        <v/>
      </c>
      <c r="AD64" s="180" t="str">
        <f t="shared" si="40"/>
        <v/>
      </c>
      <c r="AE64" s="180" t="str">
        <f t="shared" si="40"/>
        <v/>
      </c>
      <c r="AF64" s="180">
        <f t="shared" si="40"/>
        <v>0.05425776564</v>
      </c>
      <c r="AG64" s="180">
        <f t="shared" si="40"/>
        <v>0.07062571404</v>
      </c>
      <c r="AH64" s="180">
        <f t="shared" si="40"/>
        <v>0.2055167632</v>
      </c>
      <c r="AI64" s="181">
        <f t="shared" si="40"/>
        <v>0.04486336818</v>
      </c>
      <c r="AJ64" s="145"/>
      <c r="AK64" s="146"/>
      <c r="AL64" s="258"/>
      <c r="AN64" s="225"/>
      <c r="AO64" s="147"/>
      <c r="AP64" s="147"/>
      <c r="AQ64" s="147"/>
      <c r="AR64" s="147"/>
      <c r="AS64" s="147"/>
      <c r="AT64" s="147"/>
      <c r="AU64" s="147"/>
      <c r="AV64" s="147"/>
      <c r="AW64" s="147"/>
      <c r="AX64" s="147"/>
      <c r="AY64" s="147"/>
      <c r="AZ64" s="147"/>
    </row>
    <row r="65" ht="24.0" customHeight="1">
      <c r="A65" s="158"/>
      <c r="B65" s="159" t="s">
        <v>167</v>
      </c>
      <c r="C65" s="160">
        <f t="shared" ref="C65:AI65" si="41">IFERROR(C62/$AI$62,"")</f>
        <v>0.01000314675</v>
      </c>
      <c r="D65" s="160">
        <f t="shared" si="41"/>
        <v>0.04490177839</v>
      </c>
      <c r="E65" s="160">
        <f t="shared" si="41"/>
        <v>0.002415013028</v>
      </c>
      <c r="F65" s="160">
        <f t="shared" si="41"/>
        <v>0</v>
      </c>
      <c r="G65" s="160">
        <f t="shared" si="41"/>
        <v>0.03436606887</v>
      </c>
      <c r="H65" s="160">
        <f t="shared" si="41"/>
        <v>0</v>
      </c>
      <c r="I65" s="160">
        <f t="shared" si="41"/>
        <v>0.05663365845</v>
      </c>
      <c r="J65" s="160">
        <f t="shared" si="41"/>
        <v>0.0696654199</v>
      </c>
      <c r="K65" s="160">
        <f t="shared" si="41"/>
        <v>0.06770595056</v>
      </c>
      <c r="L65" s="160">
        <f t="shared" si="41"/>
        <v>0.02969617776</v>
      </c>
      <c r="M65" s="160">
        <f t="shared" si="41"/>
        <v>0.0491621963</v>
      </c>
      <c r="N65" s="160">
        <f t="shared" si="41"/>
        <v>0.05107016575</v>
      </c>
      <c r="O65" s="160">
        <f t="shared" si="41"/>
        <v>0</v>
      </c>
      <c r="P65" s="160">
        <f t="shared" si="41"/>
        <v>0.06929624786</v>
      </c>
      <c r="Q65" s="160">
        <f t="shared" si="41"/>
        <v>0.01887806703</v>
      </c>
      <c r="R65" s="160">
        <f t="shared" si="41"/>
        <v>0</v>
      </c>
      <c r="S65" s="160">
        <f t="shared" si="41"/>
        <v>0</v>
      </c>
      <c r="T65" s="160">
        <f t="shared" si="41"/>
        <v>0.01945981572</v>
      </c>
      <c r="U65" s="160">
        <f t="shared" si="41"/>
        <v>0.2070317009</v>
      </c>
      <c r="V65" s="160">
        <f t="shared" si="41"/>
        <v>0</v>
      </c>
      <c r="W65" s="160">
        <f t="shared" si="41"/>
        <v>0.03405467752</v>
      </c>
      <c r="X65" s="160">
        <f t="shared" si="41"/>
        <v>0.009933986442</v>
      </c>
      <c r="Y65" s="160">
        <f t="shared" si="41"/>
        <v>0.05098676297</v>
      </c>
      <c r="Z65" s="160">
        <f t="shared" si="41"/>
        <v>0.1091583394</v>
      </c>
      <c r="AA65" s="160">
        <f t="shared" si="41"/>
        <v>0.006747316875</v>
      </c>
      <c r="AB65" s="160">
        <f t="shared" si="41"/>
        <v>0.01174449776</v>
      </c>
      <c r="AC65" s="160">
        <f t="shared" si="41"/>
        <v>0</v>
      </c>
      <c r="AD65" s="160">
        <f t="shared" si="41"/>
        <v>0</v>
      </c>
      <c r="AE65" s="160">
        <f t="shared" si="41"/>
        <v>0</v>
      </c>
      <c r="AF65" s="160">
        <f t="shared" si="41"/>
        <v>0.0229544743</v>
      </c>
      <c r="AG65" s="160">
        <f t="shared" si="41"/>
        <v>0.008951515233</v>
      </c>
      <c r="AH65" s="160">
        <f t="shared" si="41"/>
        <v>0.01518302225</v>
      </c>
      <c r="AI65" s="161">
        <f t="shared" si="41"/>
        <v>1</v>
      </c>
      <c r="AJ65" s="162">
        <f>AI62-AI58</f>
        <v>257866.12</v>
      </c>
      <c r="AK65" s="163">
        <f>AI62/AI58-1</f>
        <v>0.08744954085</v>
      </c>
      <c r="AL65" s="258"/>
      <c r="AN65" s="225"/>
      <c r="AO65" s="147"/>
      <c r="AP65" s="147"/>
      <c r="AQ65" s="147"/>
      <c r="AR65" s="147"/>
      <c r="AS65" s="147"/>
      <c r="AT65" s="147"/>
      <c r="AU65" s="147"/>
      <c r="AV65" s="147"/>
      <c r="AW65" s="147"/>
      <c r="AX65" s="147"/>
      <c r="AY65" s="147"/>
      <c r="AZ65" s="147"/>
    </row>
    <row r="66" ht="24.0" customHeight="1">
      <c r="A66" s="164">
        <v>45901.0</v>
      </c>
      <c r="B66" s="165" t="s">
        <v>168</v>
      </c>
      <c r="C66" s="166">
        <f t="shared" ref="C66:AH66" si="42">IF(C70="","",C62)</f>
        <v>32076.17</v>
      </c>
      <c r="D66" s="166">
        <f t="shared" si="42"/>
        <v>143982.4</v>
      </c>
      <c r="E66" s="166">
        <f t="shared" si="42"/>
        <v>7744</v>
      </c>
      <c r="F66" s="166">
        <f t="shared" si="42"/>
        <v>0</v>
      </c>
      <c r="G66" s="166">
        <f t="shared" si="42"/>
        <v>110198.51</v>
      </c>
      <c r="H66" s="166">
        <f t="shared" si="42"/>
        <v>0</v>
      </c>
      <c r="I66" s="166">
        <f t="shared" si="42"/>
        <v>181601.94</v>
      </c>
      <c r="J66" s="166">
        <f t="shared" si="42"/>
        <v>223389.69</v>
      </c>
      <c r="K66" s="166">
        <f t="shared" si="42"/>
        <v>217106.44</v>
      </c>
      <c r="L66" s="166">
        <f t="shared" si="42"/>
        <v>95224</v>
      </c>
      <c r="M66" s="166">
        <f t="shared" si="42"/>
        <v>157643.89</v>
      </c>
      <c r="N66" s="166">
        <f t="shared" si="42"/>
        <v>163762</v>
      </c>
      <c r="O66" s="166">
        <f t="shared" si="42"/>
        <v>0</v>
      </c>
      <c r="P66" s="166">
        <f t="shared" si="42"/>
        <v>222205.9</v>
      </c>
      <c r="Q66" s="166">
        <f t="shared" si="42"/>
        <v>60534.56</v>
      </c>
      <c r="R66" s="166">
        <f t="shared" si="42"/>
        <v>0</v>
      </c>
      <c r="S66" s="166">
        <f t="shared" si="42"/>
        <v>0</v>
      </c>
      <c r="T66" s="166">
        <f t="shared" si="42"/>
        <v>62400</v>
      </c>
      <c r="U66" s="166">
        <f t="shared" si="42"/>
        <v>663869.5</v>
      </c>
      <c r="V66" s="166">
        <f t="shared" si="42"/>
        <v>0</v>
      </c>
      <c r="W66" s="166">
        <f t="shared" si="42"/>
        <v>109200</v>
      </c>
      <c r="X66" s="166">
        <f t="shared" si="42"/>
        <v>31854.4</v>
      </c>
      <c r="Y66" s="166">
        <f t="shared" si="42"/>
        <v>163494.56</v>
      </c>
      <c r="Z66" s="166">
        <f t="shared" si="42"/>
        <v>350028</v>
      </c>
      <c r="AA66" s="166">
        <f t="shared" si="42"/>
        <v>21636</v>
      </c>
      <c r="AB66" s="166">
        <f t="shared" si="42"/>
        <v>37660</v>
      </c>
      <c r="AC66" s="166">
        <f t="shared" si="42"/>
        <v>0</v>
      </c>
      <c r="AD66" s="166">
        <f t="shared" si="42"/>
        <v>0</v>
      </c>
      <c r="AE66" s="166">
        <f t="shared" si="42"/>
        <v>0</v>
      </c>
      <c r="AF66" s="166">
        <f t="shared" si="42"/>
        <v>73606</v>
      </c>
      <c r="AG66" s="166">
        <f t="shared" si="42"/>
        <v>28704</v>
      </c>
      <c r="AH66" s="166">
        <f t="shared" si="42"/>
        <v>48686</v>
      </c>
      <c r="AI66" s="183">
        <f t="shared" ref="AI66:AI70" si="43">SUM(C66:AH66)</f>
        <v>3206607.96</v>
      </c>
      <c r="AJ66" s="184"/>
      <c r="AK66" s="185"/>
      <c r="AL66" s="260"/>
      <c r="AM66" s="261">
        <f>IF(AM67="","",A2)</f>
        <v>45658</v>
      </c>
      <c r="AN66" s="261">
        <f>IF(AN67="","",A10)</f>
        <v>45689</v>
      </c>
      <c r="AO66" s="261">
        <f>IF(AO67="","",A18)</f>
        <v>45717</v>
      </c>
      <c r="AP66" s="261">
        <f>IF(AP67="","",A26)</f>
        <v>45748</v>
      </c>
      <c r="AQ66" s="261">
        <f>IF(AQ67="","",A34)</f>
        <v>45778</v>
      </c>
      <c r="AR66" s="261">
        <f>IF(AR67="","",A42)</f>
        <v>45809</v>
      </c>
      <c r="AS66" s="261">
        <f>IF(AS67="","",A50)</f>
        <v>45839</v>
      </c>
      <c r="AT66" s="261">
        <f>IF(AT67="","",A58)</f>
        <v>45870</v>
      </c>
      <c r="AU66" s="261">
        <f>IF(AU67="","",A66)</f>
        <v>45901</v>
      </c>
      <c r="AV66" s="261">
        <f>IF(AV67="","",A74)</f>
        <v>45931</v>
      </c>
      <c r="AW66" s="261">
        <f>IF(AW67="","",A82)</f>
        <v>45962</v>
      </c>
      <c r="AX66" s="262">
        <f>IF(AX67="","",A90)</f>
        <v>45992</v>
      </c>
      <c r="AY66" s="171"/>
      <c r="AZ66" s="172"/>
    </row>
    <row r="67" ht="24.0" customHeight="1">
      <c r="A67" s="133"/>
      <c r="B67" s="134" t="s">
        <v>160</v>
      </c>
      <c r="C67" s="135">
        <v>0.0</v>
      </c>
      <c r="D67" s="135">
        <v>0.0</v>
      </c>
      <c r="E67" s="135">
        <v>0.0</v>
      </c>
      <c r="F67" s="135">
        <v>0.0</v>
      </c>
      <c r="G67" s="135">
        <v>0.0</v>
      </c>
      <c r="H67" s="135">
        <v>0.0</v>
      </c>
      <c r="I67" s="135">
        <v>0.0</v>
      </c>
      <c r="J67" s="135">
        <v>0.0</v>
      </c>
      <c r="K67" s="135">
        <v>0.0</v>
      </c>
      <c r="L67" s="135">
        <f>+12000+10000+10000+10000</f>
        <v>42000</v>
      </c>
      <c r="M67" s="135">
        <f>+16181+3095.7</f>
        <v>19276.7</v>
      </c>
      <c r="N67" s="135">
        <v>0.0</v>
      </c>
      <c r="O67" s="135">
        <v>0.0</v>
      </c>
      <c r="P67" s="135">
        <v>0.0</v>
      </c>
      <c r="Q67" s="135">
        <v>0.0</v>
      </c>
      <c r="R67" s="135">
        <v>0.0</v>
      </c>
      <c r="S67" s="135">
        <v>0.0</v>
      </c>
      <c r="T67" s="135">
        <v>0.0</v>
      </c>
      <c r="U67" s="135">
        <v>0.0</v>
      </c>
      <c r="V67" s="135">
        <v>0.0</v>
      </c>
      <c r="W67" s="135">
        <v>0.0</v>
      </c>
      <c r="X67" s="135">
        <v>0.0</v>
      </c>
      <c r="Y67" s="135">
        <v>0.0</v>
      </c>
      <c r="Z67" s="135">
        <v>0.0</v>
      </c>
      <c r="AA67" s="135">
        <f>+500*10.01+1000*9.96+500*9.9+500*9.89+500*9.8+500*9.71</f>
        <v>34615</v>
      </c>
      <c r="AB67" s="136">
        <f>+500*36.32+100*36.29+100*36.3</f>
        <v>25419</v>
      </c>
      <c r="AC67" s="135">
        <v>0.0</v>
      </c>
      <c r="AD67" s="135">
        <v>0.0</v>
      </c>
      <c r="AE67" s="135">
        <f>+200*11.65+100+11.63+100*11.61+100*11.6+100*11.59+100*11.58+100*11.56+100*11.54+100*11.52+100*11.5+100*11.49+200*11.46+100*11.39+10*11.24+200*10.03+100*10.01+100*10+100*9.91+200*9.87+100*9.86+100*9.85+100*9.84+600*9.81+100*-9.76+200*9.72+200*9.71</f>
        <v>35107.03</v>
      </c>
      <c r="AF67" s="135">
        <v>0.0</v>
      </c>
      <c r="AG67" s="135">
        <f>+50*64.68+50*64.56+50*64.53+50*64.49+50*64.46+50*64.41+4*64.36</f>
        <v>19613.94</v>
      </c>
      <c r="AH67" s="135">
        <v>0.0</v>
      </c>
      <c r="AI67" s="151">
        <f t="shared" si="43"/>
        <v>176031.67</v>
      </c>
      <c r="AJ67" s="145"/>
      <c r="AK67" s="146"/>
      <c r="AL67" s="263"/>
      <c r="AM67" s="264">
        <f>AI7</f>
        <v>-0.002156565892</v>
      </c>
      <c r="AN67" s="160">
        <f>AI15</f>
        <v>-0.02661403291</v>
      </c>
      <c r="AO67" s="160">
        <f>AI23</f>
        <v>0.01483613057</v>
      </c>
      <c r="AP67" s="160">
        <f>AI31</f>
        <v>0.01893207004</v>
      </c>
      <c r="AQ67" s="160">
        <f>AI39</f>
        <v>0.0660842994</v>
      </c>
      <c r="AR67" s="160">
        <f>AI47</f>
        <v>-0.02432098278</v>
      </c>
      <c r="AS67" s="160">
        <f>AI55</f>
        <v>-0.01116557532</v>
      </c>
      <c r="AT67" s="160">
        <f>AI63</f>
        <v>0.04486336818</v>
      </c>
      <c r="AU67" s="160">
        <f>AI71</f>
        <v>0.1218451708</v>
      </c>
      <c r="AV67" s="160">
        <f>AI79</f>
        <v>0.05731218127</v>
      </c>
      <c r="AW67" s="160">
        <f>AI87</f>
        <v>0.02773759525</v>
      </c>
      <c r="AX67" s="265">
        <f>AI95</f>
        <v>0.0536934862</v>
      </c>
      <c r="AY67" s="147"/>
      <c r="AZ67" s="147"/>
    </row>
    <row r="68" ht="24.0" customHeight="1">
      <c r="A68" s="133"/>
      <c r="B68" s="143" t="s">
        <v>161</v>
      </c>
      <c r="C68" s="135">
        <v>0.0</v>
      </c>
      <c r="D68" s="135">
        <v>0.0</v>
      </c>
      <c r="E68" s="135">
        <f>+E70-E66</f>
        <v>-6141.72</v>
      </c>
      <c r="F68" s="135">
        <v>0.0</v>
      </c>
      <c r="G68" s="135">
        <v>0.0</v>
      </c>
      <c r="H68" s="135">
        <v>0.0</v>
      </c>
      <c r="I68" s="135">
        <v>0.0</v>
      </c>
      <c r="J68" s="135">
        <v>0.0</v>
      </c>
      <c r="K68" s="135">
        <v>0.0</v>
      </c>
      <c r="L68" s="136">
        <f>-19839-3095.7</f>
        <v>-22934.7</v>
      </c>
      <c r="M68" s="135">
        <f>-2963.18-25434.96</f>
        <v>-28398.14</v>
      </c>
      <c r="N68" s="135">
        <f>-500*28.96-500*30.39-250*31.36</f>
        <v>-37515</v>
      </c>
      <c r="O68" s="135">
        <v>0.0</v>
      </c>
      <c r="P68" s="135">
        <v>0.0</v>
      </c>
      <c r="Q68" s="135">
        <v>0.0</v>
      </c>
      <c r="R68" s="135">
        <v>0.0</v>
      </c>
      <c r="S68" s="135">
        <v>0.0</v>
      </c>
      <c r="T68" s="135">
        <v>0.0</v>
      </c>
      <c r="U68" s="135">
        <f>-1000*65.88</f>
        <v>-65880</v>
      </c>
      <c r="V68" s="135">
        <v>0.0</v>
      </c>
      <c r="W68" s="135">
        <v>0.0</v>
      </c>
      <c r="X68" s="135">
        <v>0.0</v>
      </c>
      <c r="Y68" s="135">
        <f>-300*82.05-179*83.31-100*83.45-100*83.5-250*89.5</f>
        <v>-78597.49</v>
      </c>
      <c r="Z68" s="135">
        <v>0.0</v>
      </c>
      <c r="AA68" s="135">
        <v>0.0</v>
      </c>
      <c r="AB68" s="135">
        <v>0.0</v>
      </c>
      <c r="AC68" s="135">
        <v>0.0</v>
      </c>
      <c r="AD68" s="135">
        <v>0.0</v>
      </c>
      <c r="AE68" s="135">
        <v>0.0</v>
      </c>
      <c r="AF68" s="135">
        <v>0.0</v>
      </c>
      <c r="AG68" s="135">
        <v>0.0</v>
      </c>
      <c r="AH68" s="135">
        <v>0.0</v>
      </c>
      <c r="AI68" s="151">
        <f t="shared" si="43"/>
        <v>-239467.05</v>
      </c>
      <c r="AJ68" s="189"/>
      <c r="AK68" s="175"/>
      <c r="AL68" s="266"/>
      <c r="AM68" s="267">
        <f>AI6*AI7</f>
        <v>-6330.897495</v>
      </c>
      <c r="AN68" s="267">
        <f>AI14*AI15</f>
        <v>-69472.60058</v>
      </c>
      <c r="AO68" s="267">
        <f>AI22*AI23</f>
        <v>40685.41982</v>
      </c>
      <c r="AP68" s="267">
        <f>AI31*AI30</f>
        <v>56557.20011</v>
      </c>
      <c r="AQ68" s="267">
        <f>AI38*AI39</f>
        <v>210946.4577</v>
      </c>
      <c r="AR68" s="267">
        <f>AI46*AI47</f>
        <v>-69611.92695</v>
      </c>
      <c r="AS68" s="267">
        <f>AI54*AI55</f>
        <v>-32924.39911</v>
      </c>
      <c r="AT68" s="267">
        <f>AI62*AI63</f>
        <v>143859.2335</v>
      </c>
      <c r="AU68" s="267">
        <f>AI70*AI71</f>
        <v>429644.7123</v>
      </c>
      <c r="AV68" s="267">
        <f>AJ79</f>
        <v>196889.0055</v>
      </c>
      <c r="AW68" s="267">
        <f>AJ87</f>
        <v>97584.42464</v>
      </c>
      <c r="AX68" s="267">
        <f>AJ95</f>
        <v>194551.5523</v>
      </c>
      <c r="AY68" s="147"/>
      <c r="AZ68" s="147"/>
    </row>
    <row r="69" ht="24.0" customHeight="1">
      <c r="A69" s="133"/>
      <c r="B69" s="144" t="s">
        <v>162</v>
      </c>
      <c r="C69" s="135">
        <v>0.0</v>
      </c>
      <c r="D69" s="135">
        <v>0.0</v>
      </c>
      <c r="E69" s="135">
        <v>0.0</v>
      </c>
      <c r="F69" s="135">
        <v>0.0</v>
      </c>
      <c r="G69" s="135">
        <v>0.0</v>
      </c>
      <c r="H69" s="135">
        <v>0.0</v>
      </c>
      <c r="I69" s="135">
        <v>0.0</v>
      </c>
      <c r="J69" s="135">
        <v>0.0</v>
      </c>
      <c r="K69" s="135">
        <v>0.0</v>
      </c>
      <c r="L69" s="135">
        <v>0.0</v>
      </c>
      <c r="M69" s="135">
        <v>0.0</v>
      </c>
      <c r="N69" s="135">
        <v>0.0</v>
      </c>
      <c r="O69" s="135">
        <v>0.0</v>
      </c>
      <c r="P69" s="135">
        <v>0.0</v>
      </c>
      <c r="Q69" s="135">
        <v>0.0</v>
      </c>
      <c r="R69" s="135">
        <v>0.0</v>
      </c>
      <c r="S69" s="135">
        <v>0.0</v>
      </c>
      <c r="T69" s="135">
        <v>0.0</v>
      </c>
      <c r="U69" s="135">
        <v>0.0</v>
      </c>
      <c r="V69" s="135">
        <v>0.0</v>
      </c>
      <c r="W69" s="135">
        <v>0.0</v>
      </c>
      <c r="X69" s="135">
        <v>0.0</v>
      </c>
      <c r="Y69" s="135">
        <v>0.0</v>
      </c>
      <c r="Z69" s="135">
        <v>0.0</v>
      </c>
      <c r="AA69" s="135">
        <v>0.0</v>
      </c>
      <c r="AB69" s="135">
        <v>0.0</v>
      </c>
      <c r="AC69" s="135">
        <v>0.0</v>
      </c>
      <c r="AD69" s="135">
        <v>0.0</v>
      </c>
      <c r="AE69" s="135">
        <v>0.0</v>
      </c>
      <c r="AF69" s="135">
        <v>0.0</v>
      </c>
      <c r="AG69" s="135">
        <v>0.0</v>
      </c>
      <c r="AH69" s="135">
        <v>0.0</v>
      </c>
      <c r="AI69" s="151">
        <f t="shared" si="43"/>
        <v>0</v>
      </c>
      <c r="AJ69" s="145">
        <f>SUM(AI66:AI69)</f>
        <v>3143172.58</v>
      </c>
      <c r="AK69" s="146"/>
      <c r="AL69" s="268"/>
      <c r="AM69" s="269" t="s">
        <v>174</v>
      </c>
      <c r="AN69" s="213"/>
      <c r="AO69" s="230">
        <f>AO67</f>
        <v>0.01483613057</v>
      </c>
      <c r="AP69" s="270">
        <v>0.0</v>
      </c>
      <c r="AQ69" s="230">
        <f>AQ67</f>
        <v>0.0660842994</v>
      </c>
      <c r="AR69" s="230"/>
      <c r="AS69" s="230">
        <f t="shared" ref="AS69:AX69" si="44">AS67</f>
        <v>-0.01116557532</v>
      </c>
      <c r="AT69" s="230">
        <f t="shared" si="44"/>
        <v>0.04486336818</v>
      </c>
      <c r="AU69" s="230">
        <f t="shared" si="44"/>
        <v>0.1218451708</v>
      </c>
      <c r="AV69" s="230">
        <f t="shared" si="44"/>
        <v>0.05731218127</v>
      </c>
      <c r="AW69" s="230">
        <f t="shared" si="44"/>
        <v>0.02773759525</v>
      </c>
      <c r="AX69" s="230">
        <f t="shared" si="44"/>
        <v>0.0536934862</v>
      </c>
      <c r="AY69" s="147"/>
      <c r="AZ69" s="147"/>
    </row>
    <row r="70" ht="24.0" customHeight="1">
      <c r="A70" s="133"/>
      <c r="B70" s="150" t="s">
        <v>163</v>
      </c>
      <c r="C70" s="135">
        <f>+(+20173.44+12167.32)*0+(+12187.6+20206.94)*0+(12201.04+20229.25)*0+(12214.65+20252.15)</f>
        <v>32466.8</v>
      </c>
      <c r="D70" s="135">
        <f>+145187.5*0+145431.8*0+145595.18*0+145759.47</f>
        <v>145759.47</v>
      </c>
      <c r="E70" s="135">
        <f>+((-19988)+(+22543+6300))*0+((28735+1036)+(-19988))*0+((-35000)+(10000+3500+1000))*0+((+5846-600)+(+10000-35000+3587+1000)+5771)*0+((+35357.88+52817)+(-82428.71))*0+((+37950.8+817)+(-24988))*0+((+19790+1077)+(+37950.8+10000))*0+((-8922-29989)+(+12531+10500))*0+((+20954+817)+(-36209))*0+(10194)+(-10718.72+1482+645)</f>
        <v>1602.28</v>
      </c>
      <c r="F70" s="135">
        <v>0.0</v>
      </c>
      <c r="G70" s="135">
        <f>+111112.58*0+111298.28*0+111421.4*0+111545</f>
        <v>111545</v>
      </c>
      <c r="H70" s="135">
        <v>0.0</v>
      </c>
      <c r="I70" s="135">
        <f>+183156.51*0+183512.21*0+183645.95*0+183739.69*0+183770.81</f>
        <v>183770.81</v>
      </c>
      <c r="J70" s="135">
        <f>+225237.56*0+225604.99*0+225852.28*0+225973.8*0+226100.88</f>
        <v>226100.88</v>
      </c>
      <c r="K70" s="136">
        <f>+218908.78*0+219391.92*0+219754.99</f>
        <v>219754.99</v>
      </c>
      <c r="L70" s="135">
        <f>+(+95224+12000-19839)*0+105892*0+106282*0+106601*0+103837.32*0+113050.37*0+113173*0+113444*0+112901.82</f>
        <v>112901.82</v>
      </c>
      <c r="M70" s="136">
        <f>+148177</f>
        <v>148177</v>
      </c>
      <c r="N70" s="135">
        <f>+(+7400-500-500-250)*29.61</f>
        <v>182101.5</v>
      </c>
      <c r="O70" s="135">
        <v>0.0</v>
      </c>
      <c r="P70" s="135">
        <f>+223286.17*0+223535.57*0+223785*0+223846.44*0+223964.33</f>
        <v>223964.33</v>
      </c>
      <c r="Q70" s="135">
        <f>+60846.61*0+60861.59*0+60826.35*0+60846.25</f>
        <v>60846.25</v>
      </c>
      <c r="R70" s="135">
        <v>0.0</v>
      </c>
      <c r="S70" s="135">
        <v>0.0</v>
      </c>
      <c r="T70" s="135">
        <f>+1000*67.76</f>
        <v>67760</v>
      </c>
      <c r="U70" s="135">
        <f>+10725*73.93</f>
        <v>792899.25</v>
      </c>
      <c r="V70" s="135">
        <v>0.0</v>
      </c>
      <c r="W70" s="135">
        <f>+21000*5.53</f>
        <v>116130</v>
      </c>
      <c r="X70" s="135">
        <f>+430*93.87</f>
        <v>40364.1</v>
      </c>
      <c r="Y70" s="135">
        <f>+(+2207-929)*93.87</f>
        <v>119965.86</v>
      </c>
      <c r="Z70" s="135">
        <f>+6300*57.65</f>
        <v>363195</v>
      </c>
      <c r="AA70" s="135">
        <f>+(+1800+3500)*11.4</f>
        <v>60420</v>
      </c>
      <c r="AB70" s="135">
        <f>+(+1000+500+200)*36.62</f>
        <v>62254</v>
      </c>
      <c r="AC70" s="135">
        <v>0.0</v>
      </c>
      <c r="AD70" s="136">
        <v>0.0</v>
      </c>
      <c r="AE70" s="135">
        <f>+(+1510+500+1600)*11.4</f>
        <v>41154</v>
      </c>
      <c r="AF70" s="135">
        <f>+1300*73.93</f>
        <v>96109</v>
      </c>
      <c r="AG70" s="135">
        <f>+(+460+304)*67.76</f>
        <v>51768.64</v>
      </c>
      <c r="AH70" s="135">
        <f>+2200*29.61</f>
        <v>65142</v>
      </c>
      <c r="AI70" s="151">
        <f t="shared" si="43"/>
        <v>3526152.98</v>
      </c>
      <c r="AJ70" s="145">
        <f>AJ69-AI70</f>
        <v>-382980.4</v>
      </c>
      <c r="AK70" s="146"/>
      <c r="AL70" s="268"/>
      <c r="AM70" s="271"/>
      <c r="AN70" s="241"/>
      <c r="AO70" s="147"/>
      <c r="AP70" s="147"/>
      <c r="AQ70" s="147"/>
      <c r="AR70" s="147"/>
      <c r="AS70" s="147"/>
      <c r="AT70" s="147"/>
      <c r="AU70" s="147"/>
      <c r="AV70" s="147"/>
      <c r="AW70" s="147"/>
      <c r="AX70" s="147"/>
      <c r="AY70" s="147"/>
      <c r="AZ70" s="147"/>
    </row>
    <row r="71" ht="24.0" customHeight="1">
      <c r="A71" s="133"/>
      <c r="B71" s="153" t="s">
        <v>165</v>
      </c>
      <c r="C71" s="154">
        <f t="shared" ref="C71:AI71" si="45">IFERROR(IF(C70=0,(-C68/C66)-1,C72),"")</f>
        <v>0.01217819958</v>
      </c>
      <c r="D71" s="154">
        <f t="shared" si="45"/>
        <v>0.01234227239</v>
      </c>
      <c r="E71" s="154">
        <f t="shared" si="45"/>
        <v>0</v>
      </c>
      <c r="F71" s="154" t="str">
        <f t="shared" si="45"/>
        <v/>
      </c>
      <c r="G71" s="154">
        <f t="shared" si="45"/>
        <v>0.01221876775</v>
      </c>
      <c r="H71" s="154" t="str">
        <f t="shared" si="45"/>
        <v/>
      </c>
      <c r="I71" s="154">
        <f t="shared" si="45"/>
        <v>0.01194298916</v>
      </c>
      <c r="J71" s="154">
        <f t="shared" si="45"/>
        <v>0.01213659413</v>
      </c>
      <c r="K71" s="154">
        <f t="shared" si="45"/>
        <v>0.01219931569</v>
      </c>
      <c r="L71" s="154">
        <f t="shared" si="45"/>
        <v>-0.01214006911</v>
      </c>
      <c r="M71" s="154">
        <f t="shared" si="45"/>
        <v>-0.002325910999</v>
      </c>
      <c r="N71" s="154">
        <f t="shared" si="45"/>
        <v>0.4424223942</v>
      </c>
      <c r="O71" s="154" t="str">
        <f t="shared" si="45"/>
        <v/>
      </c>
      <c r="P71" s="154">
        <f t="shared" si="45"/>
        <v>0.007913516248</v>
      </c>
      <c r="Q71" s="154">
        <f t="shared" si="45"/>
        <v>0.005148959537</v>
      </c>
      <c r="R71" s="154" t="str">
        <f t="shared" si="45"/>
        <v/>
      </c>
      <c r="S71" s="154" t="str">
        <f t="shared" si="45"/>
        <v/>
      </c>
      <c r="T71" s="154">
        <f t="shared" si="45"/>
        <v>0.0858974359</v>
      </c>
      <c r="U71" s="154">
        <f t="shared" si="45"/>
        <v>0.3259417598</v>
      </c>
      <c r="V71" s="154" t="str">
        <f t="shared" si="45"/>
        <v/>
      </c>
      <c r="W71" s="154">
        <f t="shared" si="45"/>
        <v>0.06346153846</v>
      </c>
      <c r="X71" s="154">
        <f t="shared" si="45"/>
        <v>0.2671436285</v>
      </c>
      <c r="Y71" s="154">
        <f t="shared" si="45"/>
        <v>0.4130742086</v>
      </c>
      <c r="Z71" s="154">
        <f t="shared" si="45"/>
        <v>0.03761699064</v>
      </c>
      <c r="AA71" s="154">
        <f t="shared" si="45"/>
        <v>0.07411423797</v>
      </c>
      <c r="AB71" s="154">
        <f t="shared" si="45"/>
        <v>-0.01307883765</v>
      </c>
      <c r="AC71" s="154" t="str">
        <f t="shared" si="45"/>
        <v/>
      </c>
      <c r="AD71" s="154" t="str">
        <f t="shared" si="45"/>
        <v/>
      </c>
      <c r="AE71" s="154">
        <f t="shared" si="45"/>
        <v>0.1722438497</v>
      </c>
      <c r="AF71" s="154">
        <f t="shared" si="45"/>
        <v>0.3057223596</v>
      </c>
      <c r="AG71" s="154">
        <f t="shared" si="45"/>
        <v>0.07141653804</v>
      </c>
      <c r="AH71" s="154">
        <f t="shared" si="45"/>
        <v>0.3380027113</v>
      </c>
      <c r="AI71" s="155">
        <f t="shared" si="45"/>
        <v>0.1218451708</v>
      </c>
      <c r="AJ71" s="145">
        <f>(AI70*AI71)</f>
        <v>429644.7123</v>
      </c>
      <c r="AK71" s="146"/>
      <c r="AL71" s="272"/>
      <c r="AM71" s="273">
        <f t="shared" ref="AM71:AT71" si="46">AM66</f>
        <v>45658</v>
      </c>
      <c r="AN71" s="274">
        <f t="shared" si="46"/>
        <v>45689</v>
      </c>
      <c r="AO71" s="274">
        <f t="shared" si="46"/>
        <v>45717</v>
      </c>
      <c r="AP71" s="274">
        <f t="shared" si="46"/>
        <v>45748</v>
      </c>
      <c r="AQ71" s="274">
        <f t="shared" si="46"/>
        <v>45778</v>
      </c>
      <c r="AR71" s="274">
        <f t="shared" si="46"/>
        <v>45809</v>
      </c>
      <c r="AS71" s="274">
        <f t="shared" si="46"/>
        <v>45839</v>
      </c>
      <c r="AT71" s="274">
        <f t="shared" si="46"/>
        <v>45870</v>
      </c>
      <c r="AU71" s="275">
        <v>45923.0</v>
      </c>
      <c r="AV71" s="275">
        <v>45953.0</v>
      </c>
      <c r="AW71" s="275">
        <v>45984.0</v>
      </c>
      <c r="AX71" s="276">
        <v>46014.0</v>
      </c>
      <c r="AY71" s="147"/>
      <c r="AZ71" s="147"/>
    </row>
    <row r="72" ht="24.0" hidden="1" customHeight="1">
      <c r="A72" s="133"/>
      <c r="B72" s="156" t="s">
        <v>166</v>
      </c>
      <c r="C72" s="180">
        <f t="shared" ref="C72:AI72" si="47">IFERROR(IF(AND(C66&lt;&gt;0,C70=""),"",(C70/(C66+C67+C68+C69))-1),"")</f>
        <v>0.01217819958</v>
      </c>
      <c r="D72" s="180">
        <f t="shared" si="47"/>
        <v>0.01234227239</v>
      </c>
      <c r="E72" s="180">
        <f t="shared" si="47"/>
        <v>0</v>
      </c>
      <c r="F72" s="180" t="str">
        <f t="shared" si="47"/>
        <v/>
      </c>
      <c r="G72" s="180">
        <f t="shared" si="47"/>
        <v>0.01221876775</v>
      </c>
      <c r="H72" s="180" t="str">
        <f t="shared" si="47"/>
        <v/>
      </c>
      <c r="I72" s="180">
        <f t="shared" si="47"/>
        <v>0.01194298916</v>
      </c>
      <c r="J72" s="180">
        <f t="shared" si="47"/>
        <v>0.01213659413</v>
      </c>
      <c r="K72" s="180">
        <f t="shared" si="47"/>
        <v>0.01219931569</v>
      </c>
      <c r="L72" s="180">
        <f t="shared" si="47"/>
        <v>-0.01214006911</v>
      </c>
      <c r="M72" s="180">
        <f t="shared" si="47"/>
        <v>-0.002325910999</v>
      </c>
      <c r="N72" s="180">
        <f t="shared" si="47"/>
        <v>0.4424223942</v>
      </c>
      <c r="O72" s="180" t="str">
        <f t="shared" si="47"/>
        <v/>
      </c>
      <c r="P72" s="180">
        <f t="shared" si="47"/>
        <v>0.007913516248</v>
      </c>
      <c r="Q72" s="180">
        <f t="shared" si="47"/>
        <v>0.005148959537</v>
      </c>
      <c r="R72" s="180" t="str">
        <f t="shared" si="47"/>
        <v/>
      </c>
      <c r="S72" s="180" t="str">
        <f t="shared" si="47"/>
        <v/>
      </c>
      <c r="T72" s="180">
        <f t="shared" si="47"/>
        <v>0.0858974359</v>
      </c>
      <c r="U72" s="180">
        <f t="shared" si="47"/>
        <v>0.3259417598</v>
      </c>
      <c r="V72" s="180" t="str">
        <f t="shared" si="47"/>
        <v/>
      </c>
      <c r="W72" s="180">
        <f t="shared" si="47"/>
        <v>0.06346153846</v>
      </c>
      <c r="X72" s="180">
        <f t="shared" si="47"/>
        <v>0.2671436285</v>
      </c>
      <c r="Y72" s="180">
        <f t="shared" si="47"/>
        <v>0.4130742086</v>
      </c>
      <c r="Z72" s="180">
        <f t="shared" si="47"/>
        <v>0.03761699064</v>
      </c>
      <c r="AA72" s="180">
        <f t="shared" si="47"/>
        <v>0.07411423797</v>
      </c>
      <c r="AB72" s="180">
        <f t="shared" si="47"/>
        <v>-0.01307883765</v>
      </c>
      <c r="AC72" s="180" t="str">
        <f t="shared" si="47"/>
        <v/>
      </c>
      <c r="AD72" s="180" t="str">
        <f t="shared" si="47"/>
        <v/>
      </c>
      <c r="AE72" s="180">
        <f t="shared" si="47"/>
        <v>0.1722438497</v>
      </c>
      <c r="AF72" s="180">
        <f t="shared" si="47"/>
        <v>0.3057223596</v>
      </c>
      <c r="AG72" s="180">
        <f t="shared" si="47"/>
        <v>0.07141653804</v>
      </c>
      <c r="AH72" s="180">
        <f t="shared" si="47"/>
        <v>0.3380027113</v>
      </c>
      <c r="AI72" s="181">
        <f t="shared" si="47"/>
        <v>0.1218451708</v>
      </c>
      <c r="AJ72" s="145"/>
      <c r="AK72" s="277"/>
      <c r="AL72" s="272"/>
      <c r="AM72" s="278"/>
      <c r="AN72" s="279"/>
      <c r="AO72" s="279"/>
      <c r="AP72" s="279"/>
      <c r="AQ72" s="279"/>
      <c r="AR72" s="279"/>
      <c r="AS72" s="279"/>
      <c r="AT72" s="279"/>
      <c r="AU72" s="279"/>
      <c r="AV72" s="279"/>
      <c r="AW72" s="279"/>
      <c r="AX72" s="280"/>
      <c r="AY72" s="147"/>
      <c r="AZ72" s="147"/>
    </row>
    <row r="73" ht="24.0" customHeight="1">
      <c r="A73" s="158"/>
      <c r="B73" s="159" t="s">
        <v>167</v>
      </c>
      <c r="C73" s="160">
        <f t="shared" ref="C73:AI73" si="48">IFERROR(C70/$AI$70,"")</f>
        <v>0.009207428091</v>
      </c>
      <c r="D73" s="160">
        <f t="shared" si="48"/>
        <v>0.04133668358</v>
      </c>
      <c r="E73" s="160">
        <f t="shared" si="48"/>
        <v>0.00045439889</v>
      </c>
      <c r="F73" s="160">
        <f t="shared" si="48"/>
        <v>0</v>
      </c>
      <c r="G73" s="160">
        <f t="shared" si="48"/>
        <v>0.0316336247</v>
      </c>
      <c r="H73" s="160">
        <f t="shared" si="48"/>
        <v>0</v>
      </c>
      <c r="I73" s="160">
        <f t="shared" si="48"/>
        <v>0.05211651651</v>
      </c>
      <c r="J73" s="160">
        <f t="shared" si="48"/>
        <v>0.06412112046</v>
      </c>
      <c r="K73" s="160">
        <f t="shared" si="48"/>
        <v>0.06232145663</v>
      </c>
      <c r="L73" s="160">
        <f t="shared" si="48"/>
        <v>0.03201841232</v>
      </c>
      <c r="M73" s="160">
        <f t="shared" si="48"/>
        <v>0.04202228345</v>
      </c>
      <c r="N73" s="160">
        <f t="shared" si="48"/>
        <v>0.05164310824</v>
      </c>
      <c r="O73" s="160">
        <f t="shared" si="48"/>
        <v>0</v>
      </c>
      <c r="P73" s="160">
        <f t="shared" si="48"/>
        <v>0.06351520517</v>
      </c>
      <c r="Q73" s="160">
        <f t="shared" si="48"/>
        <v>0.01725570341</v>
      </c>
      <c r="R73" s="160">
        <f t="shared" si="48"/>
        <v>0</v>
      </c>
      <c r="S73" s="160">
        <f t="shared" si="48"/>
        <v>0</v>
      </c>
      <c r="T73" s="160">
        <f t="shared" si="48"/>
        <v>0.01921640961</v>
      </c>
      <c r="U73" s="160">
        <f t="shared" si="48"/>
        <v>0.224862408</v>
      </c>
      <c r="V73" s="160">
        <f t="shared" si="48"/>
        <v>0</v>
      </c>
      <c r="W73" s="160">
        <f t="shared" si="48"/>
        <v>0.03293390861</v>
      </c>
      <c r="X73" s="160">
        <f t="shared" si="48"/>
        <v>0.01144706433</v>
      </c>
      <c r="Y73" s="160">
        <f t="shared" si="48"/>
        <v>0.03402174003</v>
      </c>
      <c r="Z73" s="160">
        <f t="shared" si="48"/>
        <v>0.1030003525</v>
      </c>
      <c r="AA73" s="160">
        <f t="shared" si="48"/>
        <v>0.01713482096</v>
      </c>
      <c r="AB73" s="160">
        <f t="shared" si="48"/>
        <v>0.01765493453</v>
      </c>
      <c r="AC73" s="160">
        <f t="shared" si="48"/>
        <v>0</v>
      </c>
      <c r="AD73" s="160">
        <f t="shared" si="48"/>
        <v>0</v>
      </c>
      <c r="AE73" s="160">
        <f t="shared" si="48"/>
        <v>0.01167107617</v>
      </c>
      <c r="AF73" s="160">
        <f t="shared" si="48"/>
        <v>0.02725604945</v>
      </c>
      <c r="AG73" s="160">
        <f t="shared" si="48"/>
        <v>0.01468133694</v>
      </c>
      <c r="AH73" s="160">
        <f t="shared" si="48"/>
        <v>0.01847395742</v>
      </c>
      <c r="AI73" s="161">
        <f t="shared" si="48"/>
        <v>1</v>
      </c>
      <c r="AJ73" s="162">
        <f>AI70-AI66</f>
        <v>319545.02</v>
      </c>
      <c r="AK73" s="163">
        <f>AI70/AI66-1</f>
        <v>0.09965203854</v>
      </c>
      <c r="AL73" s="142"/>
      <c r="AM73" s="154">
        <f t="shared" ref="AM73:AX73" si="49">IFERROR(IF(AM67&lt;&gt;0,(1+AL73)*(1+AM67)-1,""),"")</f>
        <v>-0.002156565892</v>
      </c>
      <c r="AN73" s="160">
        <f t="shared" si="49"/>
        <v>-0.02871320389</v>
      </c>
      <c r="AO73" s="160">
        <f t="shared" si="49"/>
        <v>-0.01430306616</v>
      </c>
      <c r="AP73" s="160">
        <f t="shared" si="49"/>
        <v>0.004358217225</v>
      </c>
      <c r="AQ73" s="160">
        <f t="shared" si="49"/>
        <v>0.07073052636</v>
      </c>
      <c r="AR73" s="160">
        <f t="shared" si="49"/>
        <v>0.04468930767</v>
      </c>
      <c r="AS73" s="160">
        <f t="shared" si="49"/>
        <v>0.03302475053</v>
      </c>
      <c r="AT73" s="160">
        <f t="shared" si="49"/>
        <v>0.07936972024</v>
      </c>
      <c r="AU73" s="160">
        <f t="shared" si="49"/>
        <v>0.2108857082</v>
      </c>
      <c r="AV73" s="160">
        <f t="shared" si="49"/>
        <v>0.2802842094</v>
      </c>
      <c r="AW73" s="160">
        <f t="shared" si="49"/>
        <v>0.3157962146</v>
      </c>
      <c r="AX73" s="160">
        <f t="shared" si="49"/>
        <v>0.3864459005</v>
      </c>
      <c r="AY73" s="147"/>
      <c r="AZ73" s="147"/>
    </row>
    <row r="74" ht="24.0" customHeight="1">
      <c r="A74" s="281">
        <v>45931.0</v>
      </c>
      <c r="B74" s="165" t="s">
        <v>168</v>
      </c>
      <c r="C74" s="166">
        <f t="shared" ref="C74:AH74" si="50">IF(C78="","",C70)</f>
        <v>32466.8</v>
      </c>
      <c r="D74" s="166">
        <f t="shared" si="50"/>
        <v>145759.47</v>
      </c>
      <c r="E74" s="166">
        <f t="shared" si="50"/>
        <v>1602.28</v>
      </c>
      <c r="F74" s="166">
        <f t="shared" si="50"/>
        <v>0</v>
      </c>
      <c r="G74" s="166">
        <f t="shared" si="50"/>
        <v>111545</v>
      </c>
      <c r="H74" s="166">
        <f t="shared" si="50"/>
        <v>0</v>
      </c>
      <c r="I74" s="166">
        <f t="shared" si="50"/>
        <v>183770.81</v>
      </c>
      <c r="J74" s="166">
        <f t="shared" si="50"/>
        <v>226100.88</v>
      </c>
      <c r="K74" s="166">
        <f t="shared" si="50"/>
        <v>219754.99</v>
      </c>
      <c r="L74" s="166">
        <f t="shared" si="50"/>
        <v>112901.82</v>
      </c>
      <c r="M74" s="166">
        <f t="shared" si="50"/>
        <v>148177</v>
      </c>
      <c r="N74" s="166">
        <f t="shared" si="50"/>
        <v>182101.5</v>
      </c>
      <c r="O74" s="166">
        <f t="shared" si="50"/>
        <v>0</v>
      </c>
      <c r="P74" s="166">
        <f t="shared" si="50"/>
        <v>223964.33</v>
      </c>
      <c r="Q74" s="166">
        <f t="shared" si="50"/>
        <v>60846.25</v>
      </c>
      <c r="R74" s="166">
        <f t="shared" si="50"/>
        <v>0</v>
      </c>
      <c r="S74" s="166">
        <f t="shared" si="50"/>
        <v>0</v>
      </c>
      <c r="T74" s="166">
        <f t="shared" si="50"/>
        <v>67760</v>
      </c>
      <c r="U74" s="166">
        <f t="shared" si="50"/>
        <v>792899.25</v>
      </c>
      <c r="V74" s="166">
        <f t="shared" si="50"/>
        <v>0</v>
      </c>
      <c r="W74" s="166">
        <f t="shared" si="50"/>
        <v>116130</v>
      </c>
      <c r="X74" s="166">
        <f t="shared" si="50"/>
        <v>40364.1</v>
      </c>
      <c r="Y74" s="166">
        <f t="shared" si="50"/>
        <v>119965.86</v>
      </c>
      <c r="Z74" s="166">
        <f t="shared" si="50"/>
        <v>363195</v>
      </c>
      <c r="AA74" s="166">
        <f t="shared" si="50"/>
        <v>60420</v>
      </c>
      <c r="AB74" s="166">
        <f t="shared" si="50"/>
        <v>62254</v>
      </c>
      <c r="AC74" s="166">
        <f t="shared" si="50"/>
        <v>0</v>
      </c>
      <c r="AD74" s="166">
        <f t="shared" si="50"/>
        <v>0</v>
      </c>
      <c r="AE74" s="166">
        <f t="shared" si="50"/>
        <v>41154</v>
      </c>
      <c r="AF74" s="166">
        <f t="shared" si="50"/>
        <v>96109</v>
      </c>
      <c r="AG74" s="166">
        <f t="shared" si="50"/>
        <v>51768.64</v>
      </c>
      <c r="AH74" s="166">
        <f t="shared" si="50"/>
        <v>65142</v>
      </c>
      <c r="AI74" s="183">
        <f t="shared" ref="AI74:AI78" si="52">SUM(C74:AH74)</f>
        <v>3526152.98</v>
      </c>
      <c r="AJ74" s="184"/>
      <c r="AK74" s="185"/>
      <c r="AL74" s="186"/>
      <c r="AM74" s="282">
        <f t="shared" ref="AM74:AX74" si="51">AM73</f>
        <v>-0.002156565892</v>
      </c>
      <c r="AN74" s="283">
        <f t="shared" si="51"/>
        <v>-0.02871320389</v>
      </c>
      <c r="AO74" s="283">
        <f t="shared" si="51"/>
        <v>-0.01430306616</v>
      </c>
      <c r="AP74" s="283">
        <f t="shared" si="51"/>
        <v>0.004358217225</v>
      </c>
      <c r="AQ74" s="283">
        <f t="shared" si="51"/>
        <v>0.07073052636</v>
      </c>
      <c r="AR74" s="283">
        <f t="shared" si="51"/>
        <v>0.04468930767</v>
      </c>
      <c r="AS74" s="283">
        <f t="shared" si="51"/>
        <v>0.03302475053</v>
      </c>
      <c r="AT74" s="283">
        <f t="shared" si="51"/>
        <v>0.07936972024</v>
      </c>
      <c r="AU74" s="283">
        <f t="shared" si="51"/>
        <v>0.2108857082</v>
      </c>
      <c r="AV74" s="283">
        <f t="shared" si="51"/>
        <v>0.2802842094</v>
      </c>
      <c r="AW74" s="283">
        <f t="shared" si="51"/>
        <v>0.3157962146</v>
      </c>
      <c r="AX74" s="283">
        <f t="shared" si="51"/>
        <v>0.3864459005</v>
      </c>
      <c r="AY74" s="171"/>
      <c r="AZ74" s="172"/>
    </row>
    <row r="75" ht="24.0" customHeight="1">
      <c r="A75" s="133"/>
      <c r="B75" s="134" t="s">
        <v>160</v>
      </c>
      <c r="C75" s="135">
        <v>0.0</v>
      </c>
      <c r="D75" s="135">
        <v>0.0</v>
      </c>
      <c r="E75" s="135">
        <v>0.0</v>
      </c>
      <c r="F75" s="135">
        <v>0.0</v>
      </c>
      <c r="G75" s="135">
        <v>0.0</v>
      </c>
      <c r="H75" s="135">
        <v>0.0</v>
      </c>
      <c r="I75" s="135">
        <v>0.0</v>
      </c>
      <c r="J75" s="135">
        <v>0.0</v>
      </c>
      <c r="K75" s="135">
        <v>0.0</v>
      </c>
      <c r="L75" s="135">
        <v>0.0</v>
      </c>
      <c r="M75" s="135">
        <f>+14911.45</f>
        <v>14911.45</v>
      </c>
      <c r="N75" s="135">
        <v>0.0</v>
      </c>
      <c r="O75" s="135">
        <v>0.0</v>
      </c>
      <c r="P75" s="135">
        <v>0.0</v>
      </c>
      <c r="Q75" s="135">
        <v>0.0</v>
      </c>
      <c r="R75" s="135">
        <f>+50*59.53 + 50*60.22 + 50*60.51 + 50*60.74 + 50*60.78 + 50*60.86 + 50*60.92 + 50*60.9 + 50*60.55 + 50*60.42 + 50*60.34 + 50*60.28 + 50*60.02 + 50*59.7 + 50*60.79 + 50*60.79 + 50*60.75 + 50*60.89 + 50*60.82 + 50*60.86 + 50*60.97 + 50*60.98 + 50*60.9 + 50*61.16 + 50*60.42 + 50*60.67 + 50*60.71+ 50*54.74 + 50*55.1 + 50*56.68 + 50*57.44 + 50*55.81 + 50*56.18 + 50*58.72+ 50*53.03 + 50*54.2
</f>
        <v>106919</v>
      </c>
      <c r="S75" s="135">
        <v>0.0</v>
      </c>
      <c r="T75" s="135">
        <v>0.0</v>
      </c>
      <c r="U75" s="135">
        <f>+30*73.73 + 30*73.72 + 30*72.63 + 30*73.48 + 30*73.28 + 30*73.68 + 30*73.35 + 30*73.88 + 30*73.95 + 30*73.86+30*70.76 + 30*71.16 + 30*74.67 + 30*71.39 + 30*71.4 + 30*71.02 + 30*71.52
</f>
        <v>37124.4</v>
      </c>
      <c r="V75" s="135">
        <f>+50*96.67+50*96.81+100*96.91+50*97.01+100*97.02+100*97.05+50*97.08+50*97.46+50*95.03+50*95.57+50*96.74+50*94.11+50*94.31+50*94.71+50*95.02+50*95.1+50*95.31+50*95.41+50*93.47+50*93.11</f>
        <v>110244</v>
      </c>
      <c r="W75" s="135">
        <v>0.0</v>
      </c>
      <c r="X75" s="135">
        <v>0.0</v>
      </c>
      <c r="Y75" s="135">
        <v>0.0</v>
      </c>
      <c r="Z75" s="135">
        <v>0.0</v>
      </c>
      <c r="AA75" s="135">
        <f>+500*10.07</f>
        <v>5035</v>
      </c>
      <c r="AB75" s="135">
        <f>+100*36.02+100*36.01+100*36+100*35.97+100*35.91+100*35.83+100*35.81+100*35.81+100*35.77+100*35.73+100*35.69+100*35.66+100*35.54+100*35.52</f>
        <v>50127</v>
      </c>
      <c r="AC75" s="135">
        <f>+200*6.02+100*6.03+100*6.04+100*6.08+100*6.03+100*5.96</f>
        <v>4218</v>
      </c>
      <c r="AD75" s="135">
        <f>+200*6.22+400*6.21+100*6.2+300*6.19+500*6.18+100*6.17+300*6.16+100*6.15+100*6.14+100*6.03+100*6.12</f>
        <v>14204</v>
      </c>
      <c r="AE75" s="135">
        <v>0.0</v>
      </c>
      <c r="AF75" s="135">
        <v>0.0</v>
      </c>
      <c r="AG75" s="135">
        <v>0.0</v>
      </c>
      <c r="AH75" s="135">
        <f>+100*32.52+100*32.44+100*32.35+55*31.87</f>
        <v>11483.85</v>
      </c>
      <c r="AI75" s="151">
        <f t="shared" si="52"/>
        <v>354266.7</v>
      </c>
      <c r="AJ75" s="145"/>
      <c r="AK75" s="146"/>
      <c r="AL75" s="172"/>
      <c r="AM75" s="147"/>
      <c r="AN75" s="147"/>
      <c r="AO75" s="147"/>
      <c r="AP75" s="147"/>
      <c r="AQ75" s="147"/>
      <c r="AR75" s="147"/>
      <c r="AS75" s="147"/>
      <c r="AT75" s="147"/>
      <c r="AU75" s="147"/>
      <c r="AV75" s="147"/>
      <c r="AW75" s="147"/>
      <c r="AX75" s="147"/>
      <c r="AY75" s="147"/>
      <c r="AZ75" s="147"/>
    </row>
    <row r="76" ht="24.0" customHeight="1">
      <c r="A76" s="133"/>
      <c r="B76" s="143" t="s">
        <v>161</v>
      </c>
      <c r="C76" s="135">
        <v>0.0</v>
      </c>
      <c r="D76" s="135">
        <v>0.0</v>
      </c>
      <c r="E76" s="135">
        <f>+E78-E74</f>
        <v>37559.24</v>
      </c>
      <c r="F76" s="135">
        <v>0.0</v>
      </c>
      <c r="G76" s="135">
        <v>0.0</v>
      </c>
      <c r="H76" s="135">
        <v>0.0</v>
      </c>
      <c r="I76" s="135">
        <v>0.0</v>
      </c>
      <c r="J76" s="135">
        <v>0.0</v>
      </c>
      <c r="K76" s="135">
        <v>0.0</v>
      </c>
      <c r="L76" s="135">
        <f>-14911.45</f>
        <v>-14911.45</v>
      </c>
      <c r="M76" s="135">
        <v>0.0</v>
      </c>
      <c r="N76" s="135">
        <f>-250*32.55-500*33.6-350*32.15-350*32.22-700*32.24-350*32.3-350*32.69-300*36.31 -1000*37.93 - 500*37.16
</f>
        <v>-160184.5</v>
      </c>
      <c r="O76" s="135">
        <v>0.0</v>
      </c>
      <c r="P76" s="135">
        <v>0.0</v>
      </c>
      <c r="Q76" s="135">
        <v>0.0</v>
      </c>
      <c r="R76" s="135">
        <v>0.0</v>
      </c>
      <c r="S76" s="135">
        <v>0.0</v>
      </c>
      <c r="T76" s="135">
        <f>-50*67.77-50*68.03-50*67.97 - (200*72 + 50*71.98 + 50*72.09 + 50*72.16 + 50*72.16) - 100*72.31
</f>
        <v>-46239</v>
      </c>
      <c r="U76" s="135">
        <f>-300*76.42-100*72.92-150*73.1-100*73.49</f>
        <v>-48532</v>
      </c>
      <c r="V76" s="135">
        <v>0.0</v>
      </c>
      <c r="W76" s="135">
        <f>-1000*5.65-4000*5.66-6000*5.67 -1000*5.95 - 1000*5.94 -1000*5.95</f>
        <v>-80150</v>
      </c>
      <c r="X76" s="135">
        <f>-140*96.56</f>
        <v>-13518.4</v>
      </c>
      <c r="Y76" s="135">
        <f>-50*97.1-50*97.08-1*97.01-30*96.94-30*96.85-100*96.83-100*95.68-150*100.5-60*97.44-60*97.67-60*97.86-237*103.66 -30*103.66 - 30*103.58 - 45*102.56 - 10*102.57 - 44*102.53 - 1*102.55 - 50*102.5 - 30*102.59- 11*102.55 - 19*102.53</f>
        <v>-119842.12</v>
      </c>
      <c r="Z76" s="135">
        <f>-200*59.86-100*59.87-500*59.89-100*59.93-100*60.08-500*60.86-100*62.26 - 100*62.32-1000*64.9</f>
        <v>-167693</v>
      </c>
      <c r="AA76" s="135">
        <v>0.0</v>
      </c>
      <c r="AB76" s="135">
        <v>0.0</v>
      </c>
      <c r="AC76" s="135">
        <f>-300*5.85-100*5.86-100*5.87-100*5.88-100*5.92</f>
        <v>-4108</v>
      </c>
      <c r="AD76" s="135">
        <f>-2300*5.93</f>
        <v>-13639</v>
      </c>
      <c r="AE76" s="135">
        <v>0.0</v>
      </c>
      <c r="AF76" s="135">
        <v>0.0</v>
      </c>
      <c r="AG76" s="135">
        <v>0.0</v>
      </c>
      <c r="AH76" s="135">
        <v>0.0</v>
      </c>
      <c r="AI76" s="151">
        <f t="shared" si="52"/>
        <v>-631258.23</v>
      </c>
      <c r="AJ76" s="145"/>
      <c r="AK76" s="146"/>
      <c r="AL76" s="172"/>
      <c r="AM76" s="147"/>
      <c r="AN76" s="147"/>
      <c r="AO76" s="147"/>
      <c r="AP76" s="147"/>
      <c r="AQ76" s="147"/>
      <c r="AR76" s="147"/>
      <c r="AS76" s="147"/>
      <c r="AT76" s="147"/>
      <c r="AU76" s="147"/>
      <c r="AV76" s="147"/>
      <c r="AW76" s="147"/>
      <c r="AX76" s="147"/>
      <c r="AY76" s="147"/>
      <c r="AZ76" s="147"/>
    </row>
    <row r="77" ht="24.0" customHeight="1">
      <c r="A77" s="133"/>
      <c r="B77" s="144" t="s">
        <v>162</v>
      </c>
      <c r="C77" s="135">
        <v>0.0</v>
      </c>
      <c r="D77" s="135">
        <v>0.0</v>
      </c>
      <c r="E77" s="135">
        <v>0.0</v>
      </c>
      <c r="F77" s="135">
        <v>0.0</v>
      </c>
      <c r="G77" s="135">
        <v>0.0</v>
      </c>
      <c r="H77" s="135">
        <v>0.0</v>
      </c>
      <c r="I77" s="135">
        <v>0.0</v>
      </c>
      <c r="J77" s="135">
        <v>0.0</v>
      </c>
      <c r="K77" s="135">
        <v>0.0</v>
      </c>
      <c r="L77" s="135">
        <v>0.0</v>
      </c>
      <c r="M77" s="135">
        <v>0.0</v>
      </c>
      <c r="N77" s="135">
        <v>0.0</v>
      </c>
      <c r="O77" s="135">
        <v>0.0</v>
      </c>
      <c r="P77" s="135">
        <v>0.0</v>
      </c>
      <c r="Q77" s="135">
        <v>0.0</v>
      </c>
      <c r="R77" s="135">
        <v>0.0</v>
      </c>
      <c r="S77" s="135">
        <v>0.0</v>
      </c>
      <c r="T77" s="135">
        <v>0.0</v>
      </c>
      <c r="U77" s="135">
        <v>0.0</v>
      </c>
      <c r="V77" s="135">
        <v>0.0</v>
      </c>
      <c r="W77" s="135">
        <v>0.0</v>
      </c>
      <c r="X77" s="135">
        <v>0.0</v>
      </c>
      <c r="Y77" s="135">
        <v>0.0</v>
      </c>
      <c r="Z77" s="135">
        <v>0.0</v>
      </c>
      <c r="AA77" s="135">
        <v>0.0</v>
      </c>
      <c r="AB77" s="135">
        <v>0.0</v>
      </c>
      <c r="AC77" s="135">
        <v>0.0</v>
      </c>
      <c r="AD77" s="135">
        <v>0.0</v>
      </c>
      <c r="AE77" s="135">
        <v>0.0</v>
      </c>
      <c r="AF77" s="135">
        <v>0.0</v>
      </c>
      <c r="AG77" s="135">
        <v>0.0</v>
      </c>
      <c r="AH77" s="135">
        <v>0.0</v>
      </c>
      <c r="AI77" s="151">
        <f t="shared" si="52"/>
        <v>0</v>
      </c>
      <c r="AJ77" s="145">
        <f>SUM(AI74:AI77)</f>
        <v>3249161.45</v>
      </c>
      <c r="AK77" s="146"/>
      <c r="AL77" s="147"/>
      <c r="AM77" s="147"/>
      <c r="AN77" s="147"/>
      <c r="AO77" s="147"/>
      <c r="AP77" s="147"/>
      <c r="AQ77" s="147"/>
      <c r="AR77" s="147"/>
      <c r="AS77" s="147"/>
      <c r="AT77" s="147"/>
      <c r="AU77" s="147"/>
      <c r="AV77" s="147"/>
      <c r="AW77" s="147"/>
      <c r="AX77" s="147"/>
      <c r="AY77" s="147"/>
      <c r="AZ77" s="147"/>
    </row>
    <row r="78" ht="24.0" customHeight="1">
      <c r="A78" s="133"/>
      <c r="B78" s="150" t="s">
        <v>163</v>
      </c>
      <c r="C78" s="135">
        <f>+(20263.35+12221.44)*0+(20341.53+12269.27)*0+(12371.61+20510.12)</f>
        <v>32881.73</v>
      </c>
      <c r="D78" s="135">
        <f>+145841.12*0+146247.68*0+146407.56*0+147643.85</f>
        <v>147643.85</v>
      </c>
      <c r="E78" s="135">
        <f>+((+10153.63+86.16)+(-10718.72+1482+645))*0+((+6224+615)+(435))*0+(6179.43+86)*0+(+26172.93-608)*0+(-11697.72-58425+45171)*0+((-17252+9395)+(-19980-85435.93))*0+((-11576.32+7846.89)+(+382-89341.255-38601.22))*0+((-66706.72-12676.23)+(55000-30000-38601))*0+((-121784.72-23601+7000+33000+50000)+(-89660))*0+((-18478-94641)+(-89660-29927))*0+((-273701.25-31458+33398+79590+15977)+(-24084+300-40000))*0+((-211854.04+13834)+(-39790-26092))*0+(+13469+39139)*0+((-10534+13469)+((1600+7018))*0+(-3630+13866))*0+(+18686+3817)*0+(49130.52-9969)</f>
        <v>39161.52</v>
      </c>
      <c r="F78" s="135">
        <v>0.0</v>
      </c>
      <c r="G78" s="135">
        <f>+111607.29*0+111913.8*0+112037.08*0+112970.81</f>
        <v>112970.81</v>
      </c>
      <c r="H78" s="135">
        <v>0.0</v>
      </c>
      <c r="I78" s="135">
        <f>+183770.81*0+184526.25*0+185807.4*0+185883.39</f>
        <v>185883.39</v>
      </c>
      <c r="J78" s="135">
        <f>+226230.04*0+226857.37*0+227231.28*0+228985.43</f>
        <v>228985.43</v>
      </c>
      <c r="K78" s="135">
        <f>+219876.13*0+220118.64*0+220847.77*0+222435.84*0+222558.47</f>
        <v>222558.47</v>
      </c>
      <c r="L78" s="135">
        <f>+113200.87*0+(113662-14911.45)*0+98527.29*0+99792*0+100032*0+97981.18*0+97915.3</f>
        <v>97915.3</v>
      </c>
      <c r="M78" s="135">
        <f>+148177+14911.45</f>
        <v>163088.45</v>
      </c>
      <c r="N78" s="135">
        <f>+(+6150-250-500-2100-300-1500)*35.57</f>
        <v>53355</v>
      </c>
      <c r="O78" s="135">
        <v>0.0</v>
      </c>
      <c r="P78" s="135">
        <f>+224082.28*0+224791.3*0+224912.03*0+226357.3*0+226468.21</f>
        <v>226468.21</v>
      </c>
      <c r="Q78" s="135">
        <f>+60835.51*0+60833.21*0+61291.33</f>
        <v>61291.33</v>
      </c>
      <c r="R78" s="135">
        <f>+(+1350+350+100)*57.98</f>
        <v>104364</v>
      </c>
      <c r="S78" s="135">
        <v>0.0</v>
      </c>
      <c r="T78" s="135">
        <f>+(+1000-150-400-100)*72.86</f>
        <v>25501</v>
      </c>
      <c r="U78" s="135">
        <f>+(+10725-300-350+300+210)*76.54</f>
        <v>810175.9</v>
      </c>
      <c r="V78" s="136">
        <f>+(+550+100+50+350+100)*104.48</f>
        <v>120152</v>
      </c>
      <c r="W78" s="135">
        <f>+(+21000-11000-3000)*6.1</f>
        <v>42700</v>
      </c>
      <c r="X78" s="135">
        <f>+(+430-140)*103.76</f>
        <v>30090.4</v>
      </c>
      <c r="Y78" s="135">
        <f>+(+1278-361-150-180-237-270)*103.76</f>
        <v>8300.8</v>
      </c>
      <c r="Z78" s="135">
        <f>+(+6300-1500-200-1000)*65.3</f>
        <v>235080</v>
      </c>
      <c r="AA78" s="135">
        <f>+(+5300+500)*11.7</f>
        <v>67860</v>
      </c>
      <c r="AB78" s="135">
        <f>+(+1700+1400)*42.15</f>
        <v>130665</v>
      </c>
      <c r="AC78" s="135">
        <f>+(+700-600-100)*5.99</f>
        <v>0</v>
      </c>
      <c r="AD78" s="135">
        <f>+(+2100+200-2300)*5.97</f>
        <v>0</v>
      </c>
      <c r="AE78" s="135">
        <f>+3610*11.7</f>
        <v>42237</v>
      </c>
      <c r="AF78" s="135">
        <f>+1300*76.54</f>
        <v>99502</v>
      </c>
      <c r="AG78" s="135">
        <f>+764*72.86</f>
        <v>55665.04</v>
      </c>
      <c r="AH78" s="135">
        <f>+(+2200+300+55)*35.57</f>
        <v>90881.35</v>
      </c>
      <c r="AI78" s="151">
        <f t="shared" si="52"/>
        <v>3435377.98</v>
      </c>
      <c r="AJ78" s="145">
        <f>+AJ77-AI78</f>
        <v>-186216.53</v>
      </c>
      <c r="AK78" s="146"/>
      <c r="AL78" s="147"/>
      <c r="AM78" s="147"/>
      <c r="AN78" s="147"/>
      <c r="AO78" s="147"/>
      <c r="AP78" s="147"/>
      <c r="AQ78" s="147"/>
      <c r="AR78" s="147"/>
      <c r="AS78" s="147"/>
      <c r="AT78" s="147"/>
      <c r="AU78" s="147"/>
      <c r="AV78" s="147"/>
      <c r="AW78" s="147"/>
      <c r="AX78" s="147"/>
      <c r="AY78" s="147"/>
      <c r="AZ78" s="147"/>
    </row>
    <row r="79" ht="22.5" customHeight="1">
      <c r="A79" s="133"/>
      <c r="B79" s="153" t="s">
        <v>165</v>
      </c>
      <c r="C79" s="154">
        <f t="shared" ref="C79:AI79" si="53">IFERROR(IF(C78=0,(-C76/C74)-1,C80),"")</f>
        <v>0.01278013232</v>
      </c>
      <c r="D79" s="154">
        <f t="shared" si="53"/>
        <v>0.01292801078</v>
      </c>
      <c r="E79" s="154">
        <f t="shared" si="53"/>
        <v>0</v>
      </c>
      <c r="F79" s="154" t="str">
        <f t="shared" si="53"/>
        <v/>
      </c>
      <c r="G79" s="154">
        <f t="shared" si="53"/>
        <v>0.01278237483</v>
      </c>
      <c r="H79" s="154" t="str">
        <f t="shared" si="53"/>
        <v/>
      </c>
      <c r="I79" s="154">
        <f t="shared" si="53"/>
        <v>0.0114957321</v>
      </c>
      <c r="J79" s="154">
        <f t="shared" si="53"/>
        <v>0.01275780085</v>
      </c>
      <c r="K79" s="154">
        <f t="shared" si="53"/>
        <v>0.01275729848</v>
      </c>
      <c r="L79" s="154">
        <f t="shared" si="53"/>
        <v>-0.0007660956888</v>
      </c>
      <c r="M79" s="154">
        <f t="shared" si="53"/>
        <v>0</v>
      </c>
      <c r="N79" s="154">
        <f t="shared" si="53"/>
        <v>1.434411644</v>
      </c>
      <c r="O79" s="154" t="str">
        <f t="shared" si="53"/>
        <v/>
      </c>
      <c r="P79" s="154">
        <f t="shared" si="53"/>
        <v>0.011179816</v>
      </c>
      <c r="Q79" s="154">
        <f t="shared" si="53"/>
        <v>0.007314830413</v>
      </c>
      <c r="R79" s="154">
        <f t="shared" si="53"/>
        <v>-0.02389659462</v>
      </c>
      <c r="S79" s="154" t="str">
        <f t="shared" si="53"/>
        <v/>
      </c>
      <c r="T79" s="154">
        <f t="shared" si="53"/>
        <v>0.1849356443</v>
      </c>
      <c r="U79" s="154">
        <f t="shared" si="53"/>
        <v>0.03670448686</v>
      </c>
      <c r="V79" s="154">
        <f t="shared" si="53"/>
        <v>0.08987337179</v>
      </c>
      <c r="W79" s="154">
        <f t="shared" si="53"/>
        <v>0.186770428</v>
      </c>
      <c r="X79" s="154">
        <f t="shared" si="53"/>
        <v>0.120864794</v>
      </c>
      <c r="Y79" s="154">
        <f t="shared" si="53"/>
        <v>66.08259253</v>
      </c>
      <c r="Z79" s="154">
        <f t="shared" si="53"/>
        <v>0.2024429418</v>
      </c>
      <c r="AA79" s="154">
        <f t="shared" si="53"/>
        <v>0.0367428004</v>
      </c>
      <c r="AB79" s="154">
        <f t="shared" si="53"/>
        <v>0.1626965412</v>
      </c>
      <c r="AC79" s="154" t="str">
        <f t="shared" si="53"/>
        <v/>
      </c>
      <c r="AD79" s="154" t="str">
        <f t="shared" si="53"/>
        <v/>
      </c>
      <c r="AE79" s="154">
        <f t="shared" si="53"/>
        <v>0.02631578947</v>
      </c>
      <c r="AF79" s="154">
        <f t="shared" si="53"/>
        <v>0.03530366563</v>
      </c>
      <c r="AG79" s="154">
        <f t="shared" si="53"/>
        <v>0.07526564345</v>
      </c>
      <c r="AH79" s="154">
        <f t="shared" si="53"/>
        <v>0.1860403506</v>
      </c>
      <c r="AI79" s="155">
        <f t="shared" si="53"/>
        <v>0.05731218127</v>
      </c>
      <c r="AJ79" s="145">
        <f>AI78*AI79</f>
        <v>196889.0055</v>
      </c>
      <c r="AK79" s="146"/>
      <c r="AL79" s="147"/>
      <c r="AM79" s="147"/>
      <c r="AN79" s="147"/>
      <c r="AO79" s="147"/>
      <c r="AP79" s="147"/>
      <c r="AQ79" s="147"/>
      <c r="AR79" s="147"/>
      <c r="AS79" s="147"/>
      <c r="AT79" s="147"/>
      <c r="AU79" s="147"/>
      <c r="AV79" s="147"/>
      <c r="AW79" s="147"/>
      <c r="AX79" s="147"/>
      <c r="AY79" s="147"/>
      <c r="AZ79" s="147"/>
    </row>
    <row r="80" ht="1.5" customHeight="1">
      <c r="A80" s="133"/>
      <c r="B80" s="156" t="s">
        <v>166</v>
      </c>
      <c r="C80" s="180">
        <f t="shared" ref="C80:AI80" si="54">IFERROR(IF(AND(C74&lt;&gt;0,C78=""),"",(C78/(C74+C75+C76+C77))-1),"")</f>
        <v>0.01278013232</v>
      </c>
      <c r="D80" s="180">
        <f t="shared" si="54"/>
        <v>0.01292801078</v>
      </c>
      <c r="E80" s="180">
        <f t="shared" si="54"/>
        <v>0</v>
      </c>
      <c r="F80" s="180" t="str">
        <f t="shared" si="54"/>
        <v/>
      </c>
      <c r="G80" s="180">
        <f t="shared" si="54"/>
        <v>0.01278237483</v>
      </c>
      <c r="H80" s="180" t="str">
        <f t="shared" si="54"/>
        <v/>
      </c>
      <c r="I80" s="180">
        <f t="shared" si="54"/>
        <v>0.0114957321</v>
      </c>
      <c r="J80" s="180">
        <f t="shared" si="54"/>
        <v>0.01275780085</v>
      </c>
      <c r="K80" s="180">
        <f t="shared" si="54"/>
        <v>0.01275729848</v>
      </c>
      <c r="L80" s="180">
        <f t="shared" si="54"/>
        <v>-0.0007660956888</v>
      </c>
      <c r="M80" s="180">
        <f t="shared" si="54"/>
        <v>0</v>
      </c>
      <c r="N80" s="180">
        <f t="shared" si="54"/>
        <v>1.434411644</v>
      </c>
      <c r="O80" s="180" t="str">
        <f t="shared" si="54"/>
        <v/>
      </c>
      <c r="P80" s="180">
        <f t="shared" si="54"/>
        <v>0.011179816</v>
      </c>
      <c r="Q80" s="180">
        <f t="shared" si="54"/>
        <v>0.007314830413</v>
      </c>
      <c r="R80" s="180">
        <f t="shared" si="54"/>
        <v>-0.02389659462</v>
      </c>
      <c r="S80" s="180" t="str">
        <f t="shared" si="54"/>
        <v/>
      </c>
      <c r="T80" s="180">
        <f t="shared" si="54"/>
        <v>0.1849356443</v>
      </c>
      <c r="U80" s="180">
        <f t="shared" si="54"/>
        <v>0.03670448686</v>
      </c>
      <c r="V80" s="180">
        <f t="shared" si="54"/>
        <v>0.08987337179</v>
      </c>
      <c r="W80" s="180">
        <f t="shared" si="54"/>
        <v>0.186770428</v>
      </c>
      <c r="X80" s="180">
        <f t="shared" si="54"/>
        <v>0.120864794</v>
      </c>
      <c r="Y80" s="180">
        <f t="shared" si="54"/>
        <v>66.08259253</v>
      </c>
      <c r="Z80" s="180">
        <f t="shared" si="54"/>
        <v>0.2024429418</v>
      </c>
      <c r="AA80" s="180">
        <f t="shared" si="54"/>
        <v>0.0367428004</v>
      </c>
      <c r="AB80" s="180">
        <f t="shared" si="54"/>
        <v>0.1626965412</v>
      </c>
      <c r="AC80" s="180">
        <f t="shared" si="54"/>
        <v>-1</v>
      </c>
      <c r="AD80" s="180">
        <f t="shared" si="54"/>
        <v>-1</v>
      </c>
      <c r="AE80" s="180">
        <f t="shared" si="54"/>
        <v>0.02631578947</v>
      </c>
      <c r="AF80" s="180">
        <f t="shared" si="54"/>
        <v>0.03530366563</v>
      </c>
      <c r="AG80" s="180">
        <f t="shared" si="54"/>
        <v>0.07526564345</v>
      </c>
      <c r="AH80" s="180">
        <f t="shared" si="54"/>
        <v>0.1860403506</v>
      </c>
      <c r="AI80" s="181">
        <f t="shared" si="54"/>
        <v>0.05731218127</v>
      </c>
      <c r="AJ80" s="145"/>
      <c r="AK80" s="146"/>
      <c r="AL80" s="147"/>
      <c r="AM80" s="147"/>
      <c r="AN80" s="147"/>
      <c r="AO80" s="147"/>
      <c r="AP80" s="147"/>
      <c r="AQ80" s="147"/>
      <c r="AR80" s="147"/>
      <c r="AS80" s="147"/>
      <c r="AT80" s="147"/>
      <c r="AU80" s="147"/>
      <c r="AV80" s="147"/>
      <c r="AW80" s="147"/>
      <c r="AX80" s="147"/>
      <c r="AY80" s="147"/>
      <c r="AZ80" s="147"/>
    </row>
    <row r="81" ht="19.5" customHeight="1">
      <c r="A81" s="158"/>
      <c r="B81" s="159" t="s">
        <v>167</v>
      </c>
      <c r="C81" s="160">
        <f t="shared" ref="C81:AI81" si="55">IFERROR(C78/$AI$78,"")</f>
        <v>0.009571502813</v>
      </c>
      <c r="D81" s="160">
        <f t="shared" si="55"/>
        <v>0.04297746881</v>
      </c>
      <c r="E81" s="160">
        <f t="shared" si="55"/>
        <v>0.01139947925</v>
      </c>
      <c r="F81" s="160">
        <f t="shared" si="55"/>
        <v>0</v>
      </c>
      <c r="G81" s="160">
        <f t="shared" si="55"/>
        <v>0.03288453575</v>
      </c>
      <c r="H81" s="160">
        <f t="shared" si="55"/>
        <v>0</v>
      </c>
      <c r="I81" s="160">
        <f t="shared" si="55"/>
        <v>0.05410857003</v>
      </c>
      <c r="J81" s="160">
        <f t="shared" si="55"/>
        <v>0.06665509045</v>
      </c>
      <c r="K81" s="160">
        <f t="shared" si="55"/>
        <v>0.06478427448</v>
      </c>
      <c r="L81" s="160">
        <f t="shared" si="55"/>
        <v>0.02850204565</v>
      </c>
      <c r="M81" s="160">
        <f t="shared" si="55"/>
        <v>0.04747321865</v>
      </c>
      <c r="N81" s="160">
        <f t="shared" si="55"/>
        <v>0.01553104209</v>
      </c>
      <c r="O81" s="160">
        <f t="shared" si="55"/>
        <v>0</v>
      </c>
      <c r="P81" s="160">
        <f t="shared" si="55"/>
        <v>0.06592235594</v>
      </c>
      <c r="Q81" s="160">
        <f t="shared" si="55"/>
        <v>0.01784121874</v>
      </c>
      <c r="R81" s="160">
        <f t="shared" si="55"/>
        <v>0.03037918989</v>
      </c>
      <c r="S81" s="160">
        <f t="shared" si="55"/>
        <v>0</v>
      </c>
      <c r="T81" s="160">
        <f t="shared" si="55"/>
        <v>0.00742305509</v>
      </c>
      <c r="U81" s="160">
        <f t="shared" si="55"/>
        <v>0.2358331178</v>
      </c>
      <c r="V81" s="160">
        <f t="shared" si="55"/>
        <v>0.03497489962</v>
      </c>
      <c r="W81" s="160">
        <f t="shared" si="55"/>
        <v>0.01242949109</v>
      </c>
      <c r="X81" s="160">
        <f t="shared" si="55"/>
        <v>0.008758977957</v>
      </c>
      <c r="Y81" s="160">
        <f t="shared" si="55"/>
        <v>0.002416269781</v>
      </c>
      <c r="Z81" s="160">
        <f t="shared" si="55"/>
        <v>0.06842915143</v>
      </c>
      <c r="AA81" s="160">
        <f t="shared" si="55"/>
        <v>0.01975328491</v>
      </c>
      <c r="AB81" s="160">
        <f t="shared" si="55"/>
        <v>0.03803511601</v>
      </c>
      <c r="AC81" s="160">
        <f t="shared" si="55"/>
        <v>0</v>
      </c>
      <c r="AD81" s="160">
        <f t="shared" si="55"/>
        <v>0</v>
      </c>
      <c r="AE81" s="160">
        <f t="shared" si="55"/>
        <v>0.01229471698</v>
      </c>
      <c r="AF81" s="160">
        <f t="shared" si="55"/>
        <v>0.02896391622</v>
      </c>
      <c r="AG81" s="160">
        <f t="shared" si="55"/>
        <v>0.01620346882</v>
      </c>
      <c r="AH81" s="160">
        <f t="shared" si="55"/>
        <v>0.02645454169</v>
      </c>
      <c r="AI81" s="161">
        <f t="shared" si="55"/>
        <v>1</v>
      </c>
      <c r="AJ81" s="162">
        <f>AI78-AI74</f>
        <v>-90775</v>
      </c>
      <c r="AK81" s="163">
        <f>AI78/AI74-1</f>
        <v>-0.02574335275</v>
      </c>
      <c r="AL81" s="147"/>
      <c r="AM81" s="147"/>
      <c r="AN81" s="147"/>
      <c r="AO81" s="147"/>
      <c r="AP81" s="147"/>
      <c r="AQ81" s="147"/>
      <c r="AR81" s="147"/>
      <c r="AS81" s="147"/>
      <c r="AT81" s="147"/>
      <c r="AU81" s="147"/>
      <c r="AV81" s="147"/>
      <c r="AW81" s="147"/>
      <c r="AX81" s="147"/>
      <c r="AY81" s="147"/>
      <c r="AZ81" s="147"/>
    </row>
    <row r="82" ht="24.0" customHeight="1">
      <c r="A82" s="164">
        <v>45962.0</v>
      </c>
      <c r="B82" s="165" t="s">
        <v>168</v>
      </c>
      <c r="C82" s="166">
        <f t="shared" ref="C82:AH82" si="56">IF(C86="","",C78)</f>
        <v>32881.73</v>
      </c>
      <c r="D82" s="166">
        <f t="shared" si="56"/>
        <v>147643.85</v>
      </c>
      <c r="E82" s="166">
        <f t="shared" si="56"/>
        <v>39161.52</v>
      </c>
      <c r="F82" s="166">
        <f t="shared" si="56"/>
        <v>0</v>
      </c>
      <c r="G82" s="166">
        <f t="shared" si="56"/>
        <v>112970.81</v>
      </c>
      <c r="H82" s="166">
        <f t="shared" si="56"/>
        <v>0</v>
      </c>
      <c r="I82" s="166">
        <f t="shared" si="56"/>
        <v>185883.39</v>
      </c>
      <c r="J82" s="166">
        <f t="shared" si="56"/>
        <v>228985.43</v>
      </c>
      <c r="K82" s="166">
        <f t="shared" si="56"/>
        <v>222558.47</v>
      </c>
      <c r="L82" s="166">
        <f t="shared" si="56"/>
        <v>97915.3</v>
      </c>
      <c r="M82" s="166">
        <f t="shared" si="56"/>
        <v>163088.45</v>
      </c>
      <c r="N82" s="166">
        <f t="shared" si="56"/>
        <v>53355</v>
      </c>
      <c r="O82" s="166">
        <f t="shared" si="56"/>
        <v>0</v>
      </c>
      <c r="P82" s="166">
        <f t="shared" si="56"/>
        <v>226468.21</v>
      </c>
      <c r="Q82" s="166">
        <f t="shared" si="56"/>
        <v>61291.33</v>
      </c>
      <c r="R82" s="166">
        <f t="shared" si="56"/>
        <v>104364</v>
      </c>
      <c r="S82" s="166">
        <f t="shared" si="56"/>
        <v>0</v>
      </c>
      <c r="T82" s="166">
        <f t="shared" si="56"/>
        <v>25501</v>
      </c>
      <c r="U82" s="166">
        <f t="shared" si="56"/>
        <v>810175.9</v>
      </c>
      <c r="V82" s="166">
        <f t="shared" si="56"/>
        <v>120152</v>
      </c>
      <c r="W82" s="166">
        <f t="shared" si="56"/>
        <v>42700</v>
      </c>
      <c r="X82" s="166">
        <f t="shared" si="56"/>
        <v>30090.4</v>
      </c>
      <c r="Y82" s="166">
        <f t="shared" si="56"/>
        <v>8300.8</v>
      </c>
      <c r="Z82" s="166">
        <f t="shared" si="56"/>
        <v>235080</v>
      </c>
      <c r="AA82" s="166">
        <f t="shared" si="56"/>
        <v>67860</v>
      </c>
      <c r="AB82" s="166">
        <f t="shared" si="56"/>
        <v>130665</v>
      </c>
      <c r="AC82" s="166">
        <f t="shared" si="56"/>
        <v>0</v>
      </c>
      <c r="AD82" s="166">
        <f t="shared" si="56"/>
        <v>0</v>
      </c>
      <c r="AE82" s="166">
        <f t="shared" si="56"/>
        <v>42237</v>
      </c>
      <c r="AF82" s="166">
        <f t="shared" si="56"/>
        <v>99502</v>
      </c>
      <c r="AG82" s="166">
        <f t="shared" si="56"/>
        <v>55665.04</v>
      </c>
      <c r="AH82" s="166">
        <f t="shared" si="56"/>
        <v>90881.35</v>
      </c>
      <c r="AI82" s="183">
        <f t="shared" ref="AI82:AI86" si="57">SUM(C82:AH82)</f>
        <v>3435377.98</v>
      </c>
      <c r="AJ82" s="184"/>
      <c r="AK82" s="185"/>
      <c r="AL82" s="186"/>
      <c r="AM82" s="170"/>
      <c r="AN82" s="171"/>
      <c r="AO82" s="171"/>
      <c r="AP82" s="171"/>
      <c r="AQ82" s="171"/>
      <c r="AR82" s="171"/>
      <c r="AS82" s="171"/>
      <c r="AT82" s="171"/>
      <c r="AU82" s="171"/>
      <c r="AV82" s="171"/>
      <c r="AW82" s="171"/>
      <c r="AX82" s="171"/>
      <c r="AY82" s="171"/>
      <c r="AZ82" s="172"/>
    </row>
    <row r="83" ht="24.0" customHeight="1">
      <c r="A83" s="133"/>
      <c r="B83" s="134" t="s">
        <v>160</v>
      </c>
      <c r="C83" s="135">
        <v>0.0</v>
      </c>
      <c r="D83" s="135">
        <v>0.0</v>
      </c>
      <c r="E83" s="135">
        <v>0.0</v>
      </c>
      <c r="F83" s="135">
        <f>+40*142.52 + 40*142.52 + 40*142.52+50*142.6 + 50*142.61 +80*143.37 + 50*143.35
</f>
        <v>50000</v>
      </c>
      <c r="G83" s="135">
        <v>0.0</v>
      </c>
      <c r="H83" s="135">
        <v>0.0</v>
      </c>
      <c r="I83" s="135">
        <v>0.0</v>
      </c>
      <c r="J83" s="135">
        <v>0.0</v>
      </c>
      <c r="K83" s="135">
        <v>0.0</v>
      </c>
      <c r="L83" s="135">
        <f>+30000+4500</f>
        <v>34500</v>
      </c>
      <c r="M83" s="135">
        <v>0.0</v>
      </c>
      <c r="N83" s="135">
        <v>0.0</v>
      </c>
      <c r="O83" s="136">
        <v>0.0</v>
      </c>
      <c r="P83" s="135">
        <v>0.0</v>
      </c>
      <c r="Q83" s="135">
        <v>0.0</v>
      </c>
      <c r="R83" s="135">
        <f>+50*57.41 + 50*57.11 + 50*58.9 + 50*58.93+50*58.21 + 50*58.58 + 50*58.77 + 50*58.84 + 50*58.71
</f>
        <v>26273</v>
      </c>
      <c r="S83" s="135">
        <f>+50*142.35 + 50*142.36 + 45*142.36 + 50*142.35 + 50*142.37 + 50*142.36+50*142.51 + 50*142.52 + 50*142.52 + 50*142.52+ 50*142.53 + 50*142.53 + 9*142.53+50*143.37 + 50*143.37 + 50*143.35
</f>
        <v>107539.47</v>
      </c>
      <c r="T83" s="135">
        <v>0.0</v>
      </c>
      <c r="U83" s="135">
        <f> +10*65.89 + 10*65.81 + 10*65.84 + 10*65.83 + 10*65.82 + 10*65.86 + 10*65.88 + 10*65.82 + 10*65.85 + 10*65.92 + 10*66.45 + 10*65.91 + 10*65.79 + 10*65.78 + 10*65.78 + 10*65.81 + 10*65.83 + 10*65.8 + 10*65.82 + 10*65.8 + 10*65.82 + 10*65.8 + 10*65.8 + 10*66.64 + 10*65.77 + 10*65.94
</f>
        <v>17130.6</v>
      </c>
      <c r="V83" s="135">
        <f>+50*93.82+50*93.68+50*93.34+50*93.23+200*85.99 + 50*86.12 + 50*88.2 + 50*88.02
</f>
        <v>49018.5</v>
      </c>
      <c r="W83" s="135">
        <v>0.0</v>
      </c>
      <c r="X83" s="135">
        <v>0.0</v>
      </c>
      <c r="Y83" s="135">
        <v>0.0</v>
      </c>
      <c r="Z83" s="135"/>
      <c r="AA83" s="135">
        <f> 500*9.05 + 500*9.07 + 500*9.07 + 500*9.08 + 500*8.99 + 500*9.08 + 500*9.08 + 500*9.08 + 100*9.06 + 100*9.09+500*8.66+ 500*8.75 + 100*9.04 + 100*8.88 + 100*8.88 + 100*8.88 + 100*8.88 + 100*8.88 + 100*8.93 + 100*8.93 + 100*8.91 + 100*8.93
</f>
        <v>55684</v>
      </c>
      <c r="AB83" s="135"/>
      <c r="AC83" s="135">
        <f>+10*136 + 10*136 + 10*136 + 10*134.05 + 10*132.71 + 10*135.01 + 10*133.01 + 10*134.53 + 10*135.45 + 10*136 + 10*136 + 10*136 + 10*136 + 10*136 + 10*136 + 10*136 + 10*133.92 + 10*133.75 + 10*136 + 10*135.85 + 10*133.91 + 10*132.51 + 10*134.39 + 10*134.61 + 10*134.76 + 10*134.81 + 10*135.18 + 10*134.67 + 10*134.86 + 10*134.83 + 10*134.69 + 10*134.49 + 10*134.41 + 10*134.34 + 10*134.73 + 10*135.11 + 10*135.26 + 10*135.53 + 10*135.11 + 10*135.84 + 10*136 + 10*136.19 + 10*135.85 + 10*136.29 + 10*135.74 + 10*135.61 + 10*136.01 + 10*135.43 + 10*135.89 + 10*134.91 + 10*133.51 + 10*133.16 + 10*134.17 + 10*132.6 + 10*132.85 + 10*131.94 + 8*134.28 + 2*131.3 + 10*131.51 + 10*132.77 + 10*132.17 + 10*131.82 + 10*131.41+20*142.21+20*142+10*142.26+10*142.22+20*142.1</f>
        <v>94849.34</v>
      </c>
      <c r="AD83" s="135">
        <f>+50*87.2 + 50*86.77 + 50*86.73 + 50*87.13 + 50*87.01 + 50*86.45 + 50*86.25 + 50*86.35 + 50*86.15
</f>
        <v>39002</v>
      </c>
      <c r="AE83" s="135">
        <f>200*9.01 + 200*9.05 + 200*9.01 + 200*9.01 + 200*8.98 + 200*8.99 + 200*8.99 + 200*8.98 + 200*8.98 + 200*8.99 + 200*9.01 + 200*8.99 + 200*9.01 + 200*8.99
</f>
        <v>25198</v>
      </c>
      <c r="AF83" s="135">
        <v>0.0</v>
      </c>
      <c r="AG83" s="135">
        <v>0.0</v>
      </c>
      <c r="AH83" s="135">
        <v>0.0</v>
      </c>
      <c r="AI83" s="151">
        <f t="shared" si="57"/>
        <v>499194.91</v>
      </c>
      <c r="AJ83" s="145"/>
      <c r="AK83" s="146"/>
      <c r="AL83" s="147"/>
      <c r="AM83" s="147"/>
      <c r="AN83" s="147"/>
      <c r="AO83" s="147"/>
      <c r="AP83" s="147"/>
      <c r="AQ83" s="147"/>
      <c r="AR83" s="147"/>
      <c r="AS83" s="147"/>
      <c r="AT83" s="147"/>
      <c r="AU83" s="147"/>
      <c r="AV83" s="147"/>
      <c r="AW83" s="147"/>
      <c r="AX83" s="147"/>
      <c r="AY83" s="147"/>
      <c r="AZ83" s="147"/>
    </row>
    <row r="84" ht="24.0" customHeight="1">
      <c r="A84" s="133"/>
      <c r="B84" s="143" t="s">
        <v>161</v>
      </c>
      <c r="C84" s="135">
        <v>0.0</v>
      </c>
      <c r="D84" s="135">
        <v>0.0</v>
      </c>
      <c r="E84" s="135">
        <f>+E86-E82</f>
        <v>241221.71</v>
      </c>
      <c r="F84" s="135">
        <v>0.0</v>
      </c>
      <c r="G84" s="135">
        <v>0.0</v>
      </c>
      <c r="H84" s="135">
        <v>0.0</v>
      </c>
      <c r="I84" s="135">
        <v>0.0</v>
      </c>
      <c r="J84" s="135">
        <v>0.0</v>
      </c>
      <c r="K84" s="135">
        <v>0.0</v>
      </c>
      <c r="L84" s="135">
        <v>0.0</v>
      </c>
      <c r="M84" s="135">
        <v>0.0</v>
      </c>
      <c r="N84" s="135">
        <f>-100*35.03 - 100*35.1 - 100*35.07 - 100*35.03 - 100*34.99-100*34.12 - 100*34.12 - 100*34.12 - 100*34.15 - 100*34.12 - 100*34.48 - 100*34.48 - 100*34.47 - 100*34.47 - 100*34.47
</f>
        <v>-51822</v>
      </c>
      <c r="O84" s="135">
        <v>0.0</v>
      </c>
      <c r="P84" s="135">
        <v>0.0</v>
      </c>
      <c r="Q84" s="135">
        <v>0.0</v>
      </c>
      <c r="R84" s="135">
        <v>0.0</v>
      </c>
      <c r="S84" s="135">
        <f> - 70*143.15 - 70*143.15 - 70*143.15 - 70*143.15 - 70*143.15
</f>
        <v>-50102.5</v>
      </c>
      <c r="T84" s="135">
        <f>- 50*71.31 - 50*71.48 - 50*71.53 -50*72.15 - 50*72.08 - 50*72.16 - 50*72.09
</f>
        <v>-25140</v>
      </c>
      <c r="U84" s="135">
        <f>- 100*78.82 - 100*78.83 - 100*78.86 - 100*78.33 - 100*78.61</f>
        <v>-39345</v>
      </c>
      <c r="V84" s="135">
        <v>0.0</v>
      </c>
      <c r="W84" s="135">
        <f>-1500*6.14-500*5.73 - 500*5.74 - 500*5.75 - 500*5.86 - 500*5.88 - 500*5.76 - 500*5.75 - 500*5.87 - 500*5.92 - 500*5.89 - 500*5.86
</f>
        <v>-41215</v>
      </c>
      <c r="X84" s="135">
        <f> -290*97.71
</f>
        <v>-28335.9</v>
      </c>
      <c r="Y84" s="135">
        <f>- 20*103.91 - 20*104.08 - 20*103.87 - 20*104.08
</f>
        <v>-8318.8</v>
      </c>
      <c r="Z84" s="135">
        <f>-900*67.7</f>
        <v>-60930</v>
      </c>
      <c r="AA84" s="135">
        <f> -5000*15.35 - 670*18.48 - 330*18.5-1000*18.1-1000*16.26-2000*16.23-1000*16.34 - 1000*16.12
</f>
        <v>-194516.6</v>
      </c>
      <c r="AB84" s="135">
        <v>0.0</v>
      </c>
      <c r="AC84" s="135">
        <v>0.0</v>
      </c>
      <c r="AD84" s="135">
        <v>0.0</v>
      </c>
      <c r="AE84" s="135">
        <f>-1000*18.43-1000*18.53-410*18.25 -310*16.2 - 1000*16.24 - 1000*16.54 - 180*16.14 - 820*16.12 - 190*16.62 - 100*16.66 - 100*16.64 - 100*16.62 - 100*16.6 - 100*16.71</f>
        <v>-109848.9</v>
      </c>
      <c r="AF84" s="135">
        <v>0.0</v>
      </c>
      <c r="AG84" s="135">
        <f> -64*72.12 - 50*72.13 - 50*72.03 - 50*72.18 - 50*72.16 -50*74.28 - 50*74.28 - 50*74.27 - 50*74.25 - 50*74.25 - 50*74.25 - 50*74.25 - 50*74.28 - 50*74.27 - 50*74.27
</f>
        <v>-56173.18</v>
      </c>
      <c r="AH84" s="135">
        <f> -400*34.41 - 400*34.41 - 400*34.41 - 400*34.42 - 400*34.39 -100*31.98-455*30.72
</f>
        <v>-85991.6</v>
      </c>
      <c r="AI84" s="151">
        <f t="shared" si="57"/>
        <v>-510517.77</v>
      </c>
      <c r="AJ84" s="145"/>
      <c r="AK84" s="146"/>
      <c r="AL84" s="147"/>
      <c r="AM84" s="147"/>
      <c r="AN84" s="147"/>
      <c r="AO84" s="147"/>
      <c r="AP84" s="147"/>
      <c r="AQ84" s="147"/>
      <c r="AR84" s="147"/>
      <c r="AS84" s="147"/>
      <c r="AT84" s="147"/>
      <c r="AU84" s="147"/>
      <c r="AV84" s="147"/>
      <c r="AW84" s="147"/>
      <c r="AX84" s="147"/>
      <c r="AY84" s="147"/>
      <c r="AZ84" s="147"/>
    </row>
    <row r="85" ht="24.0" customHeight="1">
      <c r="A85" s="133"/>
      <c r="B85" s="144" t="s">
        <v>162</v>
      </c>
      <c r="C85" s="135">
        <v>0.0</v>
      </c>
      <c r="D85" s="135">
        <v>0.0</v>
      </c>
      <c r="E85" s="135">
        <v>0.0</v>
      </c>
      <c r="F85" s="135">
        <v>0.0</v>
      </c>
      <c r="G85" s="135">
        <v>0.0</v>
      </c>
      <c r="H85" s="135">
        <v>0.0</v>
      </c>
      <c r="I85" s="135">
        <v>0.0</v>
      </c>
      <c r="J85" s="135">
        <v>0.0</v>
      </c>
      <c r="K85" s="135">
        <v>0.0</v>
      </c>
      <c r="L85" s="135">
        <v>0.0</v>
      </c>
      <c r="M85" s="135">
        <v>0.0</v>
      </c>
      <c r="N85" s="135">
        <v>0.0</v>
      </c>
      <c r="O85" s="135">
        <v>0.0</v>
      </c>
      <c r="P85" s="135">
        <v>0.0</v>
      </c>
      <c r="Q85" s="135">
        <v>0.0</v>
      </c>
      <c r="R85" s="135">
        <v>0.0</v>
      </c>
      <c r="S85" s="135">
        <v>0.0</v>
      </c>
      <c r="T85" s="135">
        <v>0.0</v>
      </c>
      <c r="U85" s="135">
        <v>0.0</v>
      </c>
      <c r="V85" s="135">
        <v>0.0</v>
      </c>
      <c r="W85" s="135">
        <f>-429.51-412.25</f>
        <v>-841.76</v>
      </c>
      <c r="X85" s="135">
        <v>0.0</v>
      </c>
      <c r="Y85" s="135">
        <v>0.0</v>
      </c>
      <c r="Z85" s="135">
        <v>0.0</v>
      </c>
      <c r="AA85" s="135">
        <v>0.0</v>
      </c>
      <c r="AB85" s="135">
        <v>0.0</v>
      </c>
      <c r="AC85" s="135">
        <v>0.0</v>
      </c>
      <c r="AD85" s="135">
        <v>0.0</v>
      </c>
      <c r="AE85" s="135">
        <v>0.0</v>
      </c>
      <c r="AF85" s="135">
        <v>0.0</v>
      </c>
      <c r="AG85" s="135">
        <f>-35.57</f>
        <v>-35.57</v>
      </c>
      <c r="AH85" s="135">
        <v>0.0</v>
      </c>
      <c r="AI85" s="151">
        <f t="shared" si="57"/>
        <v>-877.33</v>
      </c>
      <c r="AJ85" s="145">
        <f>SUM(AI82:AI85)</f>
        <v>3423177.79</v>
      </c>
      <c r="AK85" s="146"/>
      <c r="AL85" s="147"/>
      <c r="AM85" s="147"/>
      <c r="AN85" s="147"/>
      <c r="AO85" s="147"/>
      <c r="AP85" s="147"/>
      <c r="AQ85" s="147"/>
      <c r="AR85" s="147"/>
      <c r="AS85" s="147"/>
      <c r="AT85" s="147"/>
      <c r="AU85" s="147"/>
      <c r="AV85" s="147"/>
      <c r="AW85" s="147"/>
      <c r="AX85" s="147"/>
      <c r="AY85" s="147"/>
      <c r="AZ85" s="147"/>
    </row>
    <row r="86" ht="24.0" customHeight="1">
      <c r="A86" s="133"/>
      <c r="B86" s="150" t="s">
        <v>163</v>
      </c>
      <c r="C86" s="135">
        <f>+(12371.61+20510.12)*0+(12433.56+20611.72)*0+(12460.86+20657.15)*0+(12488.15+20702.55)*0+(+12501.71+20725.29)</f>
        <v>33227</v>
      </c>
      <c r="D86" s="135">
        <f>+147643.85*0+148388.53*0+148717.4*0+149046.23*0+149129.53*0+149213.61</f>
        <v>149213.61</v>
      </c>
      <c r="E86" s="135">
        <f>+(+40999.22-17645.1)*0+(+63153-27852)*0+(+60422+17994)*0+(-30577+69679)*0+(-21643.82+36460)*0+((+17050+19410-40347)+(-37000))*0+(-85814-55798)*0+(-58103-92825)*0+(-120219.78-107503+110763+45000)*0+(-80956+110178-38740)*0+(-40307-79729+117544)*0+((-57931+10834-94590.47+130955)+(-13744-79686-35000))*0+(+102756-81481+132065)*0+(-1009+16647+53505)*0+(+61090+53505+59296+11981+2738)*0+((+497+70660+63812+53505)+(85000+15000))*0+((+64483+70660+43467+94678)+(-99973))*0+(115143+138146)*0+((125044+141116)+(-99999))*0+(+75317+147453)*0+(147453+63946)*0+(+78789+14845+149683+2230-30000)*0+(+52567+186803)*0+(+93579+186804.23)</f>
        <v>280383.23</v>
      </c>
      <c r="F86" s="135">
        <f>+(+120+100+130)*143.79</f>
        <v>50326.5</v>
      </c>
      <c r="G86" s="135">
        <f>+113033.34*0+113598.44*0+113787.09*0+114037.65*0+113059.8</f>
        <v>113059.8</v>
      </c>
      <c r="H86" s="135">
        <f>0</f>
        <v>0</v>
      </c>
      <c r="I86" s="135">
        <f>+185883*0+187155.16*0+187469.2*0+187673.01*0+185901.72</f>
        <v>185901.72</v>
      </c>
      <c r="J86" s="136">
        <f>+229112.48*0+230250.51*0+230629.71*0+231137.01*0+229637.76</f>
        <v>229637.76</v>
      </c>
      <c r="K86" s="135">
        <f>+222558*0+224529*0+224901.35</f>
        <v>224901.35</v>
      </c>
      <c r="L86" s="135">
        <f>+97897.68*0+(97235+30000+4500)*0+130485.89</f>
        <v>130485.89</v>
      </c>
      <c r="M86" s="135">
        <f>+163088.45</f>
        <v>163088.45</v>
      </c>
      <c r="N86" s="135">
        <f>+(1500-500-1000)*35.87</f>
        <v>0</v>
      </c>
      <c r="O86" s="135">
        <f>+99997.93*0</f>
        <v>0</v>
      </c>
      <c r="P86" s="135">
        <f>+226468.21*0+226771.87*0+227100.22*0+227374.7*0+227468.18*0+227620.82</f>
        <v>227620.82</v>
      </c>
      <c r="Q86" s="135">
        <f>+61291.33*0+61979.92*0+61819.23*0+62006.18*0+62045.12</f>
        <v>62045.12</v>
      </c>
      <c r="R86" s="135">
        <f>+(+1800+200+250)*69.91</f>
        <v>157297.5</v>
      </c>
      <c r="S86" s="135">
        <f>+(+295+200+109-350+150)*143.79</f>
        <v>58091.16</v>
      </c>
      <c r="T86" s="135">
        <f>+(+350-150-200)*72.15</f>
        <v>0</v>
      </c>
      <c r="U86" s="135">
        <f>+(+10585-500+260)*71.58</f>
        <v>740495.1</v>
      </c>
      <c r="V86" s="135">
        <f>+(+1150+200+350)*92.23</f>
        <v>156791</v>
      </c>
      <c r="W86" s="135">
        <f>+(+7000-1500-5500)*5.88</f>
        <v>0</v>
      </c>
      <c r="X86" s="135">
        <f>+(+290-290)*97.71</f>
        <v>0</v>
      </c>
      <c r="Y86" s="135">
        <f>+(+80-80)*103.76</f>
        <v>0</v>
      </c>
      <c r="Z86" s="135">
        <f>+(3600-900)*67.4</f>
        <v>181980</v>
      </c>
      <c r="AA86" s="136">
        <v>0.0</v>
      </c>
      <c r="AB86" s="136">
        <f>+3100*44.25</f>
        <v>137175</v>
      </c>
      <c r="AC86" s="135">
        <f>+(+620+80)*145.5</f>
        <v>101850</v>
      </c>
      <c r="AD86" s="135">
        <f>+450*92.23</f>
        <v>41503.5</v>
      </c>
      <c r="AE86" s="135">
        <f>+(+3610+2800-2410-4000)*18.41</f>
        <v>0</v>
      </c>
      <c r="AF86" s="135">
        <f>+1300*71.58</f>
        <v>93054</v>
      </c>
      <c r="AG86" s="135">
        <f>+(764-264-500)*73.72</f>
        <v>0</v>
      </c>
      <c r="AH86" s="136">
        <f>+(+2555-2000-100-455)*30.72</f>
        <v>0</v>
      </c>
      <c r="AI86" s="151">
        <f t="shared" si="57"/>
        <v>3518128.51</v>
      </c>
      <c r="AJ86" s="145">
        <f>AJ85-AI86</f>
        <v>-94950.72</v>
      </c>
      <c r="AK86" s="146"/>
      <c r="AL86" s="147"/>
      <c r="AM86" s="147"/>
      <c r="AN86" s="147"/>
      <c r="AO86" s="147"/>
      <c r="AP86" s="147"/>
      <c r="AQ86" s="147"/>
      <c r="AR86" s="147"/>
      <c r="AS86" s="147"/>
      <c r="AT86" s="147"/>
      <c r="AU86" s="147"/>
      <c r="AV86" s="147"/>
      <c r="AW86" s="147"/>
      <c r="AX86" s="147"/>
      <c r="AY86" s="147"/>
      <c r="AZ86" s="147"/>
    </row>
    <row r="87" ht="24.0" customHeight="1">
      <c r="A87" s="133"/>
      <c r="B87" s="153" t="s">
        <v>165</v>
      </c>
      <c r="C87" s="154">
        <f t="shared" ref="C87:AI87" si="58">IFERROR(IF(C86=0,(-C84/C82)-1,C88),"")</f>
        <v>0.01050035993</v>
      </c>
      <c r="D87" s="154">
        <f t="shared" si="58"/>
        <v>0.0106320717</v>
      </c>
      <c r="E87" s="154">
        <f t="shared" si="58"/>
        <v>0</v>
      </c>
      <c r="F87" s="154">
        <f t="shared" si="58"/>
        <v>0.00653</v>
      </c>
      <c r="G87" s="154">
        <f t="shared" si="58"/>
        <v>0.0007877256081</v>
      </c>
      <c r="H87" s="154" t="str">
        <f t="shared" si="58"/>
        <v/>
      </c>
      <c r="I87" s="154">
        <f t="shared" si="58"/>
        <v>0.00009861020934</v>
      </c>
      <c r="J87" s="154">
        <f t="shared" si="58"/>
        <v>0.002848783872</v>
      </c>
      <c r="K87" s="154">
        <f t="shared" si="58"/>
        <v>0.01052703139</v>
      </c>
      <c r="L87" s="154">
        <f t="shared" si="58"/>
        <v>-0.01457089928</v>
      </c>
      <c r="M87" s="154">
        <f t="shared" si="58"/>
        <v>0</v>
      </c>
      <c r="N87" s="154">
        <f t="shared" si="58"/>
        <v>-0.02873207759</v>
      </c>
      <c r="O87" s="154" t="str">
        <f t="shared" si="58"/>
        <v/>
      </c>
      <c r="P87" s="154">
        <f t="shared" si="58"/>
        <v>0.0050895002</v>
      </c>
      <c r="Q87" s="154">
        <f t="shared" si="58"/>
        <v>0.0122984768</v>
      </c>
      <c r="R87" s="154">
        <f t="shared" si="58"/>
        <v>0.2040807734</v>
      </c>
      <c r="S87" s="154">
        <f t="shared" si="58"/>
        <v>0.01138970249</v>
      </c>
      <c r="T87" s="154">
        <f t="shared" si="58"/>
        <v>-0.0141563076</v>
      </c>
      <c r="U87" s="154">
        <f t="shared" si="58"/>
        <v>-0.0602394914</v>
      </c>
      <c r="V87" s="154">
        <f t="shared" si="58"/>
        <v>-0.07317765213</v>
      </c>
      <c r="W87" s="154">
        <f t="shared" si="58"/>
        <v>-0.03477751756</v>
      </c>
      <c r="X87" s="154">
        <f t="shared" si="58"/>
        <v>-0.058307633</v>
      </c>
      <c r="Y87" s="154">
        <f t="shared" si="58"/>
        <v>0.00216846569</v>
      </c>
      <c r="Z87" s="154">
        <f t="shared" si="58"/>
        <v>0.04496124031</v>
      </c>
      <c r="AA87" s="154">
        <f t="shared" si="58"/>
        <v>1.866439729</v>
      </c>
      <c r="AB87" s="154">
        <f t="shared" si="58"/>
        <v>0.04982206406</v>
      </c>
      <c r="AC87" s="154">
        <f t="shared" si="58"/>
        <v>0.07380820995</v>
      </c>
      <c r="AD87" s="154">
        <f t="shared" si="58"/>
        <v>0.06413773653</v>
      </c>
      <c r="AE87" s="154">
        <f t="shared" si="58"/>
        <v>1.600774203</v>
      </c>
      <c r="AF87" s="154">
        <f t="shared" si="58"/>
        <v>-0.06480271753</v>
      </c>
      <c r="AG87" s="154">
        <f t="shared" si="58"/>
        <v>0.009128530223</v>
      </c>
      <c r="AH87" s="154">
        <f t="shared" si="58"/>
        <v>-0.05380366819</v>
      </c>
      <c r="AI87" s="155">
        <f t="shared" si="58"/>
        <v>0.02773759525</v>
      </c>
      <c r="AJ87" s="145">
        <f>AI86*AI87</f>
        <v>97584.42464</v>
      </c>
      <c r="AK87" s="146"/>
      <c r="AL87" s="147"/>
      <c r="AM87" s="147"/>
      <c r="AN87" s="147"/>
      <c r="AO87" s="147"/>
      <c r="AP87" s="147"/>
      <c r="AQ87" s="147"/>
      <c r="AR87" s="147"/>
      <c r="AS87" s="147"/>
      <c r="AT87" s="147"/>
      <c r="AU87" s="147"/>
      <c r="AV87" s="147"/>
      <c r="AW87" s="147"/>
      <c r="AX87" s="147"/>
      <c r="AY87" s="147"/>
      <c r="AZ87" s="147"/>
    </row>
    <row r="88" ht="1.5" customHeight="1">
      <c r="A88" s="133"/>
      <c r="B88" s="156" t="s">
        <v>166</v>
      </c>
      <c r="C88" s="180">
        <f t="shared" ref="C88:AI88" si="59">IFERROR(IF(AND(C82&lt;&gt;0,C86=""),"",(C86/(C82+C83+C84+C85))-1),"")</f>
        <v>0.01050035993</v>
      </c>
      <c r="D88" s="180">
        <f t="shared" si="59"/>
        <v>0.0106320717</v>
      </c>
      <c r="E88" s="180">
        <f t="shared" si="59"/>
        <v>0</v>
      </c>
      <c r="F88" s="180">
        <f t="shared" si="59"/>
        <v>0.00653</v>
      </c>
      <c r="G88" s="180">
        <f t="shared" si="59"/>
        <v>0.0007877256081</v>
      </c>
      <c r="H88" s="180" t="str">
        <f t="shared" si="59"/>
        <v/>
      </c>
      <c r="I88" s="180">
        <f t="shared" si="59"/>
        <v>0.00009861020934</v>
      </c>
      <c r="J88" s="180">
        <f t="shared" si="59"/>
        <v>0.002848783872</v>
      </c>
      <c r="K88" s="180">
        <f t="shared" si="59"/>
        <v>0.01052703139</v>
      </c>
      <c r="L88" s="180">
        <f t="shared" si="59"/>
        <v>-0.01457089928</v>
      </c>
      <c r="M88" s="180">
        <f t="shared" si="59"/>
        <v>0</v>
      </c>
      <c r="N88" s="180">
        <f t="shared" si="59"/>
        <v>-1</v>
      </c>
      <c r="O88" s="180" t="str">
        <f t="shared" si="59"/>
        <v/>
      </c>
      <c r="P88" s="180">
        <f t="shared" si="59"/>
        <v>0.0050895002</v>
      </c>
      <c r="Q88" s="180">
        <f t="shared" si="59"/>
        <v>0.0122984768</v>
      </c>
      <c r="R88" s="180">
        <f t="shared" si="59"/>
        <v>0.2040807734</v>
      </c>
      <c r="S88" s="180">
        <f t="shared" si="59"/>
        <v>0.01138970249</v>
      </c>
      <c r="T88" s="180">
        <f t="shared" si="59"/>
        <v>-1</v>
      </c>
      <c r="U88" s="180">
        <f t="shared" si="59"/>
        <v>-0.0602394914</v>
      </c>
      <c r="V88" s="180">
        <f t="shared" si="59"/>
        <v>-0.07317765213</v>
      </c>
      <c r="W88" s="180">
        <f t="shared" si="59"/>
        <v>-1</v>
      </c>
      <c r="X88" s="180">
        <f t="shared" si="59"/>
        <v>-1</v>
      </c>
      <c r="Y88" s="180">
        <f t="shared" si="59"/>
        <v>-1</v>
      </c>
      <c r="Z88" s="180">
        <f t="shared" si="59"/>
        <v>0.04496124031</v>
      </c>
      <c r="AA88" s="180">
        <f t="shared" si="59"/>
        <v>-1</v>
      </c>
      <c r="AB88" s="180">
        <f t="shared" si="59"/>
        <v>0.04982206406</v>
      </c>
      <c r="AC88" s="180">
        <f t="shared" si="59"/>
        <v>0.07380820995</v>
      </c>
      <c r="AD88" s="180">
        <f t="shared" si="59"/>
        <v>0.06413773653</v>
      </c>
      <c r="AE88" s="180">
        <f t="shared" si="59"/>
        <v>-1</v>
      </c>
      <c r="AF88" s="180">
        <f t="shared" si="59"/>
        <v>-0.06480271753</v>
      </c>
      <c r="AG88" s="180">
        <f t="shared" si="59"/>
        <v>-1</v>
      </c>
      <c r="AH88" s="180">
        <f t="shared" si="59"/>
        <v>-1</v>
      </c>
      <c r="AI88" s="181">
        <f t="shared" si="59"/>
        <v>0.02773759525</v>
      </c>
      <c r="AJ88" s="145"/>
      <c r="AK88" s="146"/>
      <c r="AL88" s="147"/>
      <c r="AM88" s="147"/>
      <c r="AN88" s="147"/>
      <c r="AO88" s="147"/>
      <c r="AP88" s="147"/>
      <c r="AQ88" s="147"/>
      <c r="AR88" s="147"/>
      <c r="AS88" s="147"/>
      <c r="AT88" s="147"/>
      <c r="AU88" s="147"/>
      <c r="AV88" s="147"/>
      <c r="AW88" s="147"/>
      <c r="AX88" s="147"/>
      <c r="AY88" s="147"/>
      <c r="AZ88" s="147"/>
    </row>
    <row r="89" ht="24.0" customHeight="1">
      <c r="A89" s="158"/>
      <c r="B89" s="159" t="s">
        <v>167</v>
      </c>
      <c r="C89" s="160">
        <f t="shared" ref="C89:AI89" si="60">IFERROR(C86/$AI$86,"")</f>
        <v>0.00944451003</v>
      </c>
      <c r="D89" s="160">
        <f t="shared" si="60"/>
        <v>0.04241277986</v>
      </c>
      <c r="E89" s="160">
        <f t="shared" si="60"/>
        <v>0.07969669931</v>
      </c>
      <c r="F89" s="160">
        <f t="shared" si="60"/>
        <v>0.01430490667</v>
      </c>
      <c r="G89" s="160">
        <f t="shared" si="60"/>
        <v>0.0321363474</v>
      </c>
      <c r="H89" s="160">
        <f t="shared" si="60"/>
        <v>0</v>
      </c>
      <c r="I89" s="160">
        <f t="shared" si="60"/>
        <v>0.05284108283</v>
      </c>
      <c r="J89" s="160">
        <f t="shared" si="60"/>
        <v>0.06527270375</v>
      </c>
      <c r="K89" s="160">
        <f t="shared" si="60"/>
        <v>0.06392641695</v>
      </c>
      <c r="L89" s="160">
        <f t="shared" si="60"/>
        <v>0.03708957465</v>
      </c>
      <c r="M89" s="160">
        <f t="shared" si="60"/>
        <v>0.04635659259</v>
      </c>
      <c r="N89" s="160">
        <f t="shared" si="60"/>
        <v>0</v>
      </c>
      <c r="O89" s="160">
        <f t="shared" si="60"/>
        <v>0</v>
      </c>
      <c r="P89" s="160">
        <f t="shared" si="60"/>
        <v>0.06469940463</v>
      </c>
      <c r="Q89" s="160">
        <f t="shared" si="60"/>
        <v>0.01763583105</v>
      </c>
      <c r="R89" s="160">
        <f t="shared" si="60"/>
        <v>0.04471056118</v>
      </c>
      <c r="S89" s="160">
        <f t="shared" si="60"/>
        <v>0.01651194942</v>
      </c>
      <c r="T89" s="160">
        <f t="shared" si="60"/>
        <v>0</v>
      </c>
      <c r="U89" s="160">
        <f t="shared" si="60"/>
        <v>0.2104798326</v>
      </c>
      <c r="V89" s="160">
        <f t="shared" si="60"/>
        <v>0.04456659259</v>
      </c>
      <c r="W89" s="160">
        <f t="shared" si="60"/>
        <v>0</v>
      </c>
      <c r="X89" s="160">
        <f t="shared" si="60"/>
        <v>0</v>
      </c>
      <c r="Y89" s="160">
        <f t="shared" si="60"/>
        <v>0</v>
      </c>
      <c r="Z89" s="160">
        <f t="shared" si="60"/>
        <v>0.05172636516</v>
      </c>
      <c r="AA89" s="160">
        <f t="shared" si="60"/>
        <v>0</v>
      </c>
      <c r="AB89" s="160">
        <f t="shared" si="60"/>
        <v>0.03899090088</v>
      </c>
      <c r="AC89" s="160">
        <f t="shared" si="60"/>
        <v>0.02895005106</v>
      </c>
      <c r="AD89" s="160">
        <f t="shared" si="60"/>
        <v>0.01179703922</v>
      </c>
      <c r="AE89" s="160">
        <f t="shared" si="60"/>
        <v>0</v>
      </c>
      <c r="AF89" s="160">
        <f t="shared" si="60"/>
        <v>0.02644985814</v>
      </c>
      <c r="AG89" s="160">
        <f t="shared" si="60"/>
        <v>0</v>
      </c>
      <c r="AH89" s="160">
        <f t="shared" si="60"/>
        <v>0</v>
      </c>
      <c r="AI89" s="161">
        <f t="shared" si="60"/>
        <v>1</v>
      </c>
      <c r="AJ89" s="162">
        <f>AI86-AI82</f>
        <v>82750.53</v>
      </c>
      <c r="AK89" s="163">
        <f>AI86/AI82-1</f>
        <v>0.02408775118</v>
      </c>
      <c r="AL89" s="147"/>
      <c r="AM89" s="147"/>
      <c r="AN89" s="147"/>
      <c r="AO89" s="147"/>
      <c r="AP89" s="147"/>
      <c r="AQ89" s="147"/>
      <c r="AR89" s="147"/>
      <c r="AS89" s="147"/>
      <c r="AT89" s="147"/>
      <c r="AU89" s="147"/>
      <c r="AV89" s="147"/>
      <c r="AW89" s="147"/>
      <c r="AX89" s="147"/>
      <c r="AY89" s="147"/>
      <c r="AZ89" s="147"/>
    </row>
    <row r="90" ht="24.0" customHeight="1">
      <c r="A90" s="164">
        <v>45992.0</v>
      </c>
      <c r="B90" s="165" t="s">
        <v>168</v>
      </c>
      <c r="C90" s="166">
        <f>IF(C94="","",C86)</f>
        <v>33227</v>
      </c>
      <c r="D90" s="166">
        <f t="shared" ref="D90:AH90" si="61">IF(D86="","",D86)</f>
        <v>149213.61</v>
      </c>
      <c r="E90" s="166">
        <f t="shared" si="61"/>
        <v>280383.23</v>
      </c>
      <c r="F90" s="166">
        <f t="shared" si="61"/>
        <v>50326.5</v>
      </c>
      <c r="G90" s="166">
        <f t="shared" si="61"/>
        <v>113059.8</v>
      </c>
      <c r="H90" s="166">
        <f t="shared" si="61"/>
        <v>0</v>
      </c>
      <c r="I90" s="166">
        <f t="shared" si="61"/>
        <v>185901.72</v>
      </c>
      <c r="J90" s="166">
        <f t="shared" si="61"/>
        <v>229637.76</v>
      </c>
      <c r="K90" s="166">
        <f t="shared" si="61"/>
        <v>224901.35</v>
      </c>
      <c r="L90" s="166">
        <f t="shared" si="61"/>
        <v>130485.89</v>
      </c>
      <c r="M90" s="166">
        <f t="shared" si="61"/>
        <v>163088.45</v>
      </c>
      <c r="N90" s="166">
        <f t="shared" si="61"/>
        <v>0</v>
      </c>
      <c r="O90" s="166">
        <f t="shared" si="61"/>
        <v>0</v>
      </c>
      <c r="P90" s="166">
        <f t="shared" si="61"/>
        <v>227620.82</v>
      </c>
      <c r="Q90" s="166">
        <f t="shared" si="61"/>
        <v>62045.12</v>
      </c>
      <c r="R90" s="166">
        <f t="shared" si="61"/>
        <v>157297.5</v>
      </c>
      <c r="S90" s="166">
        <f t="shared" si="61"/>
        <v>58091.16</v>
      </c>
      <c r="T90" s="166">
        <f t="shared" si="61"/>
        <v>0</v>
      </c>
      <c r="U90" s="166">
        <f t="shared" si="61"/>
        <v>740495.1</v>
      </c>
      <c r="V90" s="166">
        <f t="shared" si="61"/>
        <v>156791</v>
      </c>
      <c r="W90" s="166">
        <f t="shared" si="61"/>
        <v>0</v>
      </c>
      <c r="X90" s="166">
        <f t="shared" si="61"/>
        <v>0</v>
      </c>
      <c r="Y90" s="166">
        <f t="shared" si="61"/>
        <v>0</v>
      </c>
      <c r="Z90" s="166">
        <f t="shared" si="61"/>
        <v>181980</v>
      </c>
      <c r="AA90" s="166">
        <f t="shared" si="61"/>
        <v>0</v>
      </c>
      <c r="AB90" s="166">
        <f t="shared" si="61"/>
        <v>137175</v>
      </c>
      <c r="AC90" s="166">
        <f t="shared" si="61"/>
        <v>101850</v>
      </c>
      <c r="AD90" s="166">
        <f t="shared" si="61"/>
        <v>41503.5</v>
      </c>
      <c r="AE90" s="166">
        <f t="shared" si="61"/>
        <v>0</v>
      </c>
      <c r="AF90" s="166">
        <f t="shared" si="61"/>
        <v>93054</v>
      </c>
      <c r="AG90" s="166">
        <f t="shared" si="61"/>
        <v>0</v>
      </c>
      <c r="AH90" s="166">
        <f t="shared" si="61"/>
        <v>0</v>
      </c>
      <c r="AI90" s="183">
        <f t="shared" ref="AI90:AI94" si="62">SUM(C90:AH90)</f>
        <v>3518128.51</v>
      </c>
      <c r="AJ90" s="184"/>
      <c r="AK90" s="185"/>
      <c r="AL90" s="186"/>
      <c r="AM90" s="170"/>
      <c r="AN90" s="171"/>
      <c r="AO90" s="171"/>
      <c r="AP90" s="171"/>
      <c r="AQ90" s="171"/>
      <c r="AR90" s="171"/>
      <c r="AS90" s="171"/>
      <c r="AT90" s="171"/>
      <c r="AU90" s="171"/>
      <c r="AV90" s="171"/>
      <c r="AW90" s="171"/>
      <c r="AX90" s="171"/>
      <c r="AY90" s="171"/>
      <c r="AZ90" s="172"/>
    </row>
    <row r="91" ht="24.0" customHeight="1">
      <c r="A91" s="133"/>
      <c r="B91" s="134" t="s">
        <v>160</v>
      </c>
      <c r="C91" s="135">
        <v>0.0</v>
      </c>
      <c r="D91" s="135">
        <v>0.0</v>
      </c>
      <c r="E91" s="135">
        <v>0.0</v>
      </c>
      <c r="F91" s="135">
        <f>+50*143.94</f>
        <v>7197</v>
      </c>
      <c r="G91" s="135">
        <v>0.0</v>
      </c>
      <c r="H91" s="135">
        <f>+17191</f>
        <v>17191</v>
      </c>
      <c r="I91" s="135">
        <v>0.0</v>
      </c>
      <c r="J91" s="135">
        <v>0.0</v>
      </c>
      <c r="K91" s="135">
        <v>0.0</v>
      </c>
      <c r="L91" s="135">
        <f>+20000+10000+25000+2000</f>
        <v>57000</v>
      </c>
      <c r="M91" s="284">
        <f>+23393.68+12308.53+18823.14+18962.43+13833.97+13366.37</f>
        <v>100688.12</v>
      </c>
      <c r="N91" s="135">
        <v>0.0</v>
      </c>
      <c r="O91" s="135">
        <f>+120000</f>
        <v>120000</v>
      </c>
      <c r="P91" s="135">
        <v>0.0</v>
      </c>
      <c r="Q91" s="135">
        <v>0.0</v>
      </c>
      <c r="R91" s="135">
        <f>+10*97.85 + 40*97.85 + 50*97.26 + 50*97.12 + 50*97.01 + 15*95.81 + 50*95.75 + 35*95.54 + 1*95.4 + 33*95.4 + 16*95.39 + 1*92.75 + 49*92.75 + 1*92.72 + 1*92.72 + 48*92.72 + 50*90.92 + 50*90.64 + 50*90.59</f>
        <v>56681.39</v>
      </c>
      <c r="S91" s="135">
        <f>+5*143.96 +45*145.36</f>
        <v>7261</v>
      </c>
      <c r="T91" s="135">
        <v>0.0</v>
      </c>
      <c r="U91" s="135">
        <v>0.0</v>
      </c>
      <c r="V91" s="135">
        <v>0.0</v>
      </c>
      <c r="W91" s="135">
        <v>0.0</v>
      </c>
      <c r="X91" s="135">
        <f>+10*143.94 + 10*143.84 + 10*143.74 + 10*143.64 + 10*143.63 + 10*143.54 + 10*143.53 + 10*143.51 + 10*143.43 + 10*143.43 + 10*143.41 + 10*143.33 + 10*143.27 + 10*143.13 + 10*143.09 + 10*142.94 + 10*142.74 + 10*142.54 + 10*142.39 + 10*142.24 + 10*142.14 + 4*142.04 + 6*142.04 + 10*141.84 + 10*141.74 + 10*141.69 + 10*141.64 + 10*141.59+10*141.54+10*141.44+10*141.34+10*141.26+10*141.16+10*141.06+10*140.96+10*140.86+10*140.76+10*140.7+10*140.69+10*140.68+10*140.67+10*140.66
</f>
        <v>58317.7</v>
      </c>
      <c r="Y91" s="135">
        <v>0.0</v>
      </c>
      <c r="Z91" s="135">
        <f>+100*71.42 + 100*71.52 + 100*71.62 + 100*71.32 + 100*71.26 + 100*71.23 + 100*70.83 + 100*70.52 + 100*71.01 + 100*71.11 + 100*71.5 + 100*71.57 + 100*71.53 + 100*71.46 + 100*71.41 + 100*71.42 + 100*70.92 + 100*70.67 + 100*71.26 + 100*70.15 + 100*70.01
</f>
        <v>149374</v>
      </c>
      <c r="AA91" s="135">
        <f>+900*14.08+100*14.91 + 100*14.78 + 100*14.73 + 100*14.7 + 100*14.64 + 100*14.53 + 100*14.37 + 100*14.2+200*14.74+100*14.97+100*14.99+100*14.98+100*14.73+300*13.95+100*14.35 +100*14.91 + 100*14.9 + 100*14.9 + 100*14.83 + 200*14.76 + 100*14.56</f>
        <v>49255</v>
      </c>
      <c r="AB91" s="135">
        <f>+100*46.53+100*48.65 + 100*48.61 + 100*48.49 + 100*48.48 + 100*48.45 + 100*48.41 + 100*48.41 + 100*48.39 + 100*48.37 + 100*48.31</f>
        <v>53110</v>
      </c>
      <c r="AC91" s="135">
        <f>+110*147.45 +40*149.12 + 40*148.96 + 40*148.81 + 40*148.09 + 40*147.61</f>
        <v>45923.1</v>
      </c>
      <c r="AD91" s="135">
        <v>0.0</v>
      </c>
      <c r="AE91" s="135">
        <v>0.0</v>
      </c>
      <c r="AF91" s="135">
        <f> +20*78.86 + 50*78.82 + 50*78.77 + 50*78.73 + 20*78.69 + 50*78.66 + 2*78.61 + 3*78.61 + 45*78.61 + 16*78.59 + 20*78.56 + 3*78.53 + 17*78.53 + 20*78.47 + 20*78.44 + 1*78.38 + 3*78.38 + 20*78.29 + 50*78.14 + 50*78.01 + 50*77.89 + 100*77.52
</f>
        <v>51701.26</v>
      </c>
      <c r="AG91" s="135">
        <v>0.0</v>
      </c>
      <c r="AH91" s="135">
        <v>0.0</v>
      </c>
      <c r="AI91" s="151">
        <f t="shared" si="62"/>
        <v>773699.57</v>
      </c>
      <c r="AJ91" s="145"/>
      <c r="AK91" s="146"/>
      <c r="AL91" s="147"/>
      <c r="AM91" s="147"/>
      <c r="AN91" s="147"/>
      <c r="AO91" s="147"/>
      <c r="AP91" s="147"/>
      <c r="AQ91" s="147"/>
      <c r="AR91" s="147"/>
      <c r="AS91" s="147"/>
      <c r="AT91" s="147"/>
      <c r="AU91" s="147"/>
      <c r="AV91" s="147"/>
      <c r="AW91" s="147"/>
      <c r="AX91" s="147"/>
      <c r="AY91" s="147"/>
      <c r="AZ91" s="147"/>
    </row>
    <row r="92" ht="24.0" customHeight="1">
      <c r="A92" s="133"/>
      <c r="B92" s="143" t="s">
        <v>161</v>
      </c>
      <c r="C92" s="135">
        <v>0.0</v>
      </c>
      <c r="D92" s="135">
        <v>0.0</v>
      </c>
      <c r="E92" s="135">
        <f>+E94-E90</f>
        <v>-380917.23</v>
      </c>
      <c r="F92" s="135">
        <v>0.0</v>
      </c>
      <c r="G92" s="135">
        <v>0.0</v>
      </c>
      <c r="H92" s="135">
        <v>0.0</v>
      </c>
      <c r="I92" s="135">
        <v>0.0</v>
      </c>
      <c r="J92" s="135">
        <v>0.0</v>
      </c>
      <c r="K92" s="135">
        <v>0.0</v>
      </c>
      <c r="L92" s="135">
        <f>-23393.68-12308.53-18823.14-18962.43-5.3*(+773+973+973)-2195*5.41-13833.97-13366.37</f>
        <v>-126973.77</v>
      </c>
      <c r="M92" s="135">
        <v>0.0</v>
      </c>
      <c r="N92" s="135">
        <v>0.0</v>
      </c>
      <c r="O92" s="135">
        <v>0.0</v>
      </c>
      <c r="P92" s="135">
        <v>0.0</v>
      </c>
      <c r="Q92" s="135">
        <v>0.0</v>
      </c>
      <c r="R92" s="135">
        <v>0.0</v>
      </c>
      <c r="S92" s="135">
        <f> -200*145.36</f>
        <v>-29072</v>
      </c>
      <c r="T92" s="135">
        <v>0.0</v>
      </c>
      <c r="U92" s="135">
        <f>-500*83.46</f>
        <v>-41730</v>
      </c>
      <c r="V92" s="135">
        <v>0.0</v>
      </c>
      <c r="W92" s="135">
        <v>0.0</v>
      </c>
      <c r="X92" s="135">
        <v>0.0</v>
      </c>
      <c r="Y92" s="135">
        <v>0.0</v>
      </c>
      <c r="Z92" s="135">
        <f>-500*68.93-500*71.41-100*70.56-300*70.55-200*70.54-500*70.35-500*70.85-700*73.31-100*73.06-100*73.09-100*73.1-100*73.12-100*73.19</f>
        <v>-270972</v>
      </c>
      <c r="AA92" s="135">
        <v>0.0</v>
      </c>
      <c r="AB92" s="135">
        <v>0.0</v>
      </c>
      <c r="AC92" s="135">
        <v>0.0</v>
      </c>
      <c r="AD92" s="135">
        <v>0.0</v>
      </c>
      <c r="AE92" s="135">
        <v>0.0</v>
      </c>
      <c r="AF92" s="135">
        <v>0.0</v>
      </c>
      <c r="AG92" s="135">
        <v>0.0</v>
      </c>
      <c r="AH92" s="135">
        <v>0.0</v>
      </c>
      <c r="AI92" s="151">
        <f t="shared" si="62"/>
        <v>-849665</v>
      </c>
      <c r="AJ92" s="145"/>
      <c r="AK92" s="146"/>
      <c r="AL92" s="147"/>
      <c r="AM92" s="147"/>
      <c r="AN92" s="147"/>
      <c r="AO92" s="147"/>
      <c r="AP92" s="147"/>
      <c r="AQ92" s="147"/>
      <c r="AR92" s="147"/>
      <c r="AS92" s="147"/>
      <c r="AT92" s="147"/>
      <c r="AU92" s="147"/>
      <c r="AV92" s="147"/>
      <c r="AW92" s="147"/>
      <c r="AX92" s="147"/>
      <c r="AY92" s="147"/>
      <c r="AZ92" s="147"/>
    </row>
    <row r="93" ht="24.0" customHeight="1">
      <c r="A93" s="133"/>
      <c r="B93" s="144" t="s">
        <v>162</v>
      </c>
      <c r="C93" s="135">
        <v>0.0</v>
      </c>
      <c r="D93" s="135">
        <v>0.0</v>
      </c>
      <c r="E93" s="135">
        <v>0.0</v>
      </c>
      <c r="F93" s="135">
        <v>0.0</v>
      </c>
      <c r="G93" s="135">
        <v>0.0</v>
      </c>
      <c r="H93" s="135">
        <v>0.0</v>
      </c>
      <c r="I93" s="135">
        <v>0.0</v>
      </c>
      <c r="J93" s="135">
        <v>0.0</v>
      </c>
      <c r="K93" s="135">
        <v>0.0</v>
      </c>
      <c r="L93" s="135">
        <v>0.0</v>
      </c>
      <c r="M93" s="135">
        <v>0.0</v>
      </c>
      <c r="N93" s="135">
        <v>0.0</v>
      </c>
      <c r="O93" s="135">
        <v>0.0</v>
      </c>
      <c r="P93" s="135">
        <v>0.0</v>
      </c>
      <c r="Q93" s="135">
        <v>0.0</v>
      </c>
      <c r="R93" s="135">
        <f>-1915.52</f>
        <v>-1915.52</v>
      </c>
      <c r="S93" s="135">
        <v>0.0</v>
      </c>
      <c r="T93" s="135">
        <v>0.0</v>
      </c>
      <c r="U93" s="135">
        <v>0.0</v>
      </c>
      <c r="V93" s="135">
        <v>0.0</v>
      </c>
      <c r="W93" s="135">
        <v>0.0</v>
      </c>
      <c r="X93" s="135">
        <v>0.0</v>
      </c>
      <c r="Y93" s="135">
        <v>0.0</v>
      </c>
      <c r="Z93" s="136">
        <v>0.0</v>
      </c>
      <c r="AA93" s="135">
        <v>0.0</v>
      </c>
      <c r="AB93" s="135">
        <f>-159.29-293.26-1059.27</f>
        <v>-1511.82</v>
      </c>
      <c r="AC93" s="135">
        <v>0.0</v>
      </c>
      <c r="AD93" s="135">
        <v>0.0</v>
      </c>
      <c r="AE93" s="135">
        <v>0.0</v>
      </c>
      <c r="AF93" s="135">
        <v>0.0</v>
      </c>
      <c r="AG93" s="135">
        <v>0.0</v>
      </c>
      <c r="AH93" s="135">
        <v>0.0</v>
      </c>
      <c r="AI93" s="151">
        <f t="shared" si="62"/>
        <v>-3427.34</v>
      </c>
      <c r="AJ93" s="145">
        <f>SUM(AI90:AI93)</f>
        <v>3438735.74</v>
      </c>
      <c r="AK93" s="146"/>
      <c r="AL93" s="147"/>
      <c r="AM93" s="147"/>
      <c r="AN93" s="147"/>
      <c r="AO93" s="147"/>
      <c r="AP93" s="147"/>
      <c r="AQ93" s="147"/>
      <c r="AR93" s="147"/>
      <c r="AS93" s="147"/>
      <c r="AT93" s="147"/>
      <c r="AU93" s="147"/>
      <c r="AV93" s="147"/>
      <c r="AW93" s="147"/>
      <c r="AX93" s="147"/>
      <c r="AY93" s="147"/>
      <c r="AZ93" s="147"/>
    </row>
    <row r="94" ht="24.0" customHeight="1">
      <c r="A94" s="133"/>
      <c r="B94" s="150" t="s">
        <v>163</v>
      </c>
      <c r="C94" s="135">
        <f>+(12508.62+20736.77)*0+(12535.93+20782.67)*0+(12556.6+20817.08)*0+(12598.75+20886.49)*0+(12620+20921)*0+(12641.27+20955.72)*0+(12648.27+20967.15)</f>
        <v>33615.42</v>
      </c>
      <c r="D94" s="136">
        <f>+149296.91*0+149622.35*0+149874.58*0+150042.05*0+150211.96*0+150383.65*0+150641.47*0+150891.01*0+150973.61</f>
        <v>150973.61</v>
      </c>
      <c r="E94" s="135">
        <f>+(+157896.94+105619.23)*0+(120284.75-11217.78+110000)*0+(-1007-21656+110152)*0+(-4041.8-24669+106500+114581+33638)*0+(-44568.88+115309-40000)*0+(-63001-40260+112378)*0+(-59384-42365+112378)*0+(+21258.2+1620)*0+(+43575-6839)*0+(-57105-14912+9135+36122)*0+((-5942.97-57120)+(+36122))*0+(-66864-443+20000+12736)*0+((-73278-36511)+(-38726-28000))*0+((-39639-28000-36468)+(-14720-13392))*0+((-39639-28000-36468-59711+12751)+(-13392+3746+80545+41069))*0+((-39639-28000-36468-59711+12751)+(121057-9655))*0+((+300-28000+531-68711+12751)+(+11656+3322+62397+258))*0+((+300-28000+531+875-68711+12766)+(+80895.41+3529))*0+(-43253.36+120881-512)*0+((+77627+25980+5593+6472-4170)+(-55911+531+12766+466))*0+((+77627+25980-4170+5593)+(+985+12766+408+531+475-55911))*0+((+103386.01+1406+6472)+(-71761+985+17191+408+531+475))*0+((+9897+60942+6444)+(+231+17191+855+475))*0+((+70826+6444)+(+231+855+475))*0+((-11781+6444)+(+231+855+475))*0+((-14446+6444)+(+231+475+355))*0+((-55637-46658)+(700+231+355+475))</f>
        <v>-100534</v>
      </c>
      <c r="F94" s="135">
        <f>+(+350+50)*145.4</f>
        <v>58160</v>
      </c>
      <c r="G94" s="136">
        <f>+113120.91*0+113364.9*0+113560.98*0+113620.29*0+113810.75*0+113873.59*0+114070.01*0+114317.49*0+114378.69</f>
        <v>114378.69</v>
      </c>
      <c r="H94" s="135">
        <f>+17191*0+17201.19*0+17211.08</f>
        <v>17211.08</v>
      </c>
      <c r="I94" s="135">
        <f>+185984.49*0+186360.05*0+186683.67*0+187308.72*0+187415*0+187520.82*0+187721.71*0+187830.99*0+187931.6*0+188042.95</f>
        <v>188042.95</v>
      </c>
      <c r="J94" s="136">
        <f>+229637.76*0+230273.34*0+230656.49*0+230783.54*0+231164.99*0+231291.84*0+231674.36*0+232190.08*0+232331.89</f>
        <v>232331.89</v>
      </c>
      <c r="K94" s="135">
        <f>+224902*0+225149.4*0+225521.99*0+225770.72*0+226893.42*0+227519.55</f>
        <v>227519.55</v>
      </c>
      <c r="L94" s="135">
        <f>+122965.86*0+146740.18*0+148753*0+130221*0+(129920-18962.43)*0+111978*0+(112056.62-14410)*0+95950*0+96233*0+98142*0+97927*0+98118*0+98337*0+86133*0+86140.21*0+(72134.11*0+72063.5+2000-13366.37)*0+60723.67*0+61075*0+60621.02*0+60020.65*0+59982.56</f>
        <v>59982.56</v>
      </c>
      <c r="M94" s="135">
        <f>+(+163088.45+23393.68+12308.53+18823.14+18962.43)*0+(252047.43+13833.97+13366.37)*0+284245.72</f>
        <v>284245.72</v>
      </c>
      <c r="N94" s="135">
        <v>0.0</v>
      </c>
      <c r="O94" s="136">
        <f>+120000*0+120114.45*0+120177.45*0+120242.46*0+120323.39*0+120433.9*0+120655.21*0+120755.05*0+120825.34*0+120875.65</f>
        <v>120875.65</v>
      </c>
      <c r="P94" s="136">
        <f>+227708.9*0+228061.55*0+228240*0+228459.98*0+228547.9*0+228768.26*0+229102.07*0+229358.02*0+229561.48*0+229663.28</f>
        <v>229663.28</v>
      </c>
      <c r="Q94" s="135">
        <f>+62076.13*0+62422.89*0+62000.18*0+61926.54*0+62123.52*0+62516.1*0+62619.35</f>
        <v>62619.35</v>
      </c>
      <c r="R94" s="135">
        <f>+(+2250+600)*91.03</f>
        <v>259435.5</v>
      </c>
      <c r="S94" s="135">
        <f>+(+404+5+45-200)*145.4</f>
        <v>36931.6</v>
      </c>
      <c r="T94" s="135">
        <v>0.0</v>
      </c>
      <c r="U94" s="135">
        <f>+(+10345-500)*77.52</f>
        <v>763184.4</v>
      </c>
      <c r="V94" s="135">
        <f>+1700*92.22</f>
        <v>156774</v>
      </c>
      <c r="W94" s="135">
        <v>0.0</v>
      </c>
      <c r="X94" s="135">
        <f>+(+270+140)*147</f>
        <v>60270</v>
      </c>
      <c r="Y94" s="135">
        <v>0.0</v>
      </c>
      <c r="Z94" s="136">
        <f>+(+2700-500-500+2100-600-500-500-700-500)*71.96</f>
        <v>71960</v>
      </c>
      <c r="AA94" s="136">
        <f>+(+900+800+600+300+100+700)*14.73</f>
        <v>50082</v>
      </c>
      <c r="AB94" s="135">
        <f>+(+3100+100+1000)*48.51</f>
        <v>203742</v>
      </c>
      <c r="AC94" s="135">
        <f>+(+700+110+200)*147</f>
        <v>148470</v>
      </c>
      <c r="AD94" s="135">
        <f>+450*92.22</f>
        <v>41499</v>
      </c>
      <c r="AE94" s="135">
        <v>0.0</v>
      </c>
      <c r="AF94" s="135">
        <f>+(+1300+660)*77.52</f>
        <v>151939.2</v>
      </c>
      <c r="AG94" s="135">
        <v>0.0</v>
      </c>
      <c r="AH94" s="135">
        <v>0.0</v>
      </c>
      <c r="AI94" s="151">
        <f t="shared" si="62"/>
        <v>3623373.45</v>
      </c>
      <c r="AJ94" s="145">
        <f>AJ93-AI94</f>
        <v>-184637.71</v>
      </c>
      <c r="AK94" s="146"/>
      <c r="AL94" s="147"/>
      <c r="AM94" s="147"/>
      <c r="AN94" s="147"/>
      <c r="AO94" s="147"/>
      <c r="AP94" s="147"/>
      <c r="AQ94" s="147"/>
      <c r="AR94" s="147"/>
      <c r="AS94" s="147"/>
      <c r="AT94" s="147"/>
      <c r="AU94" s="147"/>
      <c r="AV94" s="147"/>
      <c r="AW94" s="147"/>
      <c r="AX94" s="147"/>
      <c r="AY94" s="147"/>
      <c r="AZ94" s="147"/>
    </row>
    <row r="95" ht="20.25" customHeight="1">
      <c r="A95" s="133"/>
      <c r="B95" s="153" t="s">
        <v>165</v>
      </c>
      <c r="C95" s="154">
        <f t="shared" ref="C95:AI95" si="63">IFERROR(IF(C94=0,(-C92/C90)-1,C96),"")</f>
        <v>0.01168989075</v>
      </c>
      <c r="D95" s="154">
        <f t="shared" si="63"/>
        <v>0.0117951707</v>
      </c>
      <c r="E95" s="154">
        <f t="shared" si="63"/>
        <v>0</v>
      </c>
      <c r="F95" s="154">
        <f t="shared" si="63"/>
        <v>0.01106504298</v>
      </c>
      <c r="G95" s="154">
        <f t="shared" si="63"/>
        <v>0.01166541954</v>
      </c>
      <c r="H95" s="154">
        <f t="shared" si="63"/>
        <v>0.001168053051</v>
      </c>
      <c r="I95" s="154">
        <f t="shared" si="63"/>
        <v>0.01151807525</v>
      </c>
      <c r="J95" s="154">
        <f t="shared" si="63"/>
        <v>0.01173208622</v>
      </c>
      <c r="K95" s="154">
        <f t="shared" si="63"/>
        <v>0.01164154862</v>
      </c>
      <c r="L95" s="154">
        <f t="shared" si="63"/>
        <v>-0.008751304697</v>
      </c>
      <c r="M95" s="154">
        <f t="shared" si="63"/>
        <v>0.07760033425</v>
      </c>
      <c r="N95" s="154" t="str">
        <f t="shared" si="63"/>
        <v/>
      </c>
      <c r="O95" s="154">
        <f t="shared" si="63"/>
        <v>0.007297083333</v>
      </c>
      <c r="P95" s="154">
        <f t="shared" si="63"/>
        <v>0.008973080758</v>
      </c>
      <c r="Q95" s="154">
        <f t="shared" si="63"/>
        <v>0.009255038914</v>
      </c>
      <c r="R95" s="154">
        <f t="shared" si="63"/>
        <v>0.2233866697</v>
      </c>
      <c r="S95" s="154">
        <f t="shared" si="63"/>
        <v>0.01795581938</v>
      </c>
      <c r="T95" s="154" t="str">
        <f t="shared" si="63"/>
        <v/>
      </c>
      <c r="U95" s="154">
        <f t="shared" si="63"/>
        <v>0.09219020813</v>
      </c>
      <c r="V95" s="154">
        <f t="shared" si="63"/>
        <v>-0.0001084245907</v>
      </c>
      <c r="W95" s="154" t="str">
        <f t="shared" si="63"/>
        <v/>
      </c>
      <c r="X95" s="154">
        <f t="shared" si="63"/>
        <v>0.03347697183</v>
      </c>
      <c r="Y95" s="154" t="str">
        <f t="shared" si="63"/>
        <v/>
      </c>
      <c r="Z95" s="154">
        <f t="shared" si="63"/>
        <v>0.1917458845</v>
      </c>
      <c r="AA95" s="154">
        <f t="shared" si="63"/>
        <v>0.01679017359</v>
      </c>
      <c r="AB95" s="154">
        <f t="shared" si="63"/>
        <v>0.07929526853</v>
      </c>
      <c r="AC95" s="154">
        <f t="shared" si="63"/>
        <v>0.004716013943</v>
      </c>
      <c r="AD95" s="154">
        <f t="shared" si="63"/>
        <v>-0.0001084245907</v>
      </c>
      <c r="AE95" s="154" t="str">
        <f t="shared" si="63"/>
        <v/>
      </c>
      <c r="AF95" s="154">
        <f t="shared" si="63"/>
        <v>0.04962817931</v>
      </c>
      <c r="AG95" s="154" t="str">
        <f t="shared" si="63"/>
        <v/>
      </c>
      <c r="AH95" s="154" t="str">
        <f t="shared" si="63"/>
        <v/>
      </c>
      <c r="AI95" s="155">
        <f t="shared" si="63"/>
        <v>0.0536934862</v>
      </c>
      <c r="AJ95" s="145">
        <f>AI94*AI95</f>
        <v>194551.5523</v>
      </c>
      <c r="AK95" s="146"/>
      <c r="AL95" s="147"/>
      <c r="AM95" s="147"/>
      <c r="AN95" s="147"/>
      <c r="AO95" s="147"/>
      <c r="AP95" s="147"/>
      <c r="AQ95" s="147"/>
      <c r="AR95" s="147"/>
      <c r="AS95" s="147"/>
      <c r="AT95" s="147"/>
      <c r="AU95" s="147"/>
      <c r="AV95" s="147"/>
      <c r="AW95" s="147"/>
      <c r="AX95" s="147"/>
      <c r="AY95" s="147"/>
      <c r="AZ95" s="147"/>
    </row>
    <row r="96" ht="1.5" customHeight="1">
      <c r="A96" s="133"/>
      <c r="B96" s="156" t="s">
        <v>166</v>
      </c>
      <c r="C96" s="180">
        <f t="shared" ref="C96:AI96" si="64">IFERROR(IF(AND(C90&lt;&gt;0,C94=""),"",(C94/(C90+C91+C92+C93))-1),"")</f>
        <v>0.01168989075</v>
      </c>
      <c r="D96" s="180">
        <f t="shared" si="64"/>
        <v>0.0117951707</v>
      </c>
      <c r="E96" s="180">
        <f t="shared" si="64"/>
        <v>0</v>
      </c>
      <c r="F96" s="180">
        <f t="shared" si="64"/>
        <v>0.01106504298</v>
      </c>
      <c r="G96" s="180">
        <f t="shared" si="64"/>
        <v>0.01166541954</v>
      </c>
      <c r="H96" s="180">
        <f t="shared" si="64"/>
        <v>0.001168053051</v>
      </c>
      <c r="I96" s="180">
        <f t="shared" si="64"/>
        <v>0.01151807525</v>
      </c>
      <c r="J96" s="180">
        <f t="shared" si="64"/>
        <v>0.01173208622</v>
      </c>
      <c r="K96" s="180">
        <f t="shared" si="64"/>
        <v>0.01164154862</v>
      </c>
      <c r="L96" s="180">
        <f t="shared" si="64"/>
        <v>-0.008751304697</v>
      </c>
      <c r="M96" s="180">
        <f t="shared" si="64"/>
        <v>0.07760033425</v>
      </c>
      <c r="N96" s="180" t="str">
        <f t="shared" si="64"/>
        <v/>
      </c>
      <c r="O96" s="180">
        <f t="shared" si="64"/>
        <v>0.007297083333</v>
      </c>
      <c r="P96" s="180">
        <f t="shared" si="64"/>
        <v>0.008973080758</v>
      </c>
      <c r="Q96" s="180">
        <f t="shared" si="64"/>
        <v>0.009255038914</v>
      </c>
      <c r="R96" s="180">
        <f t="shared" si="64"/>
        <v>0.2233866697</v>
      </c>
      <c r="S96" s="180">
        <f t="shared" si="64"/>
        <v>0.01795581938</v>
      </c>
      <c r="T96" s="180" t="str">
        <f t="shared" si="64"/>
        <v/>
      </c>
      <c r="U96" s="180">
        <f t="shared" si="64"/>
        <v>0.09219020813</v>
      </c>
      <c r="V96" s="180">
        <f t="shared" si="64"/>
        <v>-0.0001084245907</v>
      </c>
      <c r="W96" s="180" t="str">
        <f t="shared" si="64"/>
        <v/>
      </c>
      <c r="X96" s="180">
        <f t="shared" si="64"/>
        <v>0.03347697183</v>
      </c>
      <c r="Y96" s="180" t="str">
        <f t="shared" si="64"/>
        <v/>
      </c>
      <c r="Z96" s="180">
        <f t="shared" si="64"/>
        <v>0.1917458845</v>
      </c>
      <c r="AA96" s="180">
        <f t="shared" si="64"/>
        <v>0.01679017359</v>
      </c>
      <c r="AB96" s="180">
        <f t="shared" si="64"/>
        <v>0.07929526853</v>
      </c>
      <c r="AC96" s="180">
        <f t="shared" si="64"/>
        <v>0.004716013943</v>
      </c>
      <c r="AD96" s="180">
        <f t="shared" si="64"/>
        <v>-0.0001084245907</v>
      </c>
      <c r="AE96" s="180" t="str">
        <f t="shared" si="64"/>
        <v/>
      </c>
      <c r="AF96" s="180">
        <f t="shared" si="64"/>
        <v>0.04962817931</v>
      </c>
      <c r="AG96" s="180" t="str">
        <f t="shared" si="64"/>
        <v/>
      </c>
      <c r="AH96" s="180" t="str">
        <f t="shared" si="64"/>
        <v/>
      </c>
      <c r="AI96" s="181">
        <f t="shared" si="64"/>
        <v>0.0536934862</v>
      </c>
      <c r="AJ96" s="145"/>
      <c r="AK96" s="146"/>
      <c r="AL96" s="147"/>
      <c r="AM96" s="147"/>
      <c r="AN96" s="147"/>
      <c r="AO96" s="147"/>
      <c r="AP96" s="147"/>
      <c r="AQ96" s="147"/>
      <c r="AR96" s="147"/>
      <c r="AS96" s="147"/>
      <c r="AT96" s="147"/>
      <c r="AU96" s="147"/>
      <c r="AV96" s="147"/>
      <c r="AW96" s="147"/>
      <c r="AX96" s="147"/>
      <c r="AY96" s="147"/>
      <c r="AZ96" s="147"/>
    </row>
    <row r="97" ht="26.25" customHeight="1">
      <c r="A97" s="158"/>
      <c r="B97" s="159" t="s">
        <v>167</v>
      </c>
      <c r="C97" s="160">
        <f t="shared" ref="C97:AI97" si="65">IFERROR(C94/$AI$94,"")</f>
        <v>0.009277382104</v>
      </c>
      <c r="D97" s="160">
        <f t="shared" si="65"/>
        <v>0.04166658836</v>
      </c>
      <c r="E97" s="160">
        <f t="shared" si="65"/>
        <v>-0.02774596695</v>
      </c>
      <c r="F97" s="160">
        <f t="shared" si="65"/>
        <v>0.01605134022</v>
      </c>
      <c r="G97" s="160">
        <f t="shared" si="65"/>
        <v>0.03156690625</v>
      </c>
      <c r="H97" s="160">
        <f t="shared" si="65"/>
        <v>0.004750015486</v>
      </c>
      <c r="I97" s="160">
        <f t="shared" si="65"/>
        <v>0.0518972037</v>
      </c>
      <c r="J97" s="160">
        <f t="shared" si="65"/>
        <v>0.06412032687</v>
      </c>
      <c r="K97" s="160">
        <f t="shared" si="65"/>
        <v>0.06279218886</v>
      </c>
      <c r="L97" s="160">
        <f t="shared" si="65"/>
        <v>0.01655434109</v>
      </c>
      <c r="M97" s="160">
        <f t="shared" si="65"/>
        <v>0.07844781222</v>
      </c>
      <c r="N97" s="160">
        <f t="shared" si="65"/>
        <v>0</v>
      </c>
      <c r="O97" s="160">
        <f t="shared" si="65"/>
        <v>0.03335997563</v>
      </c>
      <c r="P97" s="160">
        <f t="shared" si="65"/>
        <v>0.06338382813</v>
      </c>
      <c r="Q97" s="160">
        <f t="shared" si="65"/>
        <v>0.01728205797</v>
      </c>
      <c r="R97" s="160">
        <f t="shared" si="65"/>
        <v>0.0716005412</v>
      </c>
      <c r="S97" s="160">
        <f t="shared" si="65"/>
        <v>0.01019260104</v>
      </c>
      <c r="T97" s="160">
        <f t="shared" si="65"/>
        <v>0</v>
      </c>
      <c r="U97" s="160">
        <f t="shared" si="65"/>
        <v>0.2106281372</v>
      </c>
      <c r="V97" s="160">
        <f t="shared" si="65"/>
        <v>0.04326741424</v>
      </c>
      <c r="W97" s="160">
        <f t="shared" si="65"/>
        <v>0</v>
      </c>
      <c r="X97" s="160">
        <f t="shared" si="65"/>
        <v>0.01663367048</v>
      </c>
      <c r="Y97" s="160">
        <f t="shared" si="65"/>
        <v>0</v>
      </c>
      <c r="Z97" s="160">
        <f t="shared" si="65"/>
        <v>0.01985994571</v>
      </c>
      <c r="AA97" s="160">
        <f t="shared" si="65"/>
        <v>0.01382192608</v>
      </c>
      <c r="AB97" s="160">
        <f t="shared" si="65"/>
        <v>0.05622992021</v>
      </c>
      <c r="AC97" s="160">
        <f t="shared" si="65"/>
        <v>0.04097562728</v>
      </c>
      <c r="AD97" s="160">
        <f t="shared" si="65"/>
        <v>0.01145313906</v>
      </c>
      <c r="AE97" s="160">
        <f t="shared" si="65"/>
        <v>0</v>
      </c>
      <c r="AF97" s="160">
        <f t="shared" si="65"/>
        <v>0.04193307759</v>
      </c>
      <c r="AG97" s="160">
        <f t="shared" si="65"/>
        <v>0</v>
      </c>
      <c r="AH97" s="160">
        <f t="shared" si="65"/>
        <v>0</v>
      </c>
      <c r="AI97" s="161">
        <f t="shared" si="65"/>
        <v>1</v>
      </c>
      <c r="AJ97" s="162">
        <f>AI94-AI90</f>
        <v>105244.94</v>
      </c>
      <c r="AK97" s="163">
        <f>AI94/AI90-1</f>
        <v>0.02991503571</v>
      </c>
      <c r="AL97" s="147"/>
      <c r="AM97" s="147"/>
      <c r="AN97" s="147"/>
      <c r="AO97" s="147"/>
      <c r="AP97" s="147"/>
      <c r="AQ97" s="147"/>
      <c r="AR97" s="147"/>
      <c r="AS97" s="147"/>
      <c r="AT97" s="147"/>
      <c r="AU97" s="147"/>
      <c r="AV97" s="147"/>
      <c r="AW97" s="147"/>
      <c r="AX97" s="147"/>
      <c r="AY97" s="147"/>
      <c r="AZ97" s="147"/>
    </row>
    <row r="98" ht="15.75" customHeight="1">
      <c r="A98" s="15"/>
      <c r="B98" s="15"/>
      <c r="C98" s="15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54">
        <f>AA96</f>
        <v>0.01679017359</v>
      </c>
      <c r="AB98" s="15"/>
      <c r="AC98" s="15"/>
      <c r="AD98" s="15"/>
      <c r="AE98" s="15"/>
      <c r="AF98" s="15"/>
      <c r="AG98" s="15"/>
      <c r="AH98" s="15"/>
      <c r="AI98" s="285"/>
      <c r="AJ98" s="122"/>
      <c r="AK98" s="54"/>
      <c r="AL98" s="15"/>
      <c r="AM98" s="15"/>
      <c r="AN98" s="15"/>
      <c r="AO98" s="15"/>
      <c r="AP98" s="15"/>
      <c r="AQ98" s="15"/>
      <c r="AR98" s="15"/>
      <c r="AS98" s="15"/>
      <c r="AT98" s="15"/>
      <c r="AU98" s="15"/>
      <c r="AV98" s="15"/>
      <c r="AW98" s="15"/>
      <c r="AX98" s="15"/>
      <c r="AY98" s="15"/>
      <c r="AZ98" s="15"/>
    </row>
    <row r="99" ht="15.0" customHeight="1">
      <c r="A99" s="15"/>
      <c r="B99" s="15"/>
      <c r="C99" s="15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5"/>
      <c r="AG99" s="15"/>
      <c r="AH99" s="15"/>
      <c r="AI99" s="285"/>
      <c r="AJ99" s="122"/>
      <c r="AK99" s="54"/>
      <c r="AL99" s="15"/>
      <c r="AM99" s="15"/>
      <c r="AN99" s="15"/>
      <c r="AO99" s="15"/>
      <c r="AP99" s="15"/>
      <c r="AQ99" s="15"/>
      <c r="AR99" s="15"/>
      <c r="AS99" s="15"/>
      <c r="AT99" s="15"/>
      <c r="AU99" s="15"/>
      <c r="AV99" s="15"/>
      <c r="AW99" s="15"/>
      <c r="AX99" s="15"/>
      <c r="AY99" s="15"/>
      <c r="AZ99" s="15"/>
    </row>
    <row r="100" ht="28.5" customHeight="1">
      <c r="A100" s="286"/>
      <c r="B100" s="287" t="s">
        <v>124</v>
      </c>
      <c r="C100" s="288" t="str">
        <f t="shared" ref="C100:AH100" si="66">IF(C101="","",C1)</f>
        <v>Tesouro Alexa</v>
      </c>
      <c r="D100" s="288" t="str">
        <f t="shared" si="66"/>
        <v>Tesouro Nasser</v>
      </c>
      <c r="E100" s="288" t="str">
        <f t="shared" si="66"/>
        <v>SALDOS</v>
      </c>
      <c r="F100" s="288" t="str">
        <f t="shared" si="66"/>
        <v>LFTS11 BTG ALEXA</v>
      </c>
      <c r="G100" s="288" t="str">
        <f t="shared" si="66"/>
        <v>FUNDO BTG DIGITAL SELIC FIRF</v>
      </c>
      <c r="H100" s="288" t="str">
        <f t="shared" si="66"/>
        <v>CDB NU NASSER</v>
      </c>
      <c r="I100" s="288" t="str">
        <f t="shared" si="66"/>
        <v>BB FUNDO-RF LP HIGH</v>
      </c>
      <c r="J100" s="288" t="str">
        <f t="shared" si="66"/>
        <v>FUNDO BTG CDB PLUS FIRF CRPR</v>
      </c>
      <c r="K100" s="288" t="str">
        <f t="shared" si="66"/>
        <v>CDB - SANTANDER </v>
      </c>
      <c r="L100" s="288" t="str">
        <f t="shared" si="66"/>
        <v>MOEDAS - WISE</v>
      </c>
      <c r="M100" s="288" t="str">
        <f t="shared" si="66"/>
        <v>GOLD + CASH</v>
      </c>
      <c r="N100" s="288" t="str">
        <f t="shared" si="66"/>
        <v/>
      </c>
      <c r="O100" s="288" t="str">
        <f t="shared" si="66"/>
        <v>CRI OPEA IPCA+6,63%2040 BTG</v>
      </c>
      <c r="P100" s="288" t="str">
        <f t="shared" si="66"/>
        <v>DEBENTURE IGUA RIO IRJS15 IPCA+7,60%</v>
      </c>
      <c r="Q100" s="288" t="str">
        <f t="shared" si="66"/>
        <v>TESOURO ALEXA IPCA+ 2029</v>
      </c>
      <c r="R100" s="288" t="str">
        <f t="shared" si="66"/>
        <v>AURA33 NASSER BTG</v>
      </c>
      <c r="S100" s="288" t="str">
        <f t="shared" si="66"/>
        <v>LFT-S11 BTG NASSER</v>
      </c>
      <c r="T100" s="288" t="str">
        <f t="shared" si="66"/>
        <v/>
      </c>
      <c r="U100" s="288" t="str">
        <f t="shared" si="66"/>
        <v>TSLA34 - BTG NASSER</v>
      </c>
      <c r="V100" s="288" t="str">
        <f t="shared" si="66"/>
        <v>MELI34 BTG NASSER</v>
      </c>
      <c r="W100" s="288" t="str">
        <f t="shared" si="66"/>
        <v/>
      </c>
      <c r="X100" s="288" t="str">
        <f t="shared" si="66"/>
        <v>A1MD34 AMD BTG ALEXA</v>
      </c>
      <c r="Y100" s="288" t="str">
        <f t="shared" si="66"/>
        <v/>
      </c>
      <c r="Z100" s="288" t="str">
        <f t="shared" si="66"/>
        <v>VALE3 NASSER  BTG</v>
      </c>
      <c r="AA100" s="288" t="str">
        <f t="shared" si="66"/>
        <v>HAPV3 HAPVIDA BTG ALEXA</v>
      </c>
      <c r="AB100" s="288" t="str">
        <f t="shared" si="66"/>
        <v>WEGE3 - BTG  NASSER</v>
      </c>
      <c r="AC100" s="288" t="str">
        <f t="shared" si="66"/>
        <v>AMD A1MD34 BTG NASSER</v>
      </c>
      <c r="AD100" s="288" t="str">
        <f t="shared" si="66"/>
        <v>MELI34 BTG ALEXA</v>
      </c>
      <c r="AE100" s="288" t="str">
        <f t="shared" si="66"/>
        <v/>
      </c>
      <c r="AF100" s="288" t="str">
        <f t="shared" si="66"/>
        <v>TESLA  ALEXA  BTG</v>
      </c>
      <c r="AG100" s="288" t="str">
        <f t="shared" si="66"/>
        <v/>
      </c>
      <c r="AH100" s="288" t="str">
        <f t="shared" si="66"/>
        <v/>
      </c>
      <c r="AI100" s="289" t="s">
        <v>157</v>
      </c>
      <c r="AJ100" s="122"/>
      <c r="AK100" s="54"/>
      <c r="AL100" s="290"/>
      <c r="AM100" s="290"/>
      <c r="AN100" s="290"/>
      <c r="AO100" s="290"/>
      <c r="AP100" s="15"/>
      <c r="AQ100" s="15"/>
      <c r="AR100" s="15"/>
      <c r="AS100" s="15"/>
      <c r="AT100" s="15"/>
      <c r="AU100" s="15"/>
      <c r="AV100" s="15"/>
      <c r="AW100" s="15"/>
      <c r="AX100" s="15"/>
      <c r="AY100" s="15"/>
      <c r="AZ100" s="15"/>
    </row>
    <row r="101" ht="31.5" customHeight="1">
      <c r="A101" s="291"/>
      <c r="B101" s="292" t="s">
        <v>175</v>
      </c>
      <c r="C101" s="154">
        <f t="shared" ref="C101:D101" si="67">IF(IF(C97="",IF(C89="",IF(C81="",IF(C73="",IF(C65="",IF(C57="",IF(C49="",IF(C41="",IF(C33="",IF(C25="",IF(C17="",C9,C17),C25),C33),C41),C49),C57),C65),C73),C81),C89),C97)=0,"",IF(C97="",IF(C89="",IF(C81="",IF(C73="",IF(C65="",IF(C57="",IF(C49="",IF(C41="",IF(C33="",IF(C25="",IF(C17="",C9,C17),C25),C33),C41),C49),C57),C65),C73),C81),C89),C97))</f>
        <v>0.009277382104</v>
      </c>
      <c r="D101" s="154">
        <f t="shared" si="67"/>
        <v>0.04166658836</v>
      </c>
      <c r="E101" s="154">
        <f>IF(IF(E97="",IF(E89="",IF(E81="",IF(E73="",IF(E65="",IF(E57="",IF(E49="",IF(E41="",IF(#REF!="",IF(E25="",IF(E17="",E9,E17),E25),#REF!),E41),E49),E57),E65),E73),E81),E89),E97)=0,"",IF(E97="",IF(E89="",IF(E81="",IF(E73="",IF(E65="",IF(E57="",IF(E49="",IF(E41="",IF(#REF!="",IF(E25="",IF(E17="",E9,E17),E25),#REF!),E41),E49),E57),E65),E73),E81),E89),E97))</f>
        <v>-0.02774596695</v>
      </c>
      <c r="F101" s="154">
        <f t="shared" ref="F101:AI101" si="68">IF(IF(F97="",IF(F89="",IF(F81="",IF(F73="",IF(F65="",IF(F57="",IF(F49="",IF(F41="",IF(F33="",IF(F25="",IF(F17="",F9,F17),F25),F33),F41),F49),F57),F65),F73),F81),F89),F97)=0,"",IF(F97="",IF(F89="",IF(F81="",IF(F73="",IF(F65="",IF(F57="",IF(F49="",IF(F41="",IF(F33="",IF(F25="",IF(F17="",F9,F17),F25),F33),F41),F49),F57),F65),F73),F81),F89),F97))</f>
        <v>0.01605134022</v>
      </c>
      <c r="G101" s="154">
        <f t="shared" si="68"/>
        <v>0.03156690625</v>
      </c>
      <c r="H101" s="154">
        <f t="shared" si="68"/>
        <v>0.004750015486</v>
      </c>
      <c r="I101" s="154">
        <f t="shared" si="68"/>
        <v>0.0518972037</v>
      </c>
      <c r="J101" s="154">
        <f t="shared" si="68"/>
        <v>0.06412032687</v>
      </c>
      <c r="K101" s="154">
        <f t="shared" si="68"/>
        <v>0.06279218886</v>
      </c>
      <c r="L101" s="154">
        <f t="shared" si="68"/>
        <v>0.01655434109</v>
      </c>
      <c r="M101" s="154">
        <f t="shared" si="68"/>
        <v>0.07844781222</v>
      </c>
      <c r="N101" s="154" t="str">
        <f t="shared" si="68"/>
        <v/>
      </c>
      <c r="O101" s="154">
        <f t="shared" si="68"/>
        <v>0.03335997563</v>
      </c>
      <c r="P101" s="154">
        <f t="shared" si="68"/>
        <v>0.06338382813</v>
      </c>
      <c r="Q101" s="154">
        <f t="shared" si="68"/>
        <v>0.01728205797</v>
      </c>
      <c r="R101" s="154">
        <f t="shared" si="68"/>
        <v>0.0716005412</v>
      </c>
      <c r="S101" s="154">
        <f t="shared" si="68"/>
        <v>0.01019260104</v>
      </c>
      <c r="T101" s="154" t="str">
        <f t="shared" si="68"/>
        <v/>
      </c>
      <c r="U101" s="154">
        <f t="shared" si="68"/>
        <v>0.2106281372</v>
      </c>
      <c r="V101" s="154">
        <f t="shared" si="68"/>
        <v>0.04326741424</v>
      </c>
      <c r="W101" s="154" t="str">
        <f t="shared" si="68"/>
        <v/>
      </c>
      <c r="X101" s="154">
        <f t="shared" si="68"/>
        <v>0.01663367048</v>
      </c>
      <c r="Y101" s="154" t="str">
        <f t="shared" si="68"/>
        <v/>
      </c>
      <c r="Z101" s="154">
        <f t="shared" si="68"/>
        <v>0.01985994571</v>
      </c>
      <c r="AA101" s="154">
        <f t="shared" si="68"/>
        <v>0.01382192608</v>
      </c>
      <c r="AB101" s="154">
        <f t="shared" si="68"/>
        <v>0.05622992021</v>
      </c>
      <c r="AC101" s="154">
        <f t="shared" si="68"/>
        <v>0.04097562728</v>
      </c>
      <c r="AD101" s="154">
        <f t="shared" si="68"/>
        <v>0.01145313906</v>
      </c>
      <c r="AE101" s="154" t="str">
        <f t="shared" si="68"/>
        <v/>
      </c>
      <c r="AF101" s="154">
        <f t="shared" si="68"/>
        <v>0.04193307759</v>
      </c>
      <c r="AG101" s="154" t="str">
        <f t="shared" si="68"/>
        <v/>
      </c>
      <c r="AH101" s="154" t="str">
        <f t="shared" si="68"/>
        <v/>
      </c>
      <c r="AI101" s="157">
        <f t="shared" si="68"/>
        <v>1</v>
      </c>
      <c r="AJ101" s="122"/>
      <c r="AK101" s="54"/>
      <c r="AL101" s="54"/>
      <c r="AM101" s="54"/>
      <c r="AN101" s="54"/>
      <c r="AO101" s="54"/>
      <c r="AP101" s="15"/>
      <c r="AQ101" s="15"/>
      <c r="AR101" s="15"/>
      <c r="AS101" s="15"/>
      <c r="AT101" s="15"/>
      <c r="AU101" s="15"/>
      <c r="AV101" s="15"/>
      <c r="AW101" s="15"/>
      <c r="AX101" s="15"/>
      <c r="AY101" s="15"/>
      <c r="AZ101" s="15"/>
    </row>
    <row r="102" ht="15.75" customHeight="1">
      <c r="A102" s="15"/>
      <c r="B102" s="54"/>
      <c r="C102" s="54"/>
      <c r="D102" s="54"/>
      <c r="E102" s="54"/>
      <c r="F102" s="54"/>
      <c r="G102" s="54"/>
      <c r="H102" s="54"/>
      <c r="I102" s="54"/>
      <c r="J102" s="54"/>
      <c r="K102" s="54"/>
      <c r="L102" s="54"/>
      <c r="M102" s="54"/>
      <c r="N102" s="54"/>
      <c r="O102" s="54"/>
      <c r="P102" s="54"/>
      <c r="Q102" s="54"/>
      <c r="R102" s="54"/>
      <c r="S102" s="54"/>
      <c r="T102" s="54"/>
      <c r="U102" s="54"/>
      <c r="V102" s="54"/>
      <c r="W102" s="54"/>
      <c r="X102" s="54"/>
      <c r="Y102" s="54"/>
      <c r="Z102" s="54"/>
      <c r="AA102" s="54"/>
      <c r="AB102" s="54"/>
      <c r="AC102" s="54"/>
      <c r="AD102" s="54"/>
      <c r="AE102" s="54"/>
      <c r="AF102" s="54"/>
      <c r="AG102" s="54"/>
      <c r="AH102" s="54"/>
      <c r="AI102" s="293"/>
      <c r="AJ102" s="122"/>
      <c r="AK102" s="54"/>
      <c r="AL102" s="54"/>
      <c r="AM102" s="54"/>
      <c r="AN102" s="54"/>
      <c r="AO102" s="54"/>
      <c r="AP102" s="15"/>
      <c r="AQ102" s="15"/>
      <c r="AR102" s="15"/>
      <c r="AS102" s="15"/>
      <c r="AT102" s="15"/>
      <c r="AU102" s="15"/>
      <c r="AV102" s="15"/>
      <c r="AW102" s="15"/>
      <c r="AX102" s="15"/>
      <c r="AY102" s="15"/>
      <c r="AZ102" s="15"/>
    </row>
    <row r="103" ht="11.25" customHeight="1">
      <c r="A103" s="15"/>
      <c r="B103" s="15"/>
      <c r="C103" s="15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5"/>
      <c r="AG103" s="15"/>
      <c r="AH103" s="15"/>
      <c r="AI103" s="285"/>
      <c r="AJ103" s="122"/>
      <c r="AK103" s="54"/>
      <c r="AL103" s="15"/>
      <c r="AM103" s="15"/>
      <c r="AN103" s="15"/>
      <c r="AO103" s="15"/>
      <c r="AP103" s="15"/>
      <c r="AQ103" s="15"/>
      <c r="AR103" s="15"/>
      <c r="AS103" s="15"/>
      <c r="AT103" s="15"/>
      <c r="AU103" s="15"/>
      <c r="AV103" s="15"/>
      <c r="AW103" s="15"/>
      <c r="AX103" s="15"/>
      <c r="AY103" s="15"/>
      <c r="AZ103" s="15"/>
    </row>
    <row r="104" ht="15.75" customHeight="1">
      <c r="A104" s="15"/>
      <c r="B104" s="15"/>
      <c r="C104" s="15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5"/>
      <c r="AG104" s="15"/>
      <c r="AH104" s="15"/>
      <c r="AI104" s="285"/>
      <c r="AJ104" s="122"/>
      <c r="AK104" s="54"/>
      <c r="AL104" s="15"/>
      <c r="AM104" s="15"/>
      <c r="AN104" s="15"/>
      <c r="AO104" s="15"/>
      <c r="AP104" s="15"/>
      <c r="AQ104" s="15"/>
      <c r="AR104" s="15"/>
      <c r="AS104" s="15"/>
      <c r="AT104" s="15"/>
      <c r="AU104" s="15"/>
      <c r="AV104" s="15"/>
      <c r="AW104" s="15"/>
      <c r="AX104" s="15"/>
      <c r="AY104" s="15"/>
      <c r="AZ104" s="15"/>
    </row>
    <row r="105" ht="15.75" customHeight="1">
      <c r="A105" s="15"/>
      <c r="B105" s="15"/>
      <c r="C105" s="15"/>
      <c r="D105" s="15"/>
      <c r="E105" s="15"/>
      <c r="F105" s="15"/>
      <c r="G105" s="54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5"/>
      <c r="AG105" s="15"/>
      <c r="AH105" s="15"/>
      <c r="AI105" s="285"/>
      <c r="AJ105" s="122"/>
      <c r="AK105" s="54"/>
      <c r="AL105" s="15"/>
      <c r="AM105" s="15"/>
      <c r="AN105" s="15"/>
      <c r="AO105" s="15"/>
      <c r="AP105" s="15"/>
      <c r="AQ105" s="15"/>
      <c r="AR105" s="15"/>
      <c r="AS105" s="15"/>
      <c r="AT105" s="15"/>
      <c r="AU105" s="15"/>
      <c r="AV105" s="15"/>
      <c r="AW105" s="15"/>
      <c r="AX105" s="15"/>
      <c r="AY105" s="15"/>
      <c r="AZ105" s="15"/>
    </row>
    <row r="106" ht="15.75" customHeight="1">
      <c r="A106" s="15"/>
      <c r="B106" s="15"/>
      <c r="C106" s="15"/>
      <c r="D106" s="15"/>
      <c r="E106" s="294"/>
      <c r="F106" s="15"/>
      <c r="G106" s="54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5"/>
      <c r="AG106" s="15"/>
      <c r="AH106" s="15"/>
      <c r="AI106" s="285"/>
      <c r="AJ106" s="122"/>
      <c r="AK106" s="54"/>
      <c r="AL106" s="15"/>
      <c r="AM106" s="15"/>
      <c r="AN106" s="15"/>
      <c r="AO106" s="15"/>
      <c r="AP106" s="15"/>
      <c r="AQ106" s="15"/>
      <c r="AR106" s="15"/>
      <c r="AS106" s="15"/>
      <c r="AT106" s="15"/>
      <c r="AU106" s="15"/>
      <c r="AV106" s="15"/>
      <c r="AW106" s="15"/>
      <c r="AX106" s="15"/>
      <c r="AY106" s="15"/>
      <c r="AZ106" s="15"/>
    </row>
    <row r="107" ht="15.75" customHeight="1">
      <c r="A107" s="15"/>
      <c r="B107" s="15"/>
      <c r="C107" s="15"/>
      <c r="D107" s="15"/>
      <c r="E107" s="15"/>
      <c r="F107" s="42"/>
      <c r="G107" s="54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5"/>
      <c r="AG107" s="15"/>
      <c r="AH107" s="15"/>
      <c r="AI107" s="285"/>
      <c r="AJ107" s="122"/>
      <c r="AK107" s="54"/>
      <c r="AL107" s="15"/>
      <c r="AM107" s="15"/>
      <c r="AN107" s="15"/>
      <c r="AO107" s="15"/>
      <c r="AP107" s="15"/>
      <c r="AQ107" s="15"/>
      <c r="AR107" s="15"/>
      <c r="AS107" s="15"/>
      <c r="AT107" s="15"/>
      <c r="AU107" s="15"/>
      <c r="AV107" s="15"/>
      <c r="AW107" s="15"/>
      <c r="AX107" s="15"/>
      <c r="AY107" s="15"/>
      <c r="AZ107" s="15"/>
    </row>
    <row r="108" ht="15.75" customHeight="1">
      <c r="A108" s="15"/>
      <c r="B108" s="15"/>
      <c r="C108" s="15"/>
      <c r="D108" s="15"/>
      <c r="E108" s="15"/>
      <c r="F108" s="42"/>
      <c r="G108" s="54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  <c r="AE108" s="15"/>
      <c r="AF108" s="15"/>
      <c r="AG108" s="15"/>
      <c r="AH108" s="15"/>
      <c r="AI108" s="285"/>
      <c r="AJ108" s="122"/>
      <c r="AK108" s="54"/>
      <c r="AL108" s="15"/>
      <c r="AM108" s="15"/>
      <c r="AN108" s="15"/>
      <c r="AO108" s="15"/>
      <c r="AP108" s="15"/>
      <c r="AQ108" s="15"/>
      <c r="AR108" s="15"/>
      <c r="AS108" s="15"/>
      <c r="AT108" s="15"/>
      <c r="AU108" s="15"/>
      <c r="AV108" s="15"/>
      <c r="AW108" s="15"/>
      <c r="AX108" s="15"/>
      <c r="AY108" s="15"/>
      <c r="AZ108" s="15"/>
    </row>
    <row r="109" ht="15.75" customHeight="1">
      <c r="A109" s="15"/>
      <c r="B109" s="15"/>
      <c r="C109" s="15"/>
      <c r="D109" s="15"/>
      <c r="E109" s="15"/>
      <c r="F109" s="42"/>
      <c r="G109" s="54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  <c r="AE109" s="15"/>
      <c r="AF109" s="15"/>
      <c r="AG109" s="15"/>
      <c r="AH109" s="15"/>
      <c r="AI109" s="285"/>
      <c r="AJ109" s="122"/>
      <c r="AK109" s="54"/>
      <c r="AL109" s="15"/>
      <c r="AM109" s="15"/>
      <c r="AN109" s="15"/>
      <c r="AO109" s="15"/>
      <c r="AP109" s="15"/>
      <c r="AQ109" s="15"/>
      <c r="AR109" s="15"/>
      <c r="AS109" s="15"/>
      <c r="AT109" s="15"/>
      <c r="AU109" s="15"/>
      <c r="AV109" s="15"/>
      <c r="AW109" s="15"/>
      <c r="AX109" s="15"/>
      <c r="AY109" s="15"/>
      <c r="AZ109" s="15"/>
    </row>
    <row r="110" ht="15.75" customHeight="1">
      <c r="A110" s="15"/>
      <c r="B110" s="15"/>
      <c r="C110" s="15"/>
      <c r="D110" s="15"/>
      <c r="E110" s="15"/>
      <c r="F110" s="42"/>
      <c r="G110" s="54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  <c r="AE110" s="15"/>
      <c r="AF110" s="15"/>
      <c r="AG110" s="15"/>
      <c r="AH110" s="15"/>
      <c r="AI110" s="285"/>
      <c r="AJ110" s="122"/>
      <c r="AK110" s="54"/>
      <c r="AL110" s="15"/>
      <c r="AM110" s="15"/>
      <c r="AN110" s="15"/>
      <c r="AO110" s="15"/>
      <c r="AP110" s="15"/>
      <c r="AQ110" s="15"/>
      <c r="AR110" s="15"/>
      <c r="AS110" s="15"/>
      <c r="AT110" s="15"/>
      <c r="AU110" s="15"/>
      <c r="AV110" s="15"/>
      <c r="AW110" s="15"/>
      <c r="AX110" s="15"/>
      <c r="AY110" s="15"/>
      <c r="AZ110" s="15"/>
    </row>
    <row r="111" ht="15.75" customHeight="1">
      <c r="A111" s="295" t="s">
        <v>76</v>
      </c>
      <c r="B111" s="15"/>
      <c r="C111" s="15"/>
      <c r="D111" s="15"/>
      <c r="E111" s="15"/>
      <c r="F111" s="42"/>
      <c r="G111" s="54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  <c r="AA111" s="15"/>
      <c r="AB111" s="15"/>
      <c r="AC111" s="15"/>
      <c r="AD111" s="15"/>
      <c r="AE111" s="15"/>
      <c r="AF111" s="15"/>
      <c r="AG111" s="15"/>
      <c r="AH111" s="15"/>
      <c r="AI111" s="285"/>
      <c r="AJ111" s="122"/>
      <c r="AK111" s="54"/>
      <c r="AL111" s="15"/>
      <c r="AM111" s="15"/>
      <c r="AN111" s="15"/>
      <c r="AO111" s="15"/>
      <c r="AP111" s="15"/>
      <c r="AQ111" s="15"/>
      <c r="AR111" s="15"/>
      <c r="AS111" s="15"/>
      <c r="AT111" s="15"/>
      <c r="AU111" s="15"/>
      <c r="AV111" s="15"/>
      <c r="AW111" s="15"/>
      <c r="AX111" s="15"/>
      <c r="AY111" s="15"/>
      <c r="AZ111" s="15"/>
    </row>
    <row r="112" ht="15.75" customHeight="1">
      <c r="A112" s="15"/>
      <c r="B112" s="15"/>
      <c r="C112" s="15"/>
      <c r="D112" s="15"/>
      <c r="E112" s="296"/>
      <c r="F112" s="297"/>
      <c r="G112" s="298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  <c r="AF112" s="15"/>
      <c r="AG112" s="15"/>
      <c r="AH112" s="15"/>
      <c r="AI112" s="285"/>
      <c r="AJ112" s="122"/>
      <c r="AK112" s="54"/>
      <c r="AL112" s="15"/>
      <c r="AM112" s="15"/>
      <c r="AN112" s="15"/>
      <c r="AO112" s="15"/>
      <c r="AP112" s="15"/>
      <c r="AQ112" s="15"/>
      <c r="AR112" s="15"/>
      <c r="AS112" s="15"/>
      <c r="AT112" s="15"/>
      <c r="AU112" s="15"/>
      <c r="AV112" s="15"/>
      <c r="AW112" s="15"/>
      <c r="AX112" s="15"/>
      <c r="AY112" s="15"/>
      <c r="AZ112" s="15"/>
    </row>
    <row r="113" ht="15.75" customHeight="1">
      <c r="A113" s="15"/>
      <c r="B113" s="15"/>
      <c r="C113" s="15"/>
      <c r="D113" s="46"/>
      <c r="E113" s="54"/>
      <c r="F113" s="15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  <c r="AE113" s="15"/>
      <c r="AF113" s="15"/>
      <c r="AG113" s="15"/>
      <c r="AH113" s="15"/>
      <c r="AI113" s="285"/>
      <c r="AJ113" s="122"/>
      <c r="AK113" s="54"/>
      <c r="AL113" s="15"/>
      <c r="AM113" s="15"/>
      <c r="AN113" s="15"/>
      <c r="AO113" s="15"/>
      <c r="AP113" s="15"/>
      <c r="AQ113" s="15"/>
      <c r="AR113" s="15"/>
      <c r="AS113" s="15"/>
      <c r="AT113" s="15"/>
      <c r="AU113" s="15"/>
      <c r="AV113" s="15"/>
      <c r="AW113" s="15"/>
      <c r="AX113" s="15"/>
      <c r="AY113" s="15"/>
      <c r="AZ113" s="15"/>
    </row>
    <row r="114" ht="15.75" customHeight="1">
      <c r="A114" s="15"/>
      <c r="B114" s="15"/>
      <c r="C114" s="15"/>
      <c r="D114" s="42"/>
      <c r="E114" s="54"/>
      <c r="F114" s="15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  <c r="AE114" s="15"/>
      <c r="AF114" s="15"/>
      <c r="AG114" s="15"/>
      <c r="AH114" s="15"/>
      <c r="AI114" s="285"/>
      <c r="AJ114" s="122"/>
      <c r="AK114" s="54"/>
      <c r="AL114" s="15"/>
      <c r="AM114" s="15"/>
      <c r="AN114" s="15"/>
      <c r="AO114" s="15" t="s">
        <v>86</v>
      </c>
      <c r="AP114" s="15"/>
      <c r="AQ114" s="15"/>
      <c r="AR114" s="15"/>
      <c r="AS114" s="15"/>
      <c r="AT114" s="15"/>
      <c r="AU114" s="15"/>
      <c r="AV114" s="15"/>
      <c r="AW114" s="15"/>
      <c r="AX114" s="15"/>
      <c r="AY114" s="15"/>
      <c r="AZ114" s="15"/>
    </row>
    <row r="115" ht="15.75" customHeight="1">
      <c r="A115" s="15"/>
      <c r="B115" s="15"/>
      <c r="C115" s="15"/>
      <c r="D115" s="42"/>
      <c r="E115" s="54"/>
      <c r="F115" s="15"/>
      <c r="G115" s="15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5"/>
      <c r="AG115" s="15"/>
      <c r="AH115" s="15"/>
      <c r="AI115" s="285"/>
      <c r="AJ115" s="122"/>
      <c r="AK115" s="54"/>
      <c r="AL115" s="15"/>
      <c r="AM115" s="15"/>
      <c r="AN115" s="15"/>
      <c r="AO115" s="15"/>
      <c r="AP115" s="15"/>
      <c r="AQ115" s="15"/>
      <c r="AR115" s="15"/>
      <c r="AS115" s="15"/>
      <c r="AT115" s="15"/>
      <c r="AU115" s="15"/>
      <c r="AV115" s="15"/>
      <c r="AW115" s="15"/>
      <c r="AX115" s="15"/>
      <c r="AY115" s="15"/>
      <c r="AZ115" s="15"/>
    </row>
    <row r="116" ht="15.75" customHeight="1">
      <c r="A116" s="15"/>
      <c r="B116" s="15"/>
      <c r="C116" s="15"/>
      <c r="D116" s="42"/>
      <c r="E116" s="54"/>
      <c r="F116" s="15"/>
      <c r="G116" s="15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  <c r="AE116" s="15"/>
      <c r="AF116" s="15"/>
      <c r="AG116" s="15"/>
      <c r="AH116" s="15"/>
      <c r="AI116" s="285"/>
      <c r="AJ116" s="122"/>
      <c r="AK116" s="54"/>
      <c r="AL116" s="15"/>
      <c r="AM116" s="15"/>
      <c r="AN116" s="15"/>
      <c r="AO116" s="15"/>
      <c r="AP116" s="15"/>
      <c r="AQ116" s="15"/>
      <c r="AR116" s="15"/>
      <c r="AS116" s="15"/>
      <c r="AT116" s="15"/>
      <c r="AU116" s="15"/>
      <c r="AV116" s="15"/>
      <c r="AW116" s="15"/>
      <c r="AX116" s="15"/>
      <c r="AY116" s="15"/>
      <c r="AZ116" s="15"/>
    </row>
    <row r="117" ht="15.75" customHeight="1">
      <c r="A117" s="15"/>
      <c r="B117" s="15"/>
      <c r="C117" s="15"/>
      <c r="D117" s="42"/>
      <c r="E117" s="54"/>
      <c r="F117" s="15"/>
      <c r="G117" s="299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  <c r="AE117" s="15"/>
      <c r="AF117" s="15"/>
      <c r="AG117" s="15"/>
      <c r="AH117" s="15"/>
      <c r="AI117" s="285"/>
      <c r="AJ117" s="122"/>
      <c r="AK117" s="54"/>
      <c r="AL117" s="15"/>
      <c r="AM117" s="15"/>
      <c r="AN117" s="15"/>
      <c r="AO117" s="15"/>
      <c r="AP117" s="15"/>
      <c r="AQ117" s="15"/>
      <c r="AR117" s="15"/>
      <c r="AS117" s="15"/>
      <c r="AT117" s="15"/>
      <c r="AU117" s="15"/>
      <c r="AV117" s="15"/>
      <c r="AW117" s="15"/>
      <c r="AX117" s="15"/>
      <c r="AY117" s="15"/>
      <c r="AZ117" s="15"/>
    </row>
    <row r="118" ht="15.75" customHeight="1">
      <c r="A118" s="15"/>
      <c r="B118" s="15"/>
      <c r="C118" s="15"/>
      <c r="D118" s="42"/>
      <c r="E118" s="54"/>
      <c r="F118" s="15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  <c r="AA118" s="15"/>
      <c r="AB118" s="15"/>
      <c r="AC118" s="15"/>
      <c r="AD118" s="15"/>
      <c r="AE118" s="15"/>
      <c r="AF118" s="15"/>
      <c r="AG118" s="15"/>
      <c r="AH118" s="15"/>
      <c r="AI118" s="285"/>
      <c r="AJ118" s="122"/>
      <c r="AK118" s="54"/>
      <c r="AL118" s="15"/>
      <c r="AM118" s="15"/>
      <c r="AN118" s="15"/>
      <c r="AO118" s="15"/>
      <c r="AP118" s="15"/>
      <c r="AQ118" s="15"/>
      <c r="AR118" s="15"/>
      <c r="AS118" s="15"/>
      <c r="AT118" s="15"/>
      <c r="AU118" s="15"/>
      <c r="AV118" s="15"/>
      <c r="AW118" s="15"/>
      <c r="AX118" s="15"/>
      <c r="AY118" s="15"/>
      <c r="AZ118" s="15"/>
    </row>
    <row r="119" ht="15.75" customHeight="1">
      <c r="A119" s="15"/>
      <c r="B119" s="15"/>
      <c r="C119" s="15"/>
      <c r="D119" s="42"/>
      <c r="E119" s="54"/>
      <c r="F119" s="15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  <c r="AA119" s="15"/>
      <c r="AB119" s="15"/>
      <c r="AC119" s="15"/>
      <c r="AD119" s="15"/>
      <c r="AE119" s="15"/>
      <c r="AF119" s="15"/>
      <c r="AG119" s="15"/>
      <c r="AH119" s="15"/>
      <c r="AI119" s="285"/>
      <c r="AJ119" s="122"/>
      <c r="AK119" s="54"/>
      <c r="AL119" s="15"/>
      <c r="AM119" s="15"/>
      <c r="AN119" s="15"/>
      <c r="AO119" s="15"/>
      <c r="AP119" s="15"/>
      <c r="AQ119" s="15"/>
      <c r="AR119" s="15"/>
      <c r="AS119" s="15"/>
      <c r="AT119" s="15"/>
      <c r="AU119" s="15"/>
      <c r="AV119" s="15"/>
      <c r="AW119" s="15"/>
      <c r="AX119" s="15"/>
      <c r="AY119" s="15"/>
      <c r="AZ119" s="15"/>
    </row>
    <row r="120" ht="15.75" customHeight="1">
      <c r="A120" s="15"/>
      <c r="B120" s="15"/>
      <c r="C120" s="15"/>
      <c r="D120" s="42"/>
      <c r="E120" s="54"/>
      <c r="F120" s="15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5"/>
      <c r="AG120" s="15"/>
      <c r="AH120" s="15"/>
      <c r="AI120" s="285"/>
      <c r="AJ120" s="122"/>
      <c r="AK120" s="54"/>
      <c r="AL120" s="15"/>
      <c r="AM120" s="15"/>
      <c r="AN120" s="15"/>
      <c r="AO120" s="15"/>
      <c r="AP120" s="15"/>
      <c r="AQ120" s="15"/>
      <c r="AR120" s="15"/>
      <c r="AS120" s="15"/>
      <c r="AT120" s="15"/>
      <c r="AU120" s="15"/>
      <c r="AV120" s="15"/>
      <c r="AW120" s="15"/>
      <c r="AX120" s="15"/>
      <c r="AY120" s="15"/>
      <c r="AZ120" s="15"/>
    </row>
    <row r="121" ht="15.75" customHeight="1">
      <c r="A121" s="15"/>
      <c r="B121" s="15"/>
      <c r="C121" s="15"/>
      <c r="D121" s="42"/>
      <c r="E121" s="54"/>
      <c r="F121" s="15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5"/>
      <c r="AG121" s="15"/>
      <c r="AH121" s="15"/>
      <c r="AI121" s="285"/>
      <c r="AJ121" s="122"/>
      <c r="AK121" s="54"/>
      <c r="AL121" s="15"/>
      <c r="AM121" s="15"/>
      <c r="AN121" s="15"/>
      <c r="AO121" s="15"/>
      <c r="AP121" s="15"/>
      <c r="AQ121" s="15"/>
      <c r="AR121" s="15"/>
      <c r="AS121" s="15"/>
      <c r="AT121" s="15"/>
      <c r="AU121" s="15"/>
      <c r="AV121" s="15"/>
      <c r="AW121" s="15"/>
      <c r="AX121" s="15"/>
      <c r="AY121" s="15"/>
      <c r="AZ121" s="15"/>
    </row>
    <row r="122" ht="15.75" customHeight="1">
      <c r="A122" s="15"/>
      <c r="B122" s="15"/>
      <c r="C122" s="15"/>
      <c r="D122" s="42"/>
      <c r="E122" s="54"/>
      <c r="F122" s="15"/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5"/>
      <c r="AG122" s="15"/>
      <c r="AH122" s="15"/>
      <c r="AI122" s="285"/>
      <c r="AJ122" s="122"/>
      <c r="AK122" s="54"/>
      <c r="AL122" s="15"/>
      <c r="AM122" s="15"/>
      <c r="AN122" s="15"/>
      <c r="AO122" s="15"/>
      <c r="AP122" s="15"/>
      <c r="AQ122" s="15"/>
      <c r="AR122" s="15"/>
      <c r="AS122" s="15"/>
      <c r="AT122" s="15"/>
      <c r="AU122" s="15"/>
      <c r="AV122" s="15"/>
      <c r="AW122" s="15"/>
      <c r="AX122" s="15"/>
      <c r="AY122" s="15"/>
      <c r="AZ122" s="15"/>
    </row>
    <row r="123" ht="15.75" customHeight="1">
      <c r="A123" s="15"/>
      <c r="B123" s="15"/>
      <c r="C123" s="15"/>
      <c r="D123" s="42"/>
      <c r="E123" s="54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5"/>
      <c r="AG123" s="15"/>
      <c r="AH123" s="15"/>
      <c r="AI123" s="285"/>
      <c r="AJ123" s="122"/>
      <c r="AK123" s="54"/>
      <c r="AL123" s="15"/>
      <c r="AM123" s="15"/>
      <c r="AN123" s="15"/>
      <c r="AO123" s="15"/>
      <c r="AP123" s="15"/>
      <c r="AQ123" s="15"/>
      <c r="AR123" s="15"/>
      <c r="AS123" s="15"/>
      <c r="AT123" s="15"/>
      <c r="AU123" s="15"/>
      <c r="AV123" s="15"/>
      <c r="AW123" s="15"/>
      <c r="AX123" s="15"/>
      <c r="AY123" s="15"/>
      <c r="AZ123" s="15"/>
    </row>
    <row r="124" ht="15.75" customHeight="1">
      <c r="A124" s="15"/>
      <c r="B124" s="15"/>
      <c r="C124" s="15"/>
      <c r="D124" s="15"/>
      <c r="E124" s="54"/>
      <c r="F124" s="15"/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5"/>
      <c r="AG124" s="15"/>
      <c r="AH124" s="15"/>
      <c r="AI124" s="285"/>
      <c r="AJ124" s="122"/>
      <c r="AK124" s="54"/>
      <c r="AL124" s="15"/>
      <c r="AM124" s="15"/>
      <c r="AN124" s="15"/>
      <c r="AO124" s="15"/>
      <c r="AP124" s="15"/>
      <c r="AQ124" s="15"/>
      <c r="AR124" s="15"/>
      <c r="AS124" s="15"/>
      <c r="AT124" s="15"/>
      <c r="AU124" s="15"/>
      <c r="AV124" s="15"/>
      <c r="AW124" s="15"/>
      <c r="AX124" s="15"/>
      <c r="AY124" s="15"/>
      <c r="AZ124" s="15"/>
    </row>
    <row r="125" ht="15.75" customHeight="1">
      <c r="A125" s="15"/>
      <c r="B125" s="15"/>
      <c r="C125" s="15"/>
      <c r="D125" s="15"/>
      <c r="E125" s="54"/>
      <c r="F125" s="15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  <c r="AA125" s="15"/>
      <c r="AB125" s="15"/>
      <c r="AC125" s="15"/>
      <c r="AD125" s="15"/>
      <c r="AE125" s="15"/>
      <c r="AF125" s="15"/>
      <c r="AG125" s="15"/>
      <c r="AH125" s="15"/>
      <c r="AI125" s="285"/>
      <c r="AJ125" s="122"/>
      <c r="AK125" s="54"/>
      <c r="AL125" s="15"/>
      <c r="AM125" s="15"/>
      <c r="AN125" s="15"/>
      <c r="AO125" s="15"/>
      <c r="AP125" s="15"/>
      <c r="AQ125" s="15"/>
      <c r="AR125" s="15"/>
      <c r="AS125" s="15"/>
      <c r="AT125" s="15"/>
      <c r="AU125" s="15"/>
      <c r="AV125" s="15"/>
      <c r="AW125" s="15"/>
      <c r="AX125" s="15"/>
      <c r="AY125" s="15"/>
      <c r="AZ125" s="15"/>
    </row>
    <row r="126" ht="15.75" customHeight="1">
      <c r="A126" s="15"/>
      <c r="B126" s="15"/>
      <c r="C126" s="15"/>
      <c r="D126" s="42"/>
      <c r="E126" s="54"/>
      <c r="F126" s="15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  <c r="AE126" s="15"/>
      <c r="AF126" s="15"/>
      <c r="AG126" s="15"/>
      <c r="AH126" s="15"/>
      <c r="AI126" s="285"/>
      <c r="AJ126" s="122"/>
      <c r="AK126" s="54"/>
      <c r="AL126" s="15"/>
      <c r="AM126" s="15"/>
      <c r="AN126" s="15"/>
      <c r="AO126" s="15"/>
      <c r="AP126" s="15"/>
      <c r="AQ126" s="15"/>
      <c r="AR126" s="15"/>
      <c r="AS126" s="15"/>
      <c r="AT126" s="15"/>
      <c r="AU126" s="15"/>
      <c r="AV126" s="15"/>
      <c r="AW126" s="15"/>
      <c r="AX126" s="15"/>
      <c r="AY126" s="15"/>
      <c r="AZ126" s="15"/>
    </row>
    <row r="127" ht="15.75" customHeight="1">
      <c r="A127" s="15"/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/>
      <c r="Z127" s="15"/>
      <c r="AA127" s="15"/>
      <c r="AB127" s="15"/>
      <c r="AC127" s="15"/>
      <c r="AD127" s="15"/>
      <c r="AE127" s="15"/>
      <c r="AF127" s="15"/>
      <c r="AG127" s="15"/>
      <c r="AH127" s="15"/>
      <c r="AI127" s="285"/>
      <c r="AJ127" s="122"/>
      <c r="AK127" s="54"/>
      <c r="AL127" s="15"/>
      <c r="AM127" s="15"/>
      <c r="AN127" s="15"/>
      <c r="AO127" s="15"/>
      <c r="AP127" s="15"/>
      <c r="AQ127" s="15"/>
      <c r="AR127" s="15"/>
      <c r="AS127" s="15"/>
      <c r="AT127" s="15"/>
      <c r="AU127" s="15"/>
      <c r="AV127" s="15"/>
      <c r="AW127" s="15"/>
      <c r="AX127" s="15"/>
      <c r="AY127" s="15"/>
      <c r="AZ127" s="15"/>
    </row>
    <row r="128" ht="15.75" customHeight="1">
      <c r="A128" s="15"/>
      <c r="B128" s="15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5"/>
      <c r="AG128" s="15"/>
      <c r="AH128" s="15"/>
      <c r="AI128" s="285"/>
      <c r="AJ128" s="122"/>
      <c r="AK128" s="54"/>
      <c r="AL128" s="15"/>
      <c r="AM128" s="15"/>
      <c r="AN128" s="15"/>
      <c r="AO128" s="15"/>
      <c r="AP128" s="15"/>
      <c r="AQ128" s="15"/>
      <c r="AR128" s="15"/>
      <c r="AS128" s="15"/>
      <c r="AT128" s="15"/>
      <c r="AU128" s="15"/>
      <c r="AV128" s="15"/>
      <c r="AW128" s="15"/>
      <c r="AX128" s="15"/>
      <c r="AY128" s="15"/>
      <c r="AZ128" s="15"/>
    </row>
    <row r="129" ht="15.75" customHeight="1">
      <c r="A129" s="15"/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  <c r="AF129" s="15"/>
      <c r="AG129" s="15"/>
      <c r="AH129" s="15"/>
      <c r="AI129" s="285"/>
      <c r="AJ129" s="122"/>
      <c r="AK129" s="54"/>
      <c r="AL129" s="15"/>
      <c r="AM129" s="15"/>
      <c r="AN129" s="15"/>
      <c r="AO129" s="15"/>
      <c r="AP129" s="15"/>
      <c r="AQ129" s="15"/>
      <c r="AR129" s="15"/>
      <c r="AS129" s="15"/>
      <c r="AT129" s="15"/>
      <c r="AU129" s="15"/>
      <c r="AV129" s="15"/>
      <c r="AW129" s="15"/>
      <c r="AX129" s="15"/>
      <c r="AY129" s="15"/>
      <c r="AZ129" s="15"/>
    </row>
    <row r="130" ht="15.75" customHeight="1">
      <c r="A130" s="15"/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  <c r="AE130" s="15"/>
      <c r="AF130" s="15"/>
      <c r="AG130" s="15"/>
      <c r="AH130" s="15"/>
      <c r="AI130" s="285"/>
      <c r="AJ130" s="122"/>
      <c r="AK130" s="54"/>
      <c r="AL130" s="15"/>
      <c r="AM130" s="15"/>
      <c r="AN130" s="15"/>
      <c r="AO130" s="15"/>
      <c r="AP130" s="15"/>
      <c r="AQ130" s="15"/>
      <c r="AR130" s="15"/>
      <c r="AS130" s="15"/>
      <c r="AT130" s="15"/>
      <c r="AU130" s="15"/>
      <c r="AV130" s="15"/>
      <c r="AW130" s="15"/>
      <c r="AX130" s="15"/>
      <c r="AY130" s="15"/>
      <c r="AZ130" s="15"/>
    </row>
    <row r="131" ht="15.75" customHeight="1">
      <c r="A131" s="15"/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  <c r="AE131" s="15"/>
      <c r="AF131" s="15"/>
      <c r="AG131" s="15"/>
      <c r="AH131" s="15"/>
      <c r="AI131" s="285"/>
      <c r="AJ131" s="122"/>
      <c r="AK131" s="54"/>
      <c r="AL131" s="15"/>
      <c r="AM131" s="15"/>
      <c r="AN131" s="15"/>
      <c r="AO131" s="15"/>
      <c r="AP131" s="15"/>
      <c r="AQ131" s="15"/>
      <c r="AR131" s="15"/>
      <c r="AS131" s="15"/>
      <c r="AT131" s="15"/>
      <c r="AU131" s="15"/>
      <c r="AV131" s="15"/>
      <c r="AW131" s="15"/>
      <c r="AX131" s="15"/>
      <c r="AY131" s="15"/>
      <c r="AZ131" s="15"/>
    </row>
    <row r="132" ht="15.75" customHeight="1">
      <c r="A132" s="15"/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5"/>
      <c r="AG132" s="15"/>
      <c r="AH132" s="15"/>
      <c r="AI132" s="285"/>
      <c r="AJ132" s="122"/>
      <c r="AK132" s="54"/>
      <c r="AL132" s="15"/>
      <c r="AM132" s="15"/>
      <c r="AN132" s="15"/>
      <c r="AO132" s="15"/>
      <c r="AP132" s="15"/>
      <c r="AQ132" s="15"/>
      <c r="AR132" s="15"/>
      <c r="AS132" s="15"/>
      <c r="AT132" s="15"/>
      <c r="AU132" s="15"/>
      <c r="AV132" s="15"/>
      <c r="AW132" s="15"/>
      <c r="AX132" s="15"/>
      <c r="AY132" s="15"/>
      <c r="AZ132" s="15"/>
    </row>
    <row r="133" ht="15.75" customHeight="1">
      <c r="A133" s="15"/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5"/>
      <c r="AA133" s="15"/>
      <c r="AB133" s="15"/>
      <c r="AC133" s="15"/>
      <c r="AD133" s="15"/>
      <c r="AE133" s="15"/>
      <c r="AF133" s="15"/>
      <c r="AG133" s="15"/>
      <c r="AH133" s="15"/>
      <c r="AI133" s="285"/>
      <c r="AJ133" s="122"/>
      <c r="AK133" s="54"/>
      <c r="AL133" s="15"/>
      <c r="AM133" s="15"/>
      <c r="AN133" s="15"/>
      <c r="AO133" s="15"/>
      <c r="AP133" s="15"/>
      <c r="AQ133" s="15"/>
      <c r="AR133" s="15"/>
      <c r="AS133" s="15"/>
      <c r="AT133" s="15"/>
      <c r="AU133" s="15"/>
      <c r="AV133" s="15"/>
      <c r="AW133" s="15"/>
      <c r="AX133" s="15"/>
      <c r="AY133" s="15"/>
      <c r="AZ133" s="15"/>
    </row>
    <row r="134" ht="15.75" customHeight="1">
      <c r="A134" s="15"/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  <c r="AE134" s="15"/>
      <c r="AF134" s="15"/>
      <c r="AG134" s="15"/>
      <c r="AH134" s="15"/>
      <c r="AI134" s="285"/>
      <c r="AJ134" s="122"/>
      <c r="AK134" s="54"/>
      <c r="AL134" s="15"/>
      <c r="AM134" s="15"/>
      <c r="AN134" s="15"/>
      <c r="AO134" s="15"/>
      <c r="AP134" s="15"/>
      <c r="AQ134" s="15"/>
      <c r="AR134" s="15"/>
      <c r="AS134" s="15"/>
      <c r="AT134" s="15"/>
      <c r="AU134" s="15"/>
      <c r="AV134" s="15"/>
      <c r="AW134" s="15"/>
      <c r="AX134" s="15"/>
      <c r="AY134" s="15"/>
      <c r="AZ134" s="15"/>
    </row>
    <row r="135" ht="15.75" customHeight="1">
      <c r="A135" s="15"/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5"/>
      <c r="AG135" s="15"/>
      <c r="AH135" s="15"/>
      <c r="AI135" s="285"/>
      <c r="AJ135" s="122"/>
      <c r="AK135" s="54"/>
      <c r="AL135" s="15"/>
      <c r="AM135" s="15"/>
      <c r="AN135" s="15"/>
      <c r="AO135" s="15"/>
      <c r="AP135" s="15"/>
      <c r="AQ135" s="15"/>
      <c r="AR135" s="15"/>
      <c r="AS135" s="15"/>
      <c r="AT135" s="15"/>
      <c r="AU135" s="15"/>
      <c r="AV135" s="15"/>
      <c r="AW135" s="15"/>
      <c r="AX135" s="15"/>
      <c r="AY135" s="15"/>
      <c r="AZ135" s="15"/>
    </row>
    <row r="136" ht="15.75" customHeight="1">
      <c r="A136" s="15"/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  <c r="AE136" s="15"/>
      <c r="AF136" s="15"/>
      <c r="AG136" s="15"/>
      <c r="AH136" s="15"/>
      <c r="AI136" s="285"/>
      <c r="AJ136" s="122"/>
      <c r="AK136" s="54"/>
      <c r="AL136" s="15"/>
      <c r="AM136" s="15"/>
      <c r="AN136" s="15"/>
      <c r="AO136" s="15"/>
      <c r="AP136" s="15"/>
      <c r="AQ136" s="15"/>
      <c r="AR136" s="15"/>
      <c r="AS136" s="15"/>
      <c r="AT136" s="15"/>
      <c r="AU136" s="15"/>
      <c r="AV136" s="15"/>
      <c r="AW136" s="15"/>
      <c r="AX136" s="15"/>
      <c r="AY136" s="15"/>
      <c r="AZ136" s="15"/>
    </row>
    <row r="137" ht="15.75" customHeight="1">
      <c r="A137" s="15"/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  <c r="AE137" s="15"/>
      <c r="AF137" s="15"/>
      <c r="AG137" s="15"/>
      <c r="AH137" s="15"/>
      <c r="AI137" s="285"/>
      <c r="AJ137" s="122"/>
      <c r="AK137" s="54"/>
      <c r="AL137" s="15"/>
      <c r="AM137" s="15"/>
      <c r="AN137" s="15"/>
      <c r="AO137" s="15"/>
      <c r="AP137" s="15"/>
      <c r="AQ137" s="15"/>
      <c r="AR137" s="15"/>
      <c r="AS137" s="15"/>
      <c r="AT137" s="15"/>
      <c r="AU137" s="15"/>
      <c r="AV137" s="15"/>
      <c r="AW137" s="15"/>
      <c r="AX137" s="15"/>
      <c r="AY137" s="15"/>
      <c r="AZ137" s="15"/>
    </row>
    <row r="138" ht="15.75" customHeight="1">
      <c r="A138" s="15"/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U138" s="15"/>
      <c r="V138" s="15"/>
      <c r="W138" s="15"/>
      <c r="X138" s="15"/>
      <c r="Y138" s="15"/>
      <c r="Z138" s="15"/>
      <c r="AA138" s="15"/>
      <c r="AB138" s="15"/>
      <c r="AC138" s="15"/>
      <c r="AD138" s="15"/>
      <c r="AE138" s="15"/>
      <c r="AF138" s="15"/>
      <c r="AG138" s="15"/>
      <c r="AH138" s="15"/>
      <c r="AI138" s="285"/>
      <c r="AJ138" s="122"/>
      <c r="AK138" s="54"/>
      <c r="AL138" s="15"/>
      <c r="AM138" s="15"/>
      <c r="AN138" s="15"/>
      <c r="AO138" s="15"/>
      <c r="AP138" s="15"/>
      <c r="AQ138" s="15"/>
      <c r="AR138" s="15"/>
      <c r="AS138" s="15"/>
      <c r="AT138" s="15"/>
      <c r="AU138" s="15"/>
      <c r="AV138" s="15"/>
      <c r="AW138" s="15"/>
      <c r="AX138" s="15"/>
      <c r="AY138" s="15"/>
      <c r="AZ138" s="15"/>
    </row>
    <row r="139" ht="15.75" customHeight="1">
      <c r="A139" s="15"/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U139" s="15"/>
      <c r="V139" s="15"/>
      <c r="W139" s="15"/>
      <c r="X139" s="15"/>
      <c r="Y139" s="15"/>
      <c r="Z139" s="15"/>
      <c r="AA139" s="15"/>
      <c r="AB139" s="15"/>
      <c r="AC139" s="15"/>
      <c r="AD139" s="15"/>
      <c r="AE139" s="15"/>
      <c r="AF139" s="15"/>
      <c r="AG139" s="15"/>
      <c r="AH139" s="15"/>
      <c r="AI139" s="285"/>
      <c r="AJ139" s="122"/>
      <c r="AK139" s="54"/>
      <c r="AL139" s="15"/>
      <c r="AM139" s="15"/>
      <c r="AN139" s="15"/>
      <c r="AO139" s="15"/>
      <c r="AP139" s="15"/>
      <c r="AQ139" s="15"/>
      <c r="AR139" s="15"/>
      <c r="AS139" s="15"/>
      <c r="AT139" s="15"/>
      <c r="AU139" s="15"/>
      <c r="AV139" s="15"/>
      <c r="AW139" s="15"/>
      <c r="AX139" s="15"/>
      <c r="AY139" s="15"/>
      <c r="AZ139" s="15"/>
    </row>
    <row r="140" ht="15.75" customHeight="1">
      <c r="A140" s="15"/>
      <c r="B140" s="15"/>
      <c r="C140" s="15"/>
      <c r="D140" s="15"/>
      <c r="E140" s="15"/>
      <c r="F140" s="15"/>
      <c r="G140" s="15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5"/>
      <c r="AG140" s="15"/>
      <c r="AH140" s="15"/>
      <c r="AI140" s="285"/>
      <c r="AJ140" s="122"/>
      <c r="AK140" s="54"/>
      <c r="AL140" s="15"/>
      <c r="AM140" s="15"/>
      <c r="AN140" s="15"/>
      <c r="AO140" s="15"/>
      <c r="AP140" s="15"/>
      <c r="AQ140" s="15"/>
      <c r="AR140" s="15"/>
      <c r="AS140" s="15"/>
      <c r="AT140" s="15"/>
      <c r="AU140" s="15"/>
      <c r="AV140" s="15"/>
      <c r="AW140" s="15"/>
      <c r="AX140" s="15"/>
      <c r="AY140" s="15"/>
      <c r="AZ140" s="15"/>
    </row>
    <row r="141" ht="15.75" customHeight="1">
      <c r="A141" s="15"/>
      <c r="B141" s="15"/>
      <c r="C141" s="15"/>
      <c r="D141" s="15"/>
      <c r="E141" s="15"/>
      <c r="F141" s="15"/>
      <c r="G141" s="15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5"/>
      <c r="AG141" s="15"/>
      <c r="AH141" s="15"/>
      <c r="AI141" s="285"/>
      <c r="AJ141" s="122"/>
      <c r="AK141" s="54"/>
      <c r="AL141" s="15"/>
      <c r="AM141" s="15"/>
      <c r="AN141" s="15"/>
      <c r="AO141" s="15"/>
      <c r="AP141" s="15"/>
      <c r="AQ141" s="15"/>
      <c r="AR141" s="15"/>
      <c r="AS141" s="15"/>
      <c r="AT141" s="15"/>
      <c r="AU141" s="15"/>
      <c r="AV141" s="15"/>
      <c r="AW141" s="15"/>
      <c r="AX141" s="15"/>
      <c r="AY141" s="15"/>
      <c r="AZ141" s="15"/>
    </row>
    <row r="142" ht="15.75" customHeight="1">
      <c r="A142" s="15"/>
      <c r="B142" s="15"/>
      <c r="C142" s="15"/>
      <c r="D142" s="15"/>
      <c r="E142" s="15"/>
      <c r="F142" s="15"/>
      <c r="G142" s="15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Y142" s="15"/>
      <c r="Z142" s="15"/>
      <c r="AA142" s="15"/>
      <c r="AB142" s="15"/>
      <c r="AC142" s="15"/>
      <c r="AD142" s="15"/>
      <c r="AE142" s="15"/>
      <c r="AF142" s="15"/>
      <c r="AG142" s="15"/>
      <c r="AH142" s="15"/>
      <c r="AI142" s="285"/>
      <c r="AJ142" s="122"/>
      <c r="AK142" s="54"/>
      <c r="AL142" s="15"/>
      <c r="AM142" s="15"/>
      <c r="AN142" s="15"/>
      <c r="AO142" s="15"/>
      <c r="AP142" s="15"/>
      <c r="AQ142" s="15"/>
      <c r="AR142" s="15"/>
      <c r="AS142" s="15"/>
      <c r="AT142" s="15"/>
      <c r="AU142" s="15"/>
      <c r="AV142" s="15"/>
      <c r="AW142" s="15"/>
      <c r="AX142" s="15"/>
      <c r="AY142" s="15"/>
      <c r="AZ142" s="15"/>
    </row>
    <row r="143" ht="15.75" customHeight="1">
      <c r="A143" s="15"/>
      <c r="B143" s="15"/>
      <c r="C143" s="15"/>
      <c r="D143" s="15"/>
      <c r="E143" s="15"/>
      <c r="F143" s="15"/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U143" s="15"/>
      <c r="V143" s="15"/>
      <c r="W143" s="15"/>
      <c r="X143" s="15"/>
      <c r="Y143" s="15"/>
      <c r="Z143" s="15"/>
      <c r="AA143" s="15"/>
      <c r="AB143" s="15"/>
      <c r="AC143" s="15"/>
      <c r="AD143" s="15"/>
      <c r="AE143" s="15"/>
      <c r="AF143" s="15"/>
      <c r="AG143" s="15"/>
      <c r="AH143" s="15"/>
      <c r="AI143" s="285"/>
      <c r="AJ143" s="122"/>
      <c r="AK143" s="54"/>
      <c r="AL143" s="15"/>
      <c r="AM143" s="15"/>
      <c r="AN143" s="15"/>
      <c r="AO143" s="15"/>
      <c r="AP143" s="15"/>
      <c r="AQ143" s="15"/>
      <c r="AR143" s="15"/>
      <c r="AS143" s="15"/>
      <c r="AT143" s="15"/>
      <c r="AU143" s="15"/>
      <c r="AV143" s="15"/>
      <c r="AW143" s="15"/>
      <c r="AX143" s="15"/>
      <c r="AY143" s="15"/>
      <c r="AZ143" s="15"/>
    </row>
    <row r="144" ht="15.75" customHeight="1">
      <c r="A144" s="15"/>
      <c r="B144" s="15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Z144" s="15"/>
      <c r="AA144" s="15"/>
      <c r="AB144" s="15"/>
      <c r="AC144" s="15"/>
      <c r="AD144" s="15"/>
      <c r="AE144" s="15"/>
      <c r="AF144" s="15"/>
      <c r="AG144" s="15"/>
      <c r="AH144" s="15"/>
      <c r="AI144" s="285"/>
      <c r="AJ144" s="122"/>
      <c r="AK144" s="54"/>
      <c r="AL144" s="15"/>
      <c r="AM144" s="15"/>
      <c r="AN144" s="15"/>
      <c r="AO144" s="15"/>
      <c r="AP144" s="15"/>
      <c r="AQ144" s="15"/>
      <c r="AR144" s="15"/>
      <c r="AS144" s="15"/>
      <c r="AT144" s="15"/>
      <c r="AU144" s="15"/>
      <c r="AV144" s="15"/>
      <c r="AW144" s="15"/>
      <c r="AX144" s="15"/>
      <c r="AY144" s="15"/>
      <c r="AZ144" s="15"/>
    </row>
    <row r="145" ht="15.75" customHeight="1">
      <c r="A145" s="15"/>
      <c r="B145" s="15"/>
      <c r="C145" s="15"/>
      <c r="D145" s="15"/>
      <c r="E145" s="15"/>
      <c r="F145" s="15"/>
      <c r="G145" s="15"/>
      <c r="H145" s="15"/>
      <c r="I145" s="15"/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  <c r="AE145" s="15"/>
      <c r="AF145" s="15"/>
      <c r="AG145" s="15"/>
      <c r="AH145" s="15"/>
      <c r="AI145" s="285"/>
      <c r="AJ145" s="122"/>
      <c r="AK145" s="54"/>
      <c r="AL145" s="15"/>
      <c r="AM145" s="15"/>
      <c r="AN145" s="15"/>
      <c r="AO145" s="15"/>
      <c r="AP145" s="15"/>
      <c r="AQ145" s="15"/>
      <c r="AR145" s="15"/>
      <c r="AS145" s="15"/>
      <c r="AT145" s="15"/>
      <c r="AU145" s="15"/>
      <c r="AV145" s="15"/>
      <c r="AW145" s="15"/>
      <c r="AX145" s="15"/>
      <c r="AY145" s="15"/>
      <c r="AZ145" s="15"/>
    </row>
    <row r="146" ht="15.75" customHeight="1">
      <c r="A146" s="15"/>
      <c r="B146" s="15"/>
      <c r="C146" s="15"/>
      <c r="D146" s="15"/>
      <c r="E146" s="15"/>
      <c r="F146" s="15"/>
      <c r="G146" s="15"/>
      <c r="H146" s="15"/>
      <c r="I146" s="15"/>
      <c r="J146" s="15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U146" s="15"/>
      <c r="V146" s="15"/>
      <c r="W146" s="15"/>
      <c r="X146" s="15"/>
      <c r="Y146" s="15"/>
      <c r="Z146" s="15"/>
      <c r="AA146" s="15"/>
      <c r="AB146" s="15"/>
      <c r="AC146" s="15"/>
      <c r="AD146" s="15"/>
      <c r="AE146" s="15"/>
      <c r="AF146" s="15"/>
      <c r="AG146" s="15"/>
      <c r="AH146" s="15"/>
      <c r="AI146" s="285"/>
      <c r="AJ146" s="122"/>
      <c r="AK146" s="54"/>
      <c r="AL146" s="15"/>
      <c r="AM146" s="15"/>
      <c r="AN146" s="15"/>
      <c r="AO146" s="15"/>
      <c r="AP146" s="15"/>
      <c r="AQ146" s="15"/>
      <c r="AR146" s="15"/>
      <c r="AS146" s="15"/>
      <c r="AT146" s="15"/>
      <c r="AU146" s="15"/>
      <c r="AV146" s="15"/>
      <c r="AW146" s="15"/>
      <c r="AX146" s="15"/>
      <c r="AY146" s="15"/>
      <c r="AZ146" s="15"/>
    </row>
    <row r="147" ht="15.75" customHeight="1">
      <c r="A147" s="15"/>
      <c r="B147" s="15"/>
      <c r="C147" s="15"/>
      <c r="D147" s="15"/>
      <c r="E147" s="15"/>
      <c r="F147" s="15"/>
      <c r="G147" s="15"/>
      <c r="H147" s="15"/>
      <c r="I147" s="15"/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U147" s="15"/>
      <c r="V147" s="15"/>
      <c r="W147" s="15"/>
      <c r="X147" s="15"/>
      <c r="Y147" s="15"/>
      <c r="Z147" s="15"/>
      <c r="AA147" s="15"/>
      <c r="AB147" s="15"/>
      <c r="AC147" s="15"/>
      <c r="AD147" s="15"/>
      <c r="AE147" s="15"/>
      <c r="AF147" s="15"/>
      <c r="AG147" s="15"/>
      <c r="AH147" s="15"/>
      <c r="AI147" s="285"/>
      <c r="AJ147" s="122"/>
      <c r="AK147" s="54"/>
      <c r="AL147" s="15"/>
      <c r="AM147" s="15"/>
      <c r="AN147" s="15"/>
      <c r="AO147" s="15"/>
      <c r="AP147" s="15"/>
      <c r="AQ147" s="15"/>
      <c r="AR147" s="15"/>
      <c r="AS147" s="147"/>
      <c r="AT147" s="147"/>
      <c r="AU147" s="147"/>
      <c r="AV147" s="147"/>
      <c r="AW147" s="147"/>
      <c r="AX147" s="147"/>
      <c r="AY147" s="147"/>
      <c r="AZ147" s="147"/>
    </row>
    <row r="148" ht="15.75" customHeight="1">
      <c r="A148" s="15"/>
      <c r="B148" s="15"/>
      <c r="C148" s="15"/>
      <c r="D148" s="15"/>
      <c r="E148" s="15"/>
      <c r="F148" s="15"/>
      <c r="G148" s="15"/>
      <c r="H148" s="15"/>
      <c r="I148" s="15"/>
      <c r="J148" s="15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  <c r="Z148" s="15"/>
      <c r="AA148" s="15"/>
      <c r="AB148" s="15"/>
      <c r="AC148" s="15"/>
      <c r="AD148" s="15"/>
      <c r="AE148" s="15"/>
      <c r="AF148" s="15"/>
      <c r="AG148" s="15"/>
      <c r="AH148" s="15"/>
      <c r="AI148" s="285"/>
      <c r="AJ148" s="122"/>
      <c r="AK148" s="54"/>
      <c r="AL148" s="15"/>
      <c r="AM148" s="15"/>
      <c r="AN148" s="15"/>
      <c r="AO148" s="15"/>
      <c r="AP148" s="15"/>
      <c r="AQ148" s="15"/>
      <c r="AR148" s="15"/>
      <c r="AS148" s="147"/>
      <c r="AT148" s="147"/>
      <c r="AU148" s="147"/>
      <c r="AV148" s="147"/>
      <c r="AW148" s="147"/>
      <c r="AX148" s="147"/>
      <c r="AY148" s="147"/>
      <c r="AZ148" s="147"/>
    </row>
    <row r="149" ht="15.75" customHeight="1">
      <c r="A149" s="15"/>
      <c r="B149" s="15"/>
      <c r="C149" s="15"/>
      <c r="D149" s="15"/>
      <c r="E149" s="15"/>
      <c r="F149" s="15"/>
      <c r="G149" s="15"/>
      <c r="H149" s="15"/>
      <c r="I149" s="15"/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5"/>
      <c r="AG149" s="15"/>
      <c r="AH149" s="15"/>
      <c r="AI149" s="285"/>
      <c r="AJ149" s="122"/>
      <c r="AK149" s="54"/>
      <c r="AL149" s="15"/>
      <c r="AM149" s="15"/>
      <c r="AN149" s="15"/>
      <c r="AO149" s="15"/>
      <c r="AP149" s="15"/>
      <c r="AQ149" s="15"/>
      <c r="AR149" s="15"/>
      <c r="AS149" s="147"/>
      <c r="AT149" s="147"/>
      <c r="AU149" s="147"/>
      <c r="AV149" s="147"/>
      <c r="AW149" s="147"/>
      <c r="AX149" s="147"/>
      <c r="AY149" s="147"/>
      <c r="AZ149" s="147"/>
    </row>
    <row r="150" ht="15.75" customHeight="1">
      <c r="A150" s="15"/>
      <c r="B150" s="15"/>
      <c r="C150" s="15"/>
      <c r="D150" s="15"/>
      <c r="E150" s="15"/>
      <c r="F150" s="15"/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  <c r="Z150" s="15"/>
      <c r="AA150" s="15"/>
      <c r="AB150" s="15"/>
      <c r="AC150" s="15"/>
      <c r="AD150" s="15"/>
      <c r="AE150" s="15"/>
      <c r="AF150" s="15"/>
      <c r="AG150" s="15"/>
      <c r="AH150" s="15"/>
      <c r="AI150" s="285"/>
      <c r="AJ150" s="122"/>
      <c r="AK150" s="54"/>
      <c r="AL150" s="15"/>
      <c r="AM150" s="15"/>
      <c r="AN150" s="15"/>
      <c r="AO150" s="15"/>
      <c r="AP150" s="15"/>
      <c r="AQ150" s="15"/>
      <c r="AR150" s="15"/>
      <c r="AS150" s="147"/>
      <c r="AT150" s="147"/>
      <c r="AU150" s="147"/>
      <c r="AV150" s="147"/>
      <c r="AW150" s="147"/>
      <c r="AX150" s="147"/>
      <c r="AY150" s="147"/>
      <c r="AZ150" s="147"/>
    </row>
    <row r="151" ht="15.75" customHeight="1">
      <c r="A151" s="15"/>
      <c r="B151" s="15"/>
      <c r="C151" s="15"/>
      <c r="D151" s="15"/>
      <c r="E151" s="15"/>
      <c r="F151" s="15"/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Z151" s="15"/>
      <c r="AA151" s="15"/>
      <c r="AB151" s="15"/>
      <c r="AC151" s="15"/>
      <c r="AD151" s="15"/>
      <c r="AE151" s="15"/>
      <c r="AF151" s="15"/>
      <c r="AG151" s="15"/>
      <c r="AH151" s="15"/>
      <c r="AI151" s="285"/>
      <c r="AJ151" s="122"/>
      <c r="AK151" s="54"/>
      <c r="AL151" s="15"/>
      <c r="AM151" s="15"/>
      <c r="AN151" s="15"/>
      <c r="AO151" s="15"/>
      <c r="AP151" s="15"/>
      <c r="AQ151" s="15"/>
      <c r="AR151" s="15"/>
      <c r="AS151" s="147"/>
      <c r="AT151" s="147"/>
      <c r="AU151" s="147"/>
      <c r="AV151" s="147"/>
      <c r="AW151" s="147"/>
      <c r="AX151" s="147"/>
      <c r="AY151" s="147"/>
      <c r="AZ151" s="147"/>
    </row>
    <row r="152" ht="15.75" customHeight="1">
      <c r="A152" s="15"/>
      <c r="B152" s="15"/>
      <c r="C152" s="15"/>
      <c r="D152" s="15"/>
      <c r="E152" s="15"/>
      <c r="F152" s="15"/>
      <c r="G152" s="15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U152" s="15"/>
      <c r="V152" s="15"/>
      <c r="W152" s="15"/>
      <c r="X152" s="15"/>
      <c r="Y152" s="15"/>
      <c r="Z152" s="15"/>
      <c r="AA152" s="15"/>
      <c r="AB152" s="15"/>
      <c r="AC152" s="15"/>
      <c r="AD152" s="15"/>
      <c r="AE152" s="15"/>
      <c r="AF152" s="15"/>
      <c r="AG152" s="15"/>
      <c r="AH152" s="15"/>
      <c r="AI152" s="285"/>
      <c r="AJ152" s="122"/>
      <c r="AK152" s="54"/>
      <c r="AL152" s="15"/>
      <c r="AM152" s="15"/>
      <c r="AN152" s="15"/>
      <c r="AO152" s="15"/>
      <c r="AP152" s="15"/>
      <c r="AQ152" s="15"/>
      <c r="AR152" s="15"/>
      <c r="AS152" s="147"/>
      <c r="AT152" s="147"/>
      <c r="AU152" s="147"/>
      <c r="AV152" s="147"/>
      <c r="AW152" s="147"/>
      <c r="AX152" s="147"/>
      <c r="AY152" s="147"/>
      <c r="AZ152" s="147"/>
    </row>
    <row r="153" ht="15.75" customHeight="1">
      <c r="A153" s="15"/>
      <c r="B153" s="15"/>
      <c r="C153" s="15"/>
      <c r="D153" s="15"/>
      <c r="E153" s="15"/>
      <c r="F153" s="15"/>
      <c r="G153" s="15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  <c r="AE153" s="15"/>
      <c r="AF153" s="15"/>
      <c r="AG153" s="15"/>
      <c r="AH153" s="15"/>
      <c r="AI153" s="285"/>
      <c r="AJ153" s="122"/>
      <c r="AK153" s="54"/>
      <c r="AL153" s="15"/>
      <c r="AM153" s="15"/>
      <c r="AN153" s="15"/>
      <c r="AO153" s="15"/>
      <c r="AP153" s="15"/>
      <c r="AQ153" s="15"/>
      <c r="AR153" s="15"/>
      <c r="AS153" s="147"/>
      <c r="AT153" s="147"/>
      <c r="AU153" s="147"/>
      <c r="AV153" s="147"/>
      <c r="AW153" s="147"/>
      <c r="AX153" s="147"/>
      <c r="AY153" s="147"/>
      <c r="AZ153" s="147"/>
    </row>
    <row r="154" ht="15.75" customHeight="1">
      <c r="A154" s="15"/>
      <c r="B154" s="15"/>
      <c r="C154" s="15"/>
      <c r="D154" s="15"/>
      <c r="E154" s="15"/>
      <c r="F154" s="15"/>
      <c r="G154" s="15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5"/>
      <c r="AA154" s="15"/>
      <c r="AB154" s="15"/>
      <c r="AC154" s="15"/>
      <c r="AD154" s="15"/>
      <c r="AE154" s="15"/>
      <c r="AF154" s="15"/>
      <c r="AG154" s="15"/>
      <c r="AH154" s="15"/>
      <c r="AI154" s="285"/>
      <c r="AJ154" s="122"/>
      <c r="AK154" s="54"/>
      <c r="AL154" s="15"/>
      <c r="AM154" s="15"/>
      <c r="AN154" s="15"/>
      <c r="AO154" s="15"/>
      <c r="AP154" s="15"/>
      <c r="AQ154" s="15"/>
      <c r="AR154" s="15"/>
      <c r="AS154" s="171"/>
      <c r="AT154" s="171"/>
      <c r="AU154" s="171"/>
      <c r="AV154" s="171"/>
      <c r="AW154" s="171"/>
      <c r="AX154" s="171"/>
      <c r="AY154" s="171"/>
      <c r="AZ154" s="171"/>
    </row>
    <row r="155" ht="15.75" customHeight="1">
      <c r="A155" s="15"/>
      <c r="B155" s="15"/>
      <c r="C155" s="15"/>
      <c r="D155" s="15"/>
      <c r="E155" s="15"/>
      <c r="F155" s="15"/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  <c r="AE155" s="15"/>
      <c r="AF155" s="15"/>
      <c r="AG155" s="15"/>
      <c r="AH155" s="15"/>
      <c r="AI155" s="285"/>
      <c r="AJ155" s="122"/>
      <c r="AK155" s="54"/>
      <c r="AL155" s="15"/>
      <c r="AM155" s="15"/>
      <c r="AN155" s="15"/>
      <c r="AO155" s="15"/>
      <c r="AP155" s="15"/>
      <c r="AQ155" s="15"/>
      <c r="AR155" s="15"/>
      <c r="AS155" s="147"/>
      <c r="AT155" s="147"/>
      <c r="AU155" s="147"/>
      <c r="AV155" s="147"/>
      <c r="AW155" s="147"/>
      <c r="AX155" s="147"/>
      <c r="AY155" s="147"/>
      <c r="AZ155" s="147"/>
    </row>
    <row r="156" ht="15.75" customHeight="1">
      <c r="A156" s="15"/>
      <c r="B156" s="15"/>
      <c r="C156" s="15"/>
      <c r="D156" s="15"/>
      <c r="E156" s="15"/>
      <c r="F156" s="15"/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  <c r="Z156" s="15"/>
      <c r="AA156" s="15"/>
      <c r="AB156" s="15"/>
      <c r="AC156" s="15"/>
      <c r="AD156" s="15"/>
      <c r="AE156" s="15"/>
      <c r="AF156" s="15"/>
      <c r="AG156" s="15"/>
      <c r="AH156" s="15"/>
      <c r="AI156" s="285"/>
      <c r="AJ156" s="122"/>
      <c r="AK156" s="54"/>
      <c r="AL156" s="15"/>
      <c r="AM156" s="15"/>
      <c r="AN156" s="15"/>
      <c r="AO156" s="15"/>
      <c r="AP156" s="15"/>
      <c r="AQ156" s="15"/>
      <c r="AR156" s="15"/>
      <c r="AS156" s="147"/>
      <c r="AT156" s="147"/>
      <c r="AU156" s="147"/>
      <c r="AV156" s="147"/>
      <c r="AW156" s="147"/>
      <c r="AX156" s="147"/>
      <c r="AY156" s="147"/>
      <c r="AZ156" s="147"/>
    </row>
    <row r="157" ht="15.75" customHeight="1">
      <c r="A157" s="15"/>
      <c r="B157" s="15"/>
      <c r="C157" s="15"/>
      <c r="D157" s="15"/>
      <c r="E157" s="15"/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15"/>
      <c r="AG157" s="15"/>
      <c r="AH157" s="15"/>
      <c r="AI157" s="285"/>
      <c r="AJ157" s="122"/>
      <c r="AK157" s="54"/>
      <c r="AL157" s="15"/>
      <c r="AM157" s="15"/>
      <c r="AN157" s="15"/>
      <c r="AO157" s="15"/>
      <c r="AP157" s="15"/>
      <c r="AQ157" s="15"/>
      <c r="AR157" s="15"/>
      <c r="AS157" s="147"/>
      <c r="AT157" s="147"/>
      <c r="AU157" s="147"/>
      <c r="AV157" s="147"/>
      <c r="AW157" s="147"/>
      <c r="AX157" s="147"/>
      <c r="AY157" s="147"/>
      <c r="AZ157" s="147"/>
    </row>
    <row r="158" ht="15.75" customHeight="1">
      <c r="A158" s="15"/>
      <c r="B158" s="15"/>
      <c r="C158" s="15"/>
      <c r="D158" s="15"/>
      <c r="E158" s="15"/>
      <c r="F158" s="15"/>
      <c r="G158" s="15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5"/>
      <c r="AG158" s="15"/>
      <c r="AH158" s="15"/>
      <c r="AI158" s="285"/>
      <c r="AJ158" s="122"/>
      <c r="AK158" s="54"/>
      <c r="AL158" s="15"/>
      <c r="AM158" s="15"/>
      <c r="AN158" s="15"/>
      <c r="AO158" s="15"/>
      <c r="AP158" s="15"/>
      <c r="AQ158" s="15"/>
      <c r="AR158" s="15"/>
      <c r="AS158" s="147"/>
      <c r="AT158" s="147"/>
      <c r="AU158" s="147"/>
      <c r="AV158" s="147"/>
      <c r="AW158" s="147"/>
      <c r="AX158" s="147"/>
      <c r="AY158" s="147"/>
      <c r="AZ158" s="147"/>
    </row>
    <row r="159" ht="15.75" customHeight="1">
      <c r="A159" s="15"/>
      <c r="B159" s="15"/>
      <c r="C159" s="15"/>
      <c r="D159" s="15"/>
      <c r="E159" s="15"/>
      <c r="F159" s="15"/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  <c r="Z159" s="15"/>
      <c r="AA159" s="15"/>
      <c r="AB159" s="15"/>
      <c r="AC159" s="15"/>
      <c r="AD159" s="15"/>
      <c r="AE159" s="15"/>
      <c r="AF159" s="15"/>
      <c r="AG159" s="15"/>
      <c r="AH159" s="15"/>
      <c r="AI159" s="285"/>
      <c r="AJ159" s="122"/>
      <c r="AK159" s="54"/>
      <c r="AL159" s="15"/>
      <c r="AM159" s="15"/>
      <c r="AN159" s="15"/>
      <c r="AO159" s="15"/>
      <c r="AP159" s="15"/>
      <c r="AQ159" s="15"/>
      <c r="AR159" s="15"/>
      <c r="AS159" s="147"/>
      <c r="AT159" s="147"/>
      <c r="AU159" s="147"/>
      <c r="AV159" s="147"/>
      <c r="AW159" s="147"/>
      <c r="AX159" s="147"/>
      <c r="AY159" s="147"/>
      <c r="AZ159" s="147"/>
    </row>
    <row r="160" ht="15.75" customHeight="1">
      <c r="A160" s="15"/>
      <c r="B160" s="15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 s="15"/>
      <c r="V160" s="15"/>
      <c r="W160" s="15"/>
      <c r="X160" s="15"/>
      <c r="Y160" s="15"/>
      <c r="Z160" s="15"/>
      <c r="AA160" s="15"/>
      <c r="AB160" s="15"/>
      <c r="AC160" s="15"/>
      <c r="AD160" s="15"/>
      <c r="AE160" s="15"/>
      <c r="AF160" s="15"/>
      <c r="AG160" s="15"/>
      <c r="AH160" s="15"/>
      <c r="AI160" s="285"/>
      <c r="AJ160" s="122"/>
      <c r="AK160" s="54"/>
      <c r="AL160" s="15"/>
      <c r="AM160" s="15"/>
      <c r="AN160" s="15"/>
      <c r="AO160" s="15"/>
      <c r="AP160" s="15"/>
      <c r="AQ160" s="15"/>
      <c r="AR160" s="15"/>
      <c r="AS160" s="147"/>
      <c r="AT160" s="147"/>
      <c r="AU160" s="147"/>
      <c r="AV160" s="147"/>
      <c r="AW160" s="147"/>
      <c r="AX160" s="147"/>
      <c r="AY160" s="147"/>
      <c r="AZ160" s="147"/>
    </row>
    <row r="161" ht="15.75" customHeight="1">
      <c r="A161" s="15"/>
      <c r="B161" s="15"/>
      <c r="C161" s="15"/>
      <c r="D161" s="15"/>
      <c r="E161" s="15"/>
      <c r="F161" s="15"/>
      <c r="G161" s="15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 s="15"/>
      <c r="V161" s="15"/>
      <c r="W161" s="15"/>
      <c r="X161" s="15"/>
      <c r="Y161" s="15"/>
      <c r="Z161" s="15"/>
      <c r="AA161" s="15"/>
      <c r="AB161" s="15"/>
      <c r="AC161" s="15"/>
      <c r="AD161" s="15"/>
      <c r="AE161" s="15"/>
      <c r="AF161" s="15"/>
      <c r="AG161" s="15"/>
      <c r="AH161" s="15"/>
      <c r="AI161" s="285"/>
      <c r="AJ161" s="122"/>
      <c r="AK161" s="54"/>
      <c r="AL161" s="15"/>
      <c r="AM161" s="15"/>
      <c r="AN161" s="15"/>
      <c r="AO161" s="15"/>
      <c r="AP161" s="15"/>
      <c r="AQ161" s="15"/>
      <c r="AR161" s="15"/>
      <c r="AS161" s="147"/>
      <c r="AT161" s="147"/>
      <c r="AU161" s="147"/>
      <c r="AV161" s="147"/>
      <c r="AW161" s="147"/>
      <c r="AX161" s="147"/>
      <c r="AY161" s="147"/>
      <c r="AZ161" s="147"/>
    </row>
    <row r="162" ht="15.75" customHeight="1">
      <c r="A162" s="15"/>
      <c r="B162" s="15"/>
      <c r="C162" s="15"/>
      <c r="D162" s="15"/>
      <c r="E162" s="15"/>
      <c r="F162" s="15"/>
      <c r="G162" s="15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5"/>
      <c r="AA162" s="15"/>
      <c r="AB162" s="15"/>
      <c r="AC162" s="15"/>
      <c r="AD162" s="15"/>
      <c r="AE162" s="15"/>
      <c r="AF162" s="15"/>
      <c r="AG162" s="15"/>
      <c r="AH162" s="15"/>
      <c r="AI162" s="285"/>
      <c r="AJ162" s="122"/>
      <c r="AK162" s="54"/>
      <c r="AL162" s="15"/>
      <c r="AM162" s="15"/>
      <c r="AN162" s="15"/>
      <c r="AO162" s="15"/>
      <c r="AP162" s="15"/>
      <c r="AQ162" s="15"/>
      <c r="AR162" s="15"/>
      <c r="AS162" s="171"/>
      <c r="AT162" s="171"/>
      <c r="AU162" s="171"/>
      <c r="AV162" s="171"/>
      <c r="AW162" s="171"/>
      <c r="AX162" s="171"/>
      <c r="AY162" s="171"/>
      <c r="AZ162" s="171"/>
    </row>
    <row r="163" ht="15.75" customHeight="1">
      <c r="A163" s="15"/>
      <c r="B163" s="15"/>
      <c r="C163" s="15"/>
      <c r="D163" s="15"/>
      <c r="E163" s="15"/>
      <c r="F163" s="15"/>
      <c r="G163" s="15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  <c r="AE163" s="15"/>
      <c r="AF163" s="15"/>
      <c r="AG163" s="15"/>
      <c r="AH163" s="15"/>
      <c r="AI163" s="285"/>
      <c r="AJ163" s="122"/>
      <c r="AK163" s="54"/>
      <c r="AL163" s="15"/>
      <c r="AM163" s="15"/>
      <c r="AN163" s="15"/>
      <c r="AO163" s="15"/>
      <c r="AP163" s="15"/>
      <c r="AQ163" s="15"/>
      <c r="AR163" s="15"/>
      <c r="AS163" s="147"/>
      <c r="AT163" s="147"/>
      <c r="AU163" s="147"/>
      <c r="AV163" s="147"/>
      <c r="AW163" s="147"/>
      <c r="AX163" s="147"/>
      <c r="AY163" s="147"/>
      <c r="AZ163" s="147"/>
    </row>
    <row r="164" ht="15.75" customHeight="1">
      <c r="A164" s="15"/>
      <c r="B164" s="15"/>
      <c r="C164" s="15"/>
      <c r="D164" s="15"/>
      <c r="E164" s="15"/>
      <c r="F164" s="15"/>
      <c r="G164" s="15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  <c r="Z164" s="15"/>
      <c r="AA164" s="15"/>
      <c r="AB164" s="15"/>
      <c r="AC164" s="15"/>
      <c r="AD164" s="15"/>
      <c r="AE164" s="15"/>
      <c r="AF164" s="15"/>
      <c r="AG164" s="15"/>
      <c r="AH164" s="15"/>
      <c r="AI164" s="285"/>
      <c r="AJ164" s="122"/>
      <c r="AK164" s="54"/>
      <c r="AL164" s="15"/>
      <c r="AM164" s="15"/>
      <c r="AN164" s="15"/>
      <c r="AO164" s="15"/>
      <c r="AP164" s="15"/>
      <c r="AQ164" s="15"/>
      <c r="AR164" s="15"/>
      <c r="AS164" s="147"/>
      <c r="AT164" s="147"/>
      <c r="AU164" s="147"/>
      <c r="AV164" s="147"/>
      <c r="AW164" s="147"/>
      <c r="AX164" s="147"/>
      <c r="AY164" s="147"/>
      <c r="AZ164" s="147"/>
    </row>
    <row r="165" ht="15.75" customHeight="1">
      <c r="A165" s="15"/>
      <c r="B165" s="15"/>
      <c r="C165" s="15"/>
      <c r="D165" s="15"/>
      <c r="E165" s="15"/>
      <c r="F165" s="15"/>
      <c r="G165" s="15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  <c r="AE165" s="15"/>
      <c r="AF165" s="15"/>
      <c r="AG165" s="15"/>
      <c r="AH165" s="15"/>
      <c r="AI165" s="285"/>
      <c r="AJ165" s="122"/>
      <c r="AK165" s="54"/>
      <c r="AL165" s="15"/>
      <c r="AM165" s="15"/>
      <c r="AN165" s="15"/>
      <c r="AO165" s="15"/>
      <c r="AP165" s="15"/>
      <c r="AQ165" s="15"/>
      <c r="AR165" s="15"/>
      <c r="AS165" s="147"/>
      <c r="AT165" s="147"/>
      <c r="AU165" s="147"/>
      <c r="AV165" s="147"/>
      <c r="AW165" s="147"/>
      <c r="AX165" s="147"/>
      <c r="AY165" s="147"/>
      <c r="AZ165" s="147"/>
    </row>
    <row r="166" ht="15.75" customHeight="1">
      <c r="A166" s="15"/>
      <c r="B166" s="15"/>
      <c r="C166" s="15"/>
      <c r="D166" s="15"/>
      <c r="E166" s="15"/>
      <c r="F166" s="15"/>
      <c r="G166" s="15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 s="15"/>
      <c r="V166" s="15"/>
      <c r="W166" s="15"/>
      <c r="X166" s="15"/>
      <c r="Y166" s="15"/>
      <c r="Z166" s="15"/>
      <c r="AA166" s="15"/>
      <c r="AB166" s="15"/>
      <c r="AC166" s="15"/>
      <c r="AD166" s="15"/>
      <c r="AE166" s="15"/>
      <c r="AF166" s="15"/>
      <c r="AG166" s="15"/>
      <c r="AH166" s="15"/>
      <c r="AI166" s="285"/>
      <c r="AJ166" s="122"/>
      <c r="AK166" s="54"/>
      <c r="AL166" s="15"/>
      <c r="AM166" s="15"/>
      <c r="AN166" s="15"/>
      <c r="AO166" s="15"/>
      <c r="AP166" s="15"/>
      <c r="AQ166" s="15"/>
      <c r="AR166" s="15"/>
      <c r="AS166" s="147"/>
      <c r="AT166" s="147"/>
      <c r="AU166" s="147"/>
      <c r="AV166" s="147"/>
      <c r="AW166" s="147"/>
      <c r="AX166" s="147"/>
      <c r="AY166" s="147"/>
      <c r="AZ166" s="147"/>
    </row>
    <row r="167" ht="15.75" customHeight="1">
      <c r="A167" s="15"/>
      <c r="B167" s="15"/>
      <c r="C167" s="15"/>
      <c r="D167" s="15"/>
      <c r="E167" s="15"/>
      <c r="F167" s="15"/>
      <c r="G167" s="15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  <c r="Z167" s="15"/>
      <c r="AA167" s="15"/>
      <c r="AB167" s="15"/>
      <c r="AC167" s="15"/>
      <c r="AD167" s="15"/>
      <c r="AE167" s="15"/>
      <c r="AF167" s="15"/>
      <c r="AG167" s="15"/>
      <c r="AH167" s="15"/>
      <c r="AI167" s="285"/>
      <c r="AJ167" s="122"/>
      <c r="AK167" s="54"/>
      <c r="AL167" s="15"/>
      <c r="AM167" s="15"/>
      <c r="AN167" s="15"/>
      <c r="AO167" s="15"/>
      <c r="AP167" s="15"/>
      <c r="AQ167" s="15"/>
      <c r="AR167" s="15"/>
      <c r="AS167" s="147"/>
      <c r="AT167" s="147"/>
      <c r="AU167" s="147"/>
      <c r="AV167" s="147"/>
      <c r="AW167" s="147"/>
      <c r="AX167" s="147"/>
      <c r="AY167" s="147"/>
      <c r="AZ167" s="147"/>
    </row>
    <row r="168" ht="15.75" customHeight="1">
      <c r="A168" s="15"/>
      <c r="B168" s="15"/>
      <c r="C168" s="15"/>
      <c r="D168" s="15"/>
      <c r="E168" s="15"/>
      <c r="F168" s="15"/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15"/>
      <c r="V168" s="15"/>
      <c r="W168" s="15"/>
      <c r="X168" s="15"/>
      <c r="Y168" s="15"/>
      <c r="Z168" s="15"/>
      <c r="AA168" s="15"/>
      <c r="AB168" s="15"/>
      <c r="AC168" s="15"/>
      <c r="AD168" s="15"/>
      <c r="AE168" s="15"/>
      <c r="AF168" s="15"/>
      <c r="AG168" s="15"/>
      <c r="AH168" s="15"/>
      <c r="AI168" s="285"/>
      <c r="AJ168" s="122"/>
      <c r="AK168" s="54"/>
      <c r="AL168" s="15"/>
      <c r="AM168" s="15"/>
      <c r="AN168" s="15"/>
      <c r="AO168" s="15"/>
      <c r="AP168" s="15"/>
      <c r="AQ168" s="15"/>
      <c r="AR168" s="15"/>
      <c r="AS168" s="147"/>
      <c r="AT168" s="147"/>
      <c r="AU168" s="147"/>
      <c r="AV168" s="147"/>
      <c r="AW168" s="147"/>
      <c r="AX168" s="147"/>
      <c r="AY168" s="147"/>
      <c r="AZ168" s="147"/>
    </row>
    <row r="169" ht="15.75" customHeight="1">
      <c r="A169" s="15"/>
      <c r="B169" s="15"/>
      <c r="C169" s="15"/>
      <c r="D169" s="15"/>
      <c r="E169" s="15"/>
      <c r="F169" s="15"/>
      <c r="G169" s="15"/>
      <c r="H169" s="15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 s="15"/>
      <c r="V169" s="15"/>
      <c r="W169" s="15"/>
      <c r="X169" s="15"/>
      <c r="Y169" s="15"/>
      <c r="Z169" s="15"/>
      <c r="AA169" s="15"/>
      <c r="AB169" s="15"/>
      <c r="AC169" s="15"/>
      <c r="AD169" s="15"/>
      <c r="AE169" s="15"/>
      <c r="AF169" s="15"/>
      <c r="AG169" s="15"/>
      <c r="AH169" s="15"/>
      <c r="AI169" s="285"/>
      <c r="AJ169" s="122"/>
      <c r="AK169" s="54"/>
      <c r="AL169" s="15"/>
      <c r="AM169" s="15"/>
      <c r="AN169" s="15"/>
      <c r="AO169" s="15"/>
      <c r="AP169" s="15"/>
      <c r="AQ169" s="15"/>
      <c r="AR169" s="15"/>
      <c r="AS169" s="147"/>
      <c r="AT169" s="147"/>
      <c r="AU169" s="147"/>
      <c r="AV169" s="147"/>
      <c r="AW169" s="147"/>
      <c r="AX169" s="147"/>
      <c r="AY169" s="147"/>
      <c r="AZ169" s="147"/>
    </row>
    <row r="170" ht="15.75" customHeight="1">
      <c r="A170" s="15"/>
      <c r="B170" s="15"/>
      <c r="C170" s="15"/>
      <c r="D170" s="15"/>
      <c r="E170" s="15"/>
      <c r="F170" s="15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  <c r="AE170" s="15"/>
      <c r="AF170" s="15"/>
      <c r="AG170" s="15"/>
      <c r="AH170" s="15"/>
      <c r="AI170" s="285"/>
      <c r="AJ170" s="122"/>
      <c r="AK170" s="54"/>
      <c r="AL170" s="15"/>
      <c r="AM170" s="15"/>
      <c r="AN170" s="15"/>
      <c r="AO170" s="15"/>
      <c r="AP170" s="15"/>
      <c r="AQ170" s="15"/>
      <c r="AR170" s="15"/>
      <c r="AS170" s="15"/>
      <c r="AT170" s="15"/>
      <c r="AU170" s="15"/>
      <c r="AV170" s="15"/>
      <c r="AW170" s="15"/>
      <c r="AX170" s="15"/>
      <c r="AY170" s="15"/>
      <c r="AZ170" s="15"/>
    </row>
    <row r="171" ht="15.75" customHeight="1">
      <c r="A171" s="15"/>
      <c r="B171" s="15"/>
      <c r="C171" s="15"/>
      <c r="D171" s="15"/>
      <c r="E171" s="15"/>
      <c r="F171" s="15"/>
      <c r="G171" s="15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  <c r="Y171" s="15"/>
      <c r="Z171" s="15"/>
      <c r="AA171" s="15"/>
      <c r="AB171" s="15"/>
      <c r="AC171" s="15"/>
      <c r="AD171" s="15"/>
      <c r="AE171" s="15"/>
      <c r="AF171" s="15"/>
      <c r="AG171" s="15"/>
      <c r="AH171" s="15"/>
      <c r="AI171" s="285"/>
      <c r="AJ171" s="122"/>
      <c r="AK171" s="54"/>
      <c r="AL171" s="15"/>
      <c r="AM171" s="15"/>
      <c r="AN171" s="15"/>
      <c r="AO171" s="15"/>
      <c r="AP171" s="15"/>
      <c r="AQ171" s="15"/>
      <c r="AR171" s="15"/>
      <c r="AS171" s="15"/>
      <c r="AT171" s="15"/>
      <c r="AU171" s="15"/>
      <c r="AV171" s="15"/>
      <c r="AW171" s="15"/>
      <c r="AX171" s="15"/>
      <c r="AY171" s="15"/>
      <c r="AZ171" s="15"/>
    </row>
    <row r="172" ht="15.75" customHeight="1">
      <c r="A172" s="15"/>
      <c r="B172" s="15"/>
      <c r="C172" s="15"/>
      <c r="D172" s="15"/>
      <c r="E172" s="15"/>
      <c r="F172" s="15"/>
      <c r="G172" s="15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  <c r="AE172" s="15"/>
      <c r="AF172" s="15"/>
      <c r="AG172" s="15"/>
      <c r="AH172" s="15"/>
      <c r="AI172" s="285"/>
      <c r="AJ172" s="122"/>
      <c r="AK172" s="54"/>
      <c r="AL172" s="15"/>
      <c r="AM172" s="15"/>
      <c r="AN172" s="15"/>
      <c r="AO172" s="15"/>
      <c r="AP172" s="15"/>
      <c r="AQ172" s="15"/>
      <c r="AR172" s="15"/>
      <c r="AS172" s="15"/>
      <c r="AT172" s="15"/>
      <c r="AU172" s="15"/>
      <c r="AV172" s="15"/>
      <c r="AW172" s="15"/>
      <c r="AX172" s="15"/>
      <c r="AY172" s="15"/>
      <c r="AZ172" s="15"/>
    </row>
    <row r="173" ht="15.75" customHeight="1">
      <c r="A173" s="15"/>
      <c r="B173" s="15"/>
      <c r="C173" s="15"/>
      <c r="D173" s="15"/>
      <c r="E173" s="15"/>
      <c r="F173" s="15"/>
      <c r="G173" s="15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  <c r="AE173" s="15"/>
      <c r="AF173" s="15"/>
      <c r="AG173" s="15"/>
      <c r="AH173" s="15"/>
      <c r="AI173" s="285"/>
      <c r="AJ173" s="122"/>
      <c r="AK173" s="54"/>
      <c r="AL173" s="15"/>
      <c r="AM173" s="15"/>
      <c r="AN173" s="15"/>
      <c r="AO173" s="15"/>
      <c r="AP173" s="15"/>
      <c r="AQ173" s="15"/>
      <c r="AR173" s="15"/>
      <c r="AS173" s="15"/>
      <c r="AT173" s="15"/>
      <c r="AU173" s="15"/>
      <c r="AV173" s="15"/>
      <c r="AW173" s="15"/>
      <c r="AX173" s="15"/>
      <c r="AY173" s="15"/>
      <c r="AZ173" s="15"/>
    </row>
    <row r="174" ht="15.75" customHeight="1">
      <c r="A174" s="15"/>
      <c r="B174" s="15"/>
      <c r="C174" s="15"/>
      <c r="D174" s="15"/>
      <c r="E174" s="15"/>
      <c r="F174" s="15"/>
      <c r="G174" s="15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15"/>
      <c r="V174" s="15"/>
      <c r="W174" s="15"/>
      <c r="X174" s="15"/>
      <c r="Y174" s="15"/>
      <c r="Z174" s="15"/>
      <c r="AA174" s="15"/>
      <c r="AB174" s="15"/>
      <c r="AC174" s="15"/>
      <c r="AD174" s="15"/>
      <c r="AE174" s="15"/>
      <c r="AF174" s="15"/>
      <c r="AG174" s="15"/>
      <c r="AH174" s="15"/>
      <c r="AI174" s="285"/>
      <c r="AJ174" s="122"/>
      <c r="AK174" s="54"/>
      <c r="AL174" s="15"/>
      <c r="AM174" s="15"/>
      <c r="AN174" s="15"/>
      <c r="AO174" s="15"/>
      <c r="AP174" s="15"/>
      <c r="AQ174" s="15"/>
      <c r="AR174" s="15"/>
      <c r="AS174" s="15"/>
      <c r="AT174" s="15"/>
      <c r="AU174" s="15"/>
      <c r="AV174" s="15"/>
      <c r="AW174" s="15"/>
      <c r="AX174" s="15"/>
      <c r="AY174" s="15"/>
      <c r="AZ174" s="15"/>
    </row>
    <row r="175" ht="15.75" customHeight="1">
      <c r="A175" s="15"/>
      <c r="B175" s="15"/>
      <c r="C175" s="15"/>
      <c r="D175" s="15"/>
      <c r="E175" s="15"/>
      <c r="F175" s="15"/>
      <c r="G175" s="15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 s="15"/>
      <c r="V175" s="15"/>
      <c r="W175" s="15"/>
      <c r="X175" s="15"/>
      <c r="Y175" s="15"/>
      <c r="Z175" s="15"/>
      <c r="AA175" s="15"/>
      <c r="AB175" s="15"/>
      <c r="AC175" s="15"/>
      <c r="AD175" s="15"/>
      <c r="AE175" s="15"/>
      <c r="AF175" s="15"/>
      <c r="AG175" s="15"/>
      <c r="AH175" s="15"/>
      <c r="AI175" s="285"/>
      <c r="AJ175" s="122"/>
      <c r="AK175" s="54"/>
      <c r="AL175" s="15"/>
      <c r="AM175" s="15"/>
      <c r="AN175" s="15"/>
      <c r="AO175" s="15"/>
      <c r="AP175" s="15"/>
      <c r="AQ175" s="15"/>
      <c r="AR175" s="15"/>
      <c r="AS175" s="15"/>
      <c r="AT175" s="15"/>
      <c r="AU175" s="15"/>
      <c r="AV175" s="15"/>
      <c r="AW175" s="15"/>
      <c r="AX175" s="15"/>
      <c r="AY175" s="15"/>
      <c r="AZ175" s="15"/>
    </row>
    <row r="176" ht="15.75" customHeight="1">
      <c r="A176" s="15"/>
      <c r="B176" s="15"/>
      <c r="C176" s="15"/>
      <c r="D176" s="15"/>
      <c r="E176" s="15"/>
      <c r="F176" s="15"/>
      <c r="G176" s="15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 s="15"/>
      <c r="V176" s="15"/>
      <c r="W176" s="15"/>
      <c r="X176" s="15"/>
      <c r="Y176" s="15"/>
      <c r="Z176" s="15"/>
      <c r="AA176" s="15"/>
      <c r="AB176" s="15"/>
      <c r="AC176" s="15"/>
      <c r="AD176" s="15"/>
      <c r="AE176" s="15"/>
      <c r="AF176" s="15"/>
      <c r="AG176" s="15"/>
      <c r="AH176" s="15"/>
      <c r="AI176" s="285"/>
      <c r="AJ176" s="122"/>
      <c r="AK176" s="54"/>
      <c r="AL176" s="15"/>
      <c r="AM176" s="15"/>
      <c r="AN176" s="15"/>
      <c r="AO176" s="15"/>
      <c r="AP176" s="15"/>
      <c r="AQ176" s="15"/>
      <c r="AR176" s="15"/>
      <c r="AS176" s="15"/>
      <c r="AT176" s="15"/>
      <c r="AU176" s="15"/>
      <c r="AV176" s="15"/>
      <c r="AW176" s="15"/>
      <c r="AX176" s="15"/>
      <c r="AY176" s="15"/>
      <c r="AZ176" s="15"/>
    </row>
    <row r="177" ht="15.75" customHeight="1">
      <c r="A177" s="15"/>
      <c r="B177" s="15"/>
      <c r="C177" s="15"/>
      <c r="D177" s="15"/>
      <c r="E177" s="15"/>
      <c r="F177" s="15"/>
      <c r="G177" s="15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 s="15"/>
      <c r="V177" s="15"/>
      <c r="W177" s="15"/>
      <c r="X177" s="15"/>
      <c r="Y177" s="15"/>
      <c r="Z177" s="15"/>
      <c r="AA177" s="15"/>
      <c r="AB177" s="15"/>
      <c r="AC177" s="15"/>
      <c r="AD177" s="15"/>
      <c r="AE177" s="15"/>
      <c r="AF177" s="15"/>
      <c r="AG177" s="15"/>
      <c r="AH177" s="15"/>
      <c r="AI177" s="285"/>
      <c r="AJ177" s="122"/>
      <c r="AK177" s="54"/>
      <c r="AL177" s="15"/>
      <c r="AM177" s="15"/>
      <c r="AN177" s="15"/>
      <c r="AO177" s="15"/>
      <c r="AP177" s="15"/>
      <c r="AQ177" s="15"/>
      <c r="AR177" s="15"/>
      <c r="AS177" s="15"/>
      <c r="AT177" s="15"/>
      <c r="AU177" s="15"/>
      <c r="AV177" s="15"/>
      <c r="AW177" s="15"/>
      <c r="AX177" s="15"/>
      <c r="AY177" s="15"/>
      <c r="AZ177" s="15"/>
    </row>
    <row r="178" ht="15.75" customHeight="1">
      <c r="A178" s="15"/>
      <c r="B178" s="15"/>
      <c r="C178" s="15"/>
      <c r="D178" s="15"/>
      <c r="E178" s="15"/>
      <c r="F178" s="15"/>
      <c r="G178" s="15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  <c r="Z178" s="15"/>
      <c r="AA178" s="15"/>
      <c r="AB178" s="15"/>
      <c r="AC178" s="15"/>
      <c r="AD178" s="15"/>
      <c r="AE178" s="15"/>
      <c r="AF178" s="15"/>
      <c r="AG178" s="15"/>
      <c r="AH178" s="15"/>
      <c r="AI178" s="285"/>
      <c r="AJ178" s="122"/>
      <c r="AK178" s="54"/>
      <c r="AL178" s="15"/>
      <c r="AM178" s="15"/>
      <c r="AN178" s="15"/>
      <c r="AO178" s="15"/>
      <c r="AP178" s="15"/>
      <c r="AQ178" s="15"/>
      <c r="AR178" s="15"/>
      <c r="AS178" s="15"/>
      <c r="AT178" s="15"/>
      <c r="AU178" s="15"/>
      <c r="AV178" s="15"/>
      <c r="AW178" s="15"/>
      <c r="AX178" s="15"/>
      <c r="AY178" s="15"/>
      <c r="AZ178" s="15"/>
    </row>
    <row r="179" ht="15.75" customHeight="1">
      <c r="A179" s="15"/>
      <c r="B179" s="15"/>
      <c r="C179" s="15"/>
      <c r="D179" s="15"/>
      <c r="E179" s="15"/>
      <c r="F179" s="15"/>
      <c r="G179" s="15"/>
      <c r="H179" s="15"/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  <c r="Z179" s="15"/>
      <c r="AA179" s="15"/>
      <c r="AB179" s="15"/>
      <c r="AC179" s="15"/>
      <c r="AD179" s="15"/>
      <c r="AE179" s="15"/>
      <c r="AF179" s="15"/>
      <c r="AG179" s="15"/>
      <c r="AH179" s="15"/>
      <c r="AI179" s="285"/>
      <c r="AJ179" s="122"/>
      <c r="AK179" s="54"/>
      <c r="AL179" s="15"/>
      <c r="AM179" s="15"/>
      <c r="AN179" s="15"/>
      <c r="AO179" s="15"/>
      <c r="AP179" s="15"/>
      <c r="AQ179" s="15"/>
      <c r="AR179" s="15"/>
      <c r="AS179" s="15"/>
      <c r="AT179" s="15"/>
      <c r="AU179" s="15"/>
      <c r="AV179" s="15"/>
      <c r="AW179" s="15"/>
      <c r="AX179" s="15"/>
      <c r="AY179" s="15"/>
      <c r="AZ179" s="15"/>
    </row>
    <row r="180" ht="15.75" customHeight="1">
      <c r="A180" s="15"/>
      <c r="B180" s="15"/>
      <c r="C180" s="15"/>
      <c r="D180" s="15"/>
      <c r="E180" s="15"/>
      <c r="F180" s="15"/>
      <c r="G180" s="15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  <c r="AE180" s="15"/>
      <c r="AF180" s="15"/>
      <c r="AG180" s="15"/>
      <c r="AH180" s="15"/>
      <c r="AI180" s="285"/>
      <c r="AJ180" s="122"/>
      <c r="AK180" s="54"/>
      <c r="AL180" s="15"/>
      <c r="AM180" s="15"/>
      <c r="AN180" s="15"/>
      <c r="AO180" s="15"/>
      <c r="AP180" s="15"/>
      <c r="AQ180" s="15"/>
      <c r="AR180" s="15"/>
      <c r="AS180" s="15"/>
      <c r="AT180" s="15"/>
      <c r="AU180" s="15"/>
      <c r="AV180" s="15"/>
      <c r="AW180" s="15"/>
      <c r="AX180" s="15"/>
      <c r="AY180" s="15"/>
      <c r="AZ180" s="15"/>
    </row>
    <row r="181" ht="15.75" customHeight="1">
      <c r="A181" s="15"/>
      <c r="B181" s="15"/>
      <c r="C181" s="15"/>
      <c r="D181" s="15"/>
      <c r="E181" s="15"/>
      <c r="F181" s="15"/>
      <c r="G181" s="15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  <c r="Y181" s="15"/>
      <c r="Z181" s="15"/>
      <c r="AA181" s="15"/>
      <c r="AB181" s="15"/>
      <c r="AC181" s="15"/>
      <c r="AD181" s="15"/>
      <c r="AE181" s="15"/>
      <c r="AF181" s="15"/>
      <c r="AG181" s="15"/>
      <c r="AH181" s="15"/>
      <c r="AI181" s="285"/>
      <c r="AJ181" s="122"/>
      <c r="AK181" s="54"/>
      <c r="AL181" s="15"/>
      <c r="AM181" s="15"/>
      <c r="AN181" s="15"/>
      <c r="AO181" s="15"/>
      <c r="AP181" s="15"/>
      <c r="AQ181" s="15"/>
      <c r="AR181" s="15"/>
      <c r="AS181" s="15"/>
      <c r="AT181" s="15"/>
      <c r="AU181" s="15"/>
      <c r="AV181" s="15"/>
      <c r="AW181" s="15"/>
      <c r="AX181" s="15"/>
      <c r="AY181" s="15"/>
      <c r="AZ181" s="15"/>
    </row>
    <row r="182" ht="15.75" customHeight="1">
      <c r="A182" s="15"/>
      <c r="B182" s="15"/>
      <c r="C182" s="15"/>
      <c r="D182" s="15"/>
      <c r="E182" s="15"/>
      <c r="F182" s="15"/>
      <c r="G182" s="15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  <c r="Z182" s="15"/>
      <c r="AA182" s="15"/>
      <c r="AB182" s="15"/>
      <c r="AC182" s="15"/>
      <c r="AD182" s="15"/>
      <c r="AE182" s="15"/>
      <c r="AF182" s="15"/>
      <c r="AG182" s="15"/>
      <c r="AH182" s="15"/>
      <c r="AI182" s="285"/>
      <c r="AJ182" s="122"/>
      <c r="AK182" s="54"/>
      <c r="AL182" s="15"/>
      <c r="AM182" s="15"/>
      <c r="AN182" s="15"/>
      <c r="AO182" s="15"/>
      <c r="AP182" s="15"/>
      <c r="AQ182" s="15"/>
      <c r="AR182" s="15"/>
      <c r="AS182" s="15"/>
      <c r="AT182" s="15"/>
      <c r="AU182" s="15"/>
      <c r="AV182" s="15"/>
      <c r="AW182" s="15"/>
      <c r="AX182" s="15"/>
      <c r="AY182" s="15"/>
      <c r="AZ182" s="15"/>
    </row>
    <row r="183" ht="15.75" customHeight="1">
      <c r="A183" s="15"/>
      <c r="B183" s="15"/>
      <c r="C183" s="15"/>
      <c r="D183" s="15"/>
      <c r="E183" s="15"/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5"/>
      <c r="AG183" s="15"/>
      <c r="AH183" s="15"/>
      <c r="AI183" s="285"/>
      <c r="AJ183" s="122"/>
      <c r="AK183" s="54"/>
      <c r="AL183" s="15"/>
      <c r="AM183" s="15"/>
      <c r="AN183" s="15"/>
      <c r="AO183" s="15"/>
      <c r="AP183" s="15"/>
      <c r="AQ183" s="15"/>
      <c r="AR183" s="15"/>
      <c r="AS183" s="15"/>
      <c r="AT183" s="15"/>
      <c r="AU183" s="15"/>
      <c r="AV183" s="15"/>
      <c r="AW183" s="15"/>
      <c r="AX183" s="15"/>
      <c r="AY183" s="15"/>
      <c r="AZ183" s="15"/>
    </row>
    <row r="184" ht="15.75" customHeight="1">
      <c r="A184" s="15"/>
      <c r="B184" s="15"/>
      <c r="C184" s="15"/>
      <c r="D184" s="15"/>
      <c r="E184" s="15"/>
      <c r="F184" s="15"/>
      <c r="G184" s="15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 s="15"/>
      <c r="V184" s="15"/>
      <c r="W184" s="15"/>
      <c r="X184" s="15"/>
      <c r="Y184" s="15"/>
      <c r="Z184" s="15"/>
      <c r="AA184" s="15"/>
      <c r="AB184" s="15"/>
      <c r="AC184" s="15"/>
      <c r="AD184" s="15"/>
      <c r="AE184" s="15"/>
      <c r="AF184" s="15"/>
      <c r="AG184" s="15"/>
      <c r="AH184" s="15"/>
      <c r="AI184" s="285"/>
      <c r="AJ184" s="122"/>
      <c r="AK184" s="54"/>
      <c r="AL184" s="15"/>
      <c r="AM184" s="15"/>
      <c r="AN184" s="15"/>
      <c r="AO184" s="15"/>
      <c r="AP184" s="15"/>
      <c r="AQ184" s="15"/>
      <c r="AR184" s="15"/>
      <c r="AS184" s="15"/>
      <c r="AT184" s="15"/>
      <c r="AU184" s="15"/>
      <c r="AV184" s="15"/>
      <c r="AW184" s="15"/>
      <c r="AX184" s="15"/>
      <c r="AY184" s="15"/>
      <c r="AZ184" s="15"/>
    </row>
    <row r="185" ht="15.75" customHeight="1">
      <c r="A185" s="15"/>
      <c r="B185" s="15"/>
      <c r="C185" s="15"/>
      <c r="D185" s="15"/>
      <c r="E185" s="15"/>
      <c r="F185" s="15"/>
      <c r="G185" s="15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 s="15"/>
      <c r="V185" s="15"/>
      <c r="W185" s="15"/>
      <c r="X185" s="15"/>
      <c r="Y185" s="15"/>
      <c r="Z185" s="15"/>
      <c r="AA185" s="15"/>
      <c r="AB185" s="15"/>
      <c r="AC185" s="15"/>
      <c r="AD185" s="15"/>
      <c r="AE185" s="15"/>
      <c r="AF185" s="15"/>
      <c r="AG185" s="15"/>
      <c r="AH185" s="15"/>
      <c r="AI185" s="285"/>
      <c r="AJ185" s="122"/>
      <c r="AK185" s="54"/>
      <c r="AL185" s="15"/>
      <c r="AM185" s="15"/>
      <c r="AN185" s="15"/>
      <c r="AO185" s="15"/>
      <c r="AP185" s="15"/>
      <c r="AQ185" s="15"/>
      <c r="AR185" s="15"/>
      <c r="AS185" s="15"/>
      <c r="AT185" s="15"/>
      <c r="AU185" s="15"/>
      <c r="AV185" s="15"/>
      <c r="AW185" s="15"/>
      <c r="AX185" s="15"/>
      <c r="AY185" s="15"/>
      <c r="AZ185" s="15"/>
    </row>
    <row r="186" ht="15.75" customHeight="1">
      <c r="A186" s="15"/>
      <c r="B186" s="15"/>
      <c r="C186" s="15"/>
      <c r="D186" s="15"/>
      <c r="E186" s="15"/>
      <c r="F186" s="15"/>
      <c r="G186" s="15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/>
      <c r="Y186" s="15"/>
      <c r="Z186" s="15"/>
      <c r="AA186" s="15"/>
      <c r="AB186" s="15"/>
      <c r="AC186" s="15"/>
      <c r="AD186" s="15"/>
      <c r="AE186" s="15"/>
      <c r="AF186" s="15"/>
      <c r="AG186" s="15"/>
      <c r="AH186" s="15"/>
      <c r="AI186" s="285"/>
      <c r="AJ186" s="122"/>
      <c r="AK186" s="54"/>
      <c r="AL186" s="15"/>
      <c r="AM186" s="15"/>
      <c r="AN186" s="15"/>
      <c r="AO186" s="15"/>
      <c r="AP186" s="15"/>
      <c r="AQ186" s="15"/>
      <c r="AR186" s="15"/>
      <c r="AS186" s="15"/>
      <c r="AT186" s="15"/>
      <c r="AU186" s="15"/>
      <c r="AV186" s="15"/>
      <c r="AW186" s="15"/>
      <c r="AX186" s="15"/>
      <c r="AY186" s="15"/>
      <c r="AZ186" s="15"/>
    </row>
    <row r="187" ht="15.75" customHeight="1">
      <c r="A187" s="15"/>
      <c r="B187" s="15"/>
      <c r="C187" s="15"/>
      <c r="D187" s="15"/>
      <c r="E187" s="15"/>
      <c r="F187" s="15"/>
      <c r="G187" s="15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  <c r="Y187" s="15"/>
      <c r="Z187" s="15"/>
      <c r="AA187" s="15"/>
      <c r="AB187" s="15"/>
      <c r="AC187" s="15"/>
      <c r="AD187" s="15"/>
      <c r="AE187" s="15"/>
      <c r="AF187" s="15"/>
      <c r="AG187" s="15"/>
      <c r="AH187" s="15"/>
      <c r="AI187" s="285"/>
      <c r="AJ187" s="122"/>
      <c r="AK187" s="54"/>
      <c r="AL187" s="15"/>
      <c r="AM187" s="15"/>
      <c r="AN187" s="15"/>
      <c r="AO187" s="15"/>
      <c r="AP187" s="15"/>
      <c r="AQ187" s="15"/>
      <c r="AR187" s="15"/>
      <c r="AS187" s="15"/>
      <c r="AT187" s="15"/>
      <c r="AU187" s="15"/>
      <c r="AV187" s="15"/>
      <c r="AW187" s="15"/>
      <c r="AX187" s="15"/>
      <c r="AY187" s="15"/>
      <c r="AZ187" s="15"/>
    </row>
    <row r="188" ht="15.75" customHeight="1">
      <c r="A188" s="15"/>
      <c r="B188" s="15"/>
      <c r="C188" s="15"/>
      <c r="D188" s="15"/>
      <c r="E188" s="15"/>
      <c r="F188" s="15"/>
      <c r="G188" s="15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  <c r="X188" s="15"/>
      <c r="Y188" s="15"/>
      <c r="Z188" s="15"/>
      <c r="AA188" s="15"/>
      <c r="AB188" s="15"/>
      <c r="AC188" s="15"/>
      <c r="AD188" s="15"/>
      <c r="AE188" s="15"/>
      <c r="AF188" s="15"/>
      <c r="AG188" s="15"/>
      <c r="AH188" s="15"/>
      <c r="AI188" s="285"/>
      <c r="AJ188" s="122"/>
      <c r="AK188" s="54"/>
      <c r="AL188" s="15"/>
      <c r="AM188" s="15"/>
      <c r="AN188" s="15"/>
      <c r="AO188" s="15"/>
      <c r="AP188" s="15"/>
      <c r="AQ188" s="15"/>
      <c r="AR188" s="15"/>
      <c r="AS188" s="15"/>
      <c r="AT188" s="15"/>
      <c r="AU188" s="15"/>
      <c r="AV188" s="15"/>
      <c r="AW188" s="15"/>
      <c r="AX188" s="15"/>
      <c r="AY188" s="15"/>
      <c r="AZ188" s="15"/>
    </row>
    <row r="189" ht="15.75" customHeight="1">
      <c r="A189" s="15"/>
      <c r="B189" s="15"/>
      <c r="C189" s="15"/>
      <c r="D189" s="15"/>
      <c r="E189" s="15"/>
      <c r="F189" s="15"/>
      <c r="G189" s="15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  <c r="AE189" s="15"/>
      <c r="AF189" s="15"/>
      <c r="AG189" s="15"/>
      <c r="AH189" s="15"/>
      <c r="AI189" s="285"/>
      <c r="AJ189" s="122"/>
      <c r="AK189" s="54"/>
      <c r="AL189" s="15"/>
      <c r="AM189" s="15"/>
      <c r="AN189" s="15"/>
      <c r="AO189" s="15"/>
      <c r="AP189" s="15"/>
      <c r="AQ189" s="15"/>
      <c r="AR189" s="15"/>
      <c r="AS189" s="15"/>
      <c r="AT189" s="15"/>
      <c r="AU189" s="15"/>
      <c r="AV189" s="15"/>
      <c r="AW189" s="15"/>
      <c r="AX189" s="15"/>
      <c r="AY189" s="15"/>
      <c r="AZ189" s="15"/>
    </row>
    <row r="190" ht="15.75" customHeight="1">
      <c r="A190" s="15"/>
      <c r="B190" s="15"/>
      <c r="C190" s="15"/>
      <c r="D190" s="15"/>
      <c r="E190" s="15"/>
      <c r="F190" s="15"/>
      <c r="G190" s="15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  <c r="X190" s="15"/>
      <c r="Y190" s="15"/>
      <c r="Z190" s="15"/>
      <c r="AA190" s="15"/>
      <c r="AB190" s="15"/>
      <c r="AC190" s="15"/>
      <c r="AD190" s="15"/>
      <c r="AE190" s="15"/>
      <c r="AF190" s="15"/>
      <c r="AG190" s="15"/>
      <c r="AH190" s="15"/>
      <c r="AI190" s="285"/>
      <c r="AJ190" s="122"/>
      <c r="AK190" s="54"/>
      <c r="AL190" s="15"/>
      <c r="AM190" s="15"/>
      <c r="AN190" s="15"/>
      <c r="AO190" s="15"/>
      <c r="AP190" s="15"/>
      <c r="AQ190" s="15"/>
      <c r="AR190" s="15"/>
      <c r="AS190" s="15"/>
      <c r="AT190" s="15"/>
      <c r="AU190" s="15"/>
      <c r="AV190" s="15"/>
      <c r="AW190" s="15"/>
      <c r="AX190" s="15"/>
      <c r="AY190" s="15"/>
      <c r="AZ190" s="15"/>
    </row>
    <row r="191" ht="15.75" customHeight="1">
      <c r="A191" s="15"/>
      <c r="B191" s="15"/>
      <c r="C191" s="15"/>
      <c r="D191" s="15"/>
      <c r="E191" s="15"/>
      <c r="F191" s="15"/>
      <c r="G191" s="15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 s="15"/>
      <c r="V191" s="15"/>
      <c r="W191" s="15"/>
      <c r="X191" s="15"/>
      <c r="Y191" s="15"/>
      <c r="Z191" s="15"/>
      <c r="AA191" s="15"/>
      <c r="AB191" s="15"/>
      <c r="AC191" s="15"/>
      <c r="AD191" s="15"/>
      <c r="AE191" s="15"/>
      <c r="AF191" s="15"/>
      <c r="AG191" s="15"/>
      <c r="AH191" s="15"/>
      <c r="AI191" s="285"/>
      <c r="AJ191" s="122"/>
      <c r="AK191" s="54"/>
      <c r="AL191" s="15"/>
      <c r="AM191" s="15"/>
      <c r="AN191" s="15"/>
      <c r="AO191" s="15"/>
      <c r="AP191" s="15"/>
      <c r="AQ191" s="15"/>
      <c r="AR191" s="15"/>
      <c r="AS191" s="15"/>
      <c r="AT191" s="15"/>
      <c r="AU191" s="15"/>
      <c r="AV191" s="15"/>
      <c r="AW191" s="15"/>
      <c r="AX191" s="15"/>
      <c r="AY191" s="15"/>
      <c r="AZ191" s="15"/>
    </row>
    <row r="192" ht="15.75" customHeight="1">
      <c r="A192" s="15"/>
      <c r="B192" s="15"/>
      <c r="C192" s="15"/>
      <c r="D192" s="15"/>
      <c r="E192" s="15"/>
      <c r="F192" s="15"/>
      <c r="G192" s="15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  <c r="X192" s="15"/>
      <c r="Y192" s="15"/>
      <c r="Z192" s="15"/>
      <c r="AA192" s="15"/>
      <c r="AB192" s="15"/>
      <c r="AC192" s="15"/>
      <c r="AD192" s="15"/>
      <c r="AE192" s="15"/>
      <c r="AF192" s="15"/>
      <c r="AG192" s="15"/>
      <c r="AH192" s="15"/>
      <c r="AI192" s="285"/>
      <c r="AJ192" s="122"/>
      <c r="AK192" s="54"/>
      <c r="AL192" s="15"/>
      <c r="AM192" s="15"/>
      <c r="AN192" s="15"/>
      <c r="AO192" s="15"/>
      <c r="AP192" s="15"/>
      <c r="AQ192" s="15"/>
      <c r="AR192" s="15"/>
      <c r="AS192" s="15"/>
      <c r="AT192" s="15"/>
      <c r="AU192" s="15"/>
      <c r="AV192" s="15"/>
      <c r="AW192" s="15"/>
      <c r="AX192" s="15"/>
      <c r="AY192" s="15"/>
      <c r="AZ192" s="15"/>
    </row>
    <row r="193" ht="15.75" customHeight="1">
      <c r="A193" s="15"/>
      <c r="B193" s="15"/>
      <c r="C193" s="15"/>
      <c r="D193" s="15"/>
      <c r="E193" s="15"/>
      <c r="F193" s="15"/>
      <c r="G193" s="15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 s="15"/>
      <c r="V193" s="15"/>
      <c r="W193" s="15"/>
      <c r="X193" s="15"/>
      <c r="Y193" s="15"/>
      <c r="Z193" s="15"/>
      <c r="AA193" s="15"/>
      <c r="AB193" s="15"/>
      <c r="AC193" s="15"/>
      <c r="AD193" s="15"/>
      <c r="AE193" s="15"/>
      <c r="AF193" s="15"/>
      <c r="AG193" s="15"/>
      <c r="AH193" s="15"/>
      <c r="AI193" s="285"/>
      <c r="AJ193" s="122"/>
      <c r="AK193" s="54"/>
      <c r="AL193" s="15"/>
      <c r="AM193" s="15"/>
      <c r="AN193" s="15"/>
      <c r="AO193" s="15"/>
      <c r="AP193" s="15"/>
      <c r="AQ193" s="15"/>
      <c r="AR193" s="15"/>
      <c r="AS193" s="15"/>
      <c r="AT193" s="15"/>
      <c r="AU193" s="15"/>
      <c r="AV193" s="15"/>
      <c r="AW193" s="15"/>
      <c r="AX193" s="15"/>
      <c r="AY193" s="15"/>
      <c r="AZ193" s="15"/>
    </row>
    <row r="194" ht="15.75" customHeight="1">
      <c r="A194" s="15"/>
      <c r="B194" s="15"/>
      <c r="C194" s="15"/>
      <c r="D194" s="15"/>
      <c r="E194" s="15"/>
      <c r="F194" s="15"/>
      <c r="G194" s="15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 s="15"/>
      <c r="V194" s="15"/>
      <c r="W194" s="15"/>
      <c r="X194" s="15"/>
      <c r="Y194" s="15"/>
      <c r="Z194" s="15"/>
      <c r="AA194" s="15"/>
      <c r="AB194" s="15"/>
      <c r="AC194" s="15"/>
      <c r="AD194" s="15"/>
      <c r="AE194" s="15"/>
      <c r="AF194" s="15"/>
      <c r="AG194" s="15"/>
      <c r="AH194" s="15"/>
      <c r="AI194" s="285"/>
      <c r="AJ194" s="122"/>
      <c r="AK194" s="54"/>
      <c r="AL194" s="15"/>
      <c r="AM194" s="15"/>
      <c r="AN194" s="15"/>
      <c r="AO194" s="15"/>
      <c r="AP194" s="15"/>
      <c r="AQ194" s="15"/>
      <c r="AR194" s="15"/>
      <c r="AS194" s="15"/>
      <c r="AT194" s="15"/>
      <c r="AU194" s="15"/>
      <c r="AV194" s="15"/>
      <c r="AW194" s="15"/>
      <c r="AX194" s="15"/>
      <c r="AY194" s="15"/>
      <c r="AZ194" s="15"/>
    </row>
    <row r="195" ht="15.75" customHeight="1">
      <c r="A195" s="15"/>
      <c r="B195" s="15"/>
      <c r="C195" s="15"/>
      <c r="D195" s="15"/>
      <c r="E195" s="15"/>
      <c r="F195" s="15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  <c r="AE195" s="15"/>
      <c r="AF195" s="15"/>
      <c r="AG195" s="15"/>
      <c r="AH195" s="15"/>
      <c r="AI195" s="285"/>
      <c r="AJ195" s="122"/>
      <c r="AK195" s="54"/>
      <c r="AL195" s="15"/>
      <c r="AM195" s="15"/>
      <c r="AN195" s="15"/>
      <c r="AO195" s="15"/>
      <c r="AP195" s="15"/>
      <c r="AQ195" s="15"/>
      <c r="AR195" s="15"/>
      <c r="AS195" s="15"/>
      <c r="AT195" s="15"/>
      <c r="AU195" s="15"/>
      <c r="AV195" s="15"/>
      <c r="AW195" s="15"/>
      <c r="AX195" s="15"/>
      <c r="AY195" s="15"/>
      <c r="AZ195" s="15"/>
    </row>
    <row r="196" ht="15.75" customHeight="1">
      <c r="A196" s="15"/>
      <c r="B196" s="15"/>
      <c r="C196" s="15"/>
      <c r="D196" s="15"/>
      <c r="E196" s="15"/>
      <c r="F196" s="15"/>
      <c r="G196" s="15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  <c r="X196" s="15"/>
      <c r="Y196" s="15"/>
      <c r="Z196" s="15"/>
      <c r="AA196" s="15"/>
      <c r="AB196" s="15"/>
      <c r="AC196" s="15"/>
      <c r="AD196" s="15"/>
      <c r="AE196" s="15"/>
      <c r="AF196" s="15"/>
      <c r="AG196" s="15"/>
      <c r="AH196" s="15"/>
      <c r="AI196" s="285"/>
      <c r="AJ196" s="122"/>
      <c r="AK196" s="54"/>
      <c r="AL196" s="15"/>
      <c r="AM196" s="15"/>
      <c r="AN196" s="15"/>
      <c r="AO196" s="15"/>
      <c r="AP196" s="15"/>
      <c r="AQ196" s="15"/>
      <c r="AR196" s="15"/>
      <c r="AS196" s="15"/>
      <c r="AT196" s="15"/>
      <c r="AU196" s="15"/>
      <c r="AV196" s="15"/>
      <c r="AW196" s="15"/>
      <c r="AX196" s="15"/>
      <c r="AY196" s="15"/>
      <c r="AZ196" s="15"/>
    </row>
    <row r="197" ht="15.75" customHeight="1">
      <c r="A197" s="15"/>
      <c r="B197" s="15"/>
      <c r="C197" s="15"/>
      <c r="D197" s="15"/>
      <c r="E197" s="15"/>
      <c r="F197" s="15"/>
      <c r="G197" s="15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  <c r="AE197" s="15"/>
      <c r="AF197" s="15"/>
      <c r="AG197" s="15"/>
      <c r="AH197" s="15"/>
      <c r="AI197" s="285"/>
      <c r="AJ197" s="122"/>
      <c r="AK197" s="54"/>
      <c r="AL197" s="15"/>
      <c r="AM197" s="15"/>
      <c r="AN197" s="15"/>
      <c r="AO197" s="15"/>
      <c r="AP197" s="15"/>
      <c r="AQ197" s="15"/>
      <c r="AR197" s="15"/>
      <c r="AS197" s="15"/>
      <c r="AT197" s="15"/>
      <c r="AU197" s="15"/>
      <c r="AV197" s="15"/>
      <c r="AW197" s="15"/>
      <c r="AX197" s="15"/>
      <c r="AY197" s="15"/>
      <c r="AZ197" s="15"/>
    </row>
    <row r="198" ht="15.75" customHeight="1">
      <c r="A198" s="15"/>
      <c r="B198" s="15"/>
      <c r="C198" s="15"/>
      <c r="D198" s="15"/>
      <c r="E198" s="15"/>
      <c r="F198" s="15"/>
      <c r="G198" s="15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  <c r="X198" s="15"/>
      <c r="Y198" s="15"/>
      <c r="Z198" s="15"/>
      <c r="AA198" s="15"/>
      <c r="AB198" s="15"/>
      <c r="AC198" s="15"/>
      <c r="AD198" s="15"/>
      <c r="AE198" s="15"/>
      <c r="AF198" s="15"/>
      <c r="AG198" s="15"/>
      <c r="AH198" s="15"/>
      <c r="AI198" s="285"/>
      <c r="AJ198" s="122"/>
      <c r="AK198" s="54"/>
      <c r="AL198" s="15"/>
      <c r="AM198" s="15"/>
      <c r="AN198" s="15"/>
      <c r="AO198" s="15"/>
      <c r="AP198" s="15"/>
      <c r="AQ198" s="15"/>
      <c r="AR198" s="15"/>
      <c r="AS198" s="15"/>
      <c r="AT198" s="15"/>
      <c r="AU198" s="15"/>
      <c r="AV198" s="15"/>
      <c r="AW198" s="15"/>
      <c r="AX198" s="15"/>
      <c r="AY198" s="15"/>
      <c r="AZ198" s="15"/>
    </row>
    <row r="199" ht="15.75" customHeight="1">
      <c r="A199" s="15"/>
      <c r="B199" s="15"/>
      <c r="C199" s="15"/>
      <c r="D199" s="15"/>
      <c r="E199" s="15"/>
      <c r="F199" s="15"/>
      <c r="G199" s="15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U199" s="15"/>
      <c r="V199" s="15"/>
      <c r="W199" s="15"/>
      <c r="X199" s="15"/>
      <c r="Y199" s="15"/>
      <c r="Z199" s="15"/>
      <c r="AA199" s="15"/>
      <c r="AB199" s="15"/>
      <c r="AC199" s="15"/>
      <c r="AD199" s="15"/>
      <c r="AE199" s="15"/>
      <c r="AF199" s="15"/>
      <c r="AG199" s="15"/>
      <c r="AH199" s="15"/>
      <c r="AI199" s="285"/>
      <c r="AJ199" s="122"/>
      <c r="AK199" s="54"/>
      <c r="AL199" s="15"/>
      <c r="AM199" s="15"/>
      <c r="AN199" s="15"/>
      <c r="AO199" s="15"/>
      <c r="AP199" s="15"/>
      <c r="AQ199" s="15"/>
      <c r="AR199" s="15"/>
      <c r="AS199" s="15"/>
      <c r="AT199" s="15"/>
      <c r="AU199" s="15"/>
      <c r="AV199" s="15"/>
      <c r="AW199" s="15"/>
      <c r="AX199" s="15"/>
      <c r="AY199" s="15"/>
      <c r="AZ199" s="15"/>
    </row>
    <row r="200" ht="15.75" customHeight="1">
      <c r="A200" s="15"/>
      <c r="B200" s="15"/>
      <c r="C200" s="15"/>
      <c r="D200" s="15"/>
      <c r="E200" s="15"/>
      <c r="F200" s="15"/>
      <c r="G200" s="15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  <c r="X200" s="15"/>
      <c r="Y200" s="15"/>
      <c r="Z200" s="15"/>
      <c r="AA200" s="15"/>
      <c r="AB200" s="15"/>
      <c r="AC200" s="15"/>
      <c r="AD200" s="15"/>
      <c r="AE200" s="15"/>
      <c r="AF200" s="15"/>
      <c r="AG200" s="15"/>
      <c r="AH200" s="15"/>
      <c r="AI200" s="285"/>
      <c r="AJ200" s="122"/>
      <c r="AK200" s="54"/>
      <c r="AL200" s="15"/>
      <c r="AM200" s="15"/>
      <c r="AN200" s="15"/>
      <c r="AO200" s="15"/>
      <c r="AP200" s="15"/>
      <c r="AQ200" s="15"/>
      <c r="AR200" s="15"/>
      <c r="AS200" s="15"/>
      <c r="AT200" s="15"/>
      <c r="AU200" s="15"/>
      <c r="AV200" s="15"/>
      <c r="AW200" s="15"/>
      <c r="AX200" s="15"/>
      <c r="AY200" s="15"/>
      <c r="AZ200" s="15"/>
    </row>
    <row r="201" ht="15.75" customHeight="1">
      <c r="A201" s="15"/>
      <c r="B201" s="15"/>
      <c r="C201" s="15"/>
      <c r="D201" s="15"/>
      <c r="E201" s="15"/>
      <c r="F201" s="15"/>
      <c r="G201" s="15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U201" s="15"/>
      <c r="V201" s="15"/>
      <c r="W201" s="15"/>
      <c r="X201" s="15"/>
      <c r="Y201" s="15"/>
      <c r="Z201" s="15"/>
      <c r="AA201" s="15"/>
      <c r="AB201" s="15"/>
      <c r="AC201" s="15"/>
      <c r="AD201" s="15"/>
      <c r="AE201" s="15"/>
      <c r="AF201" s="15"/>
      <c r="AG201" s="15"/>
      <c r="AH201" s="15"/>
      <c r="AI201" s="285"/>
      <c r="AJ201" s="122"/>
      <c r="AK201" s="54"/>
      <c r="AL201" s="15"/>
      <c r="AM201" s="15"/>
      <c r="AN201" s="15"/>
      <c r="AO201" s="15"/>
      <c r="AP201" s="15"/>
      <c r="AQ201" s="15"/>
      <c r="AR201" s="15"/>
      <c r="AS201" s="15"/>
      <c r="AT201" s="15"/>
      <c r="AU201" s="15"/>
      <c r="AV201" s="15"/>
      <c r="AW201" s="15"/>
      <c r="AX201" s="15"/>
      <c r="AY201" s="15"/>
      <c r="AZ201" s="15"/>
    </row>
    <row r="202" ht="15.75" customHeight="1">
      <c r="A202" s="15"/>
      <c r="B202" s="15"/>
      <c r="C202" s="15"/>
      <c r="D202" s="15"/>
      <c r="E202" s="15"/>
      <c r="F202" s="15"/>
      <c r="G202" s="15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 s="15"/>
      <c r="V202" s="15"/>
      <c r="W202" s="15"/>
      <c r="X202" s="15"/>
      <c r="Y202" s="15"/>
      <c r="Z202" s="15"/>
      <c r="AA202" s="15"/>
      <c r="AB202" s="15"/>
      <c r="AC202" s="15"/>
      <c r="AD202" s="15"/>
      <c r="AE202" s="15"/>
      <c r="AF202" s="15"/>
      <c r="AG202" s="15"/>
      <c r="AH202" s="15"/>
      <c r="AI202" s="285"/>
      <c r="AJ202" s="122"/>
      <c r="AK202" s="54"/>
      <c r="AL202" s="15"/>
      <c r="AM202" s="15"/>
      <c r="AN202" s="15"/>
      <c r="AO202" s="15"/>
      <c r="AP202" s="15"/>
      <c r="AQ202" s="15"/>
      <c r="AR202" s="15"/>
      <c r="AS202" s="15"/>
      <c r="AT202" s="15"/>
      <c r="AU202" s="15"/>
      <c r="AV202" s="15"/>
      <c r="AW202" s="15"/>
      <c r="AX202" s="15"/>
      <c r="AY202" s="15"/>
      <c r="AZ202" s="15"/>
    </row>
    <row r="203" ht="15.75" customHeight="1">
      <c r="A203" s="15"/>
      <c r="B203" s="15"/>
      <c r="C203" s="15"/>
      <c r="D203" s="15"/>
      <c r="E203" s="15"/>
      <c r="F203" s="15"/>
      <c r="G203" s="15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  <c r="AE203" s="15"/>
      <c r="AF203" s="15"/>
      <c r="AG203" s="15"/>
      <c r="AH203" s="15"/>
      <c r="AI203" s="285"/>
      <c r="AJ203" s="122"/>
      <c r="AK203" s="54"/>
      <c r="AL203" s="15"/>
      <c r="AM203" s="15"/>
      <c r="AN203" s="15"/>
      <c r="AO203" s="15"/>
      <c r="AP203" s="15"/>
      <c r="AQ203" s="15"/>
      <c r="AR203" s="15"/>
      <c r="AS203" s="15"/>
      <c r="AT203" s="15"/>
      <c r="AU203" s="15"/>
      <c r="AV203" s="15"/>
      <c r="AW203" s="15"/>
      <c r="AX203" s="15"/>
      <c r="AY203" s="15"/>
      <c r="AZ203" s="15"/>
    </row>
    <row r="204" ht="15.75" customHeight="1">
      <c r="A204" s="15"/>
      <c r="B204" s="15"/>
      <c r="C204" s="15"/>
      <c r="D204" s="15"/>
      <c r="E204" s="15"/>
      <c r="F204" s="15"/>
      <c r="G204" s="15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  <c r="AE204" s="15"/>
      <c r="AF204" s="15"/>
      <c r="AG204" s="15"/>
      <c r="AH204" s="15"/>
      <c r="AI204" s="285"/>
      <c r="AJ204" s="122"/>
      <c r="AK204" s="54"/>
      <c r="AL204" s="15"/>
      <c r="AM204" s="15"/>
      <c r="AN204" s="15"/>
      <c r="AO204" s="15"/>
      <c r="AP204" s="15"/>
      <c r="AQ204" s="15"/>
      <c r="AR204" s="15"/>
      <c r="AS204" s="15"/>
      <c r="AT204" s="15"/>
      <c r="AU204" s="15"/>
      <c r="AV204" s="15"/>
      <c r="AW204" s="15"/>
      <c r="AX204" s="15"/>
      <c r="AY204" s="15"/>
      <c r="AZ204" s="15"/>
    </row>
    <row r="205" ht="15.75" customHeight="1">
      <c r="A205" s="15"/>
      <c r="B205" s="15"/>
      <c r="C205" s="15"/>
      <c r="D205" s="15"/>
      <c r="E205" s="15"/>
      <c r="F205" s="15"/>
      <c r="G205" s="15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  <c r="AE205" s="15"/>
      <c r="AF205" s="15"/>
      <c r="AG205" s="15"/>
      <c r="AH205" s="15"/>
      <c r="AI205" s="285"/>
      <c r="AJ205" s="122"/>
      <c r="AK205" s="54"/>
      <c r="AL205" s="15"/>
      <c r="AM205" s="15"/>
      <c r="AN205" s="15"/>
      <c r="AO205" s="15"/>
      <c r="AP205" s="15"/>
      <c r="AQ205" s="15"/>
      <c r="AR205" s="15"/>
      <c r="AS205" s="15"/>
      <c r="AT205" s="15"/>
      <c r="AU205" s="15"/>
      <c r="AV205" s="15"/>
      <c r="AW205" s="15"/>
      <c r="AX205" s="15"/>
      <c r="AY205" s="15"/>
      <c r="AZ205" s="15"/>
    </row>
    <row r="206" ht="15.75" customHeight="1">
      <c r="A206" s="15"/>
      <c r="B206" s="15"/>
      <c r="C206" s="15"/>
      <c r="D206" s="15"/>
      <c r="E206" s="15"/>
      <c r="F206" s="15"/>
      <c r="G206" s="15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  <c r="AE206" s="15"/>
      <c r="AF206" s="15"/>
      <c r="AG206" s="15"/>
      <c r="AH206" s="15"/>
      <c r="AI206" s="285"/>
      <c r="AJ206" s="122"/>
      <c r="AK206" s="54"/>
      <c r="AL206" s="15"/>
      <c r="AM206" s="15"/>
      <c r="AN206" s="15"/>
      <c r="AO206" s="15"/>
      <c r="AP206" s="15"/>
      <c r="AQ206" s="15"/>
      <c r="AR206" s="15"/>
      <c r="AS206" s="15"/>
      <c r="AT206" s="15"/>
      <c r="AU206" s="15"/>
      <c r="AV206" s="15"/>
      <c r="AW206" s="15"/>
      <c r="AX206" s="15"/>
      <c r="AY206" s="15"/>
      <c r="AZ206" s="15"/>
    </row>
    <row r="207" ht="15.75" customHeight="1">
      <c r="A207" s="15"/>
      <c r="B207" s="15"/>
      <c r="C207" s="15"/>
      <c r="D207" s="15"/>
      <c r="E207" s="15"/>
      <c r="F207" s="15"/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 s="15"/>
      <c r="V207" s="15"/>
      <c r="W207" s="15"/>
      <c r="X207" s="15"/>
      <c r="Y207" s="15"/>
      <c r="Z207" s="15"/>
      <c r="AA207" s="15"/>
      <c r="AB207" s="15"/>
      <c r="AC207" s="15"/>
      <c r="AD207" s="15"/>
      <c r="AE207" s="15"/>
      <c r="AF207" s="15"/>
      <c r="AG207" s="15"/>
      <c r="AH207" s="15"/>
      <c r="AI207" s="285"/>
      <c r="AJ207" s="122"/>
      <c r="AK207" s="54"/>
      <c r="AL207" s="15"/>
      <c r="AM207" s="15"/>
      <c r="AN207" s="15"/>
      <c r="AO207" s="15"/>
      <c r="AP207" s="15"/>
      <c r="AQ207" s="15"/>
      <c r="AR207" s="15"/>
      <c r="AS207" s="15"/>
      <c r="AT207" s="15"/>
      <c r="AU207" s="15"/>
      <c r="AV207" s="15"/>
      <c r="AW207" s="15"/>
      <c r="AX207" s="15"/>
      <c r="AY207" s="15"/>
      <c r="AZ207" s="15"/>
    </row>
    <row r="208" ht="15.75" customHeight="1">
      <c r="A208" s="15"/>
      <c r="B208" s="15"/>
      <c r="C208" s="15"/>
      <c r="D208" s="15"/>
      <c r="E208" s="15"/>
      <c r="F208" s="15"/>
      <c r="G208" s="15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 s="15"/>
      <c r="V208" s="15"/>
      <c r="W208" s="15"/>
      <c r="X208" s="15"/>
      <c r="Y208" s="15"/>
      <c r="Z208" s="15"/>
      <c r="AA208" s="15"/>
      <c r="AB208" s="15"/>
      <c r="AC208" s="15"/>
      <c r="AD208" s="15"/>
      <c r="AE208" s="15"/>
      <c r="AF208" s="15"/>
      <c r="AG208" s="15"/>
      <c r="AH208" s="15"/>
      <c r="AI208" s="285"/>
      <c r="AJ208" s="122"/>
      <c r="AK208" s="54"/>
      <c r="AL208" s="15"/>
      <c r="AM208" s="15"/>
      <c r="AN208" s="15"/>
      <c r="AO208" s="15"/>
      <c r="AP208" s="15"/>
      <c r="AQ208" s="15"/>
      <c r="AR208" s="15"/>
      <c r="AS208" s="15"/>
      <c r="AT208" s="15"/>
      <c r="AU208" s="15"/>
      <c r="AV208" s="15"/>
      <c r="AW208" s="15"/>
      <c r="AX208" s="15"/>
      <c r="AY208" s="15"/>
      <c r="AZ208" s="15"/>
    </row>
    <row r="209" ht="15.75" customHeight="1">
      <c r="A209" s="15"/>
      <c r="B209" s="15"/>
      <c r="C209" s="15"/>
      <c r="D209" s="15"/>
      <c r="E209" s="15"/>
      <c r="F209" s="15"/>
      <c r="G209" s="15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 s="15"/>
      <c r="V209" s="15"/>
      <c r="W209" s="15"/>
      <c r="X209" s="15"/>
      <c r="Y209" s="15"/>
      <c r="Z209" s="15"/>
      <c r="AA209" s="15"/>
      <c r="AB209" s="15"/>
      <c r="AC209" s="15"/>
      <c r="AD209" s="15"/>
      <c r="AE209" s="15"/>
      <c r="AF209" s="15"/>
      <c r="AG209" s="15"/>
      <c r="AH209" s="15"/>
      <c r="AI209" s="285"/>
      <c r="AJ209" s="122"/>
      <c r="AK209" s="54"/>
      <c r="AL209" s="15"/>
      <c r="AM209" s="15"/>
      <c r="AN209" s="15"/>
      <c r="AO209" s="15"/>
      <c r="AP209" s="15"/>
      <c r="AQ209" s="15"/>
      <c r="AR209" s="15"/>
      <c r="AS209" s="15"/>
      <c r="AT209" s="15"/>
      <c r="AU209" s="15"/>
      <c r="AV209" s="15"/>
      <c r="AW209" s="15"/>
      <c r="AX209" s="15"/>
      <c r="AY209" s="15"/>
      <c r="AZ209" s="15"/>
    </row>
    <row r="210" ht="15.75" customHeight="1">
      <c r="A210" s="15"/>
      <c r="B210" s="15"/>
      <c r="C210" s="15"/>
      <c r="D210" s="15"/>
      <c r="E210" s="15"/>
      <c r="F210" s="15"/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 s="15"/>
      <c r="V210" s="15"/>
      <c r="W210" s="15"/>
      <c r="X210" s="15"/>
      <c r="Y210" s="15"/>
      <c r="Z210" s="15"/>
      <c r="AA210" s="15"/>
      <c r="AB210" s="15"/>
      <c r="AC210" s="15"/>
      <c r="AD210" s="15"/>
      <c r="AE210" s="15"/>
      <c r="AF210" s="15"/>
      <c r="AG210" s="15"/>
      <c r="AH210" s="15"/>
      <c r="AI210" s="285"/>
      <c r="AJ210" s="122"/>
      <c r="AK210" s="54"/>
      <c r="AL210" s="15"/>
      <c r="AM210" s="15"/>
      <c r="AN210" s="15"/>
      <c r="AO210" s="15"/>
      <c r="AP210" s="15"/>
      <c r="AQ210" s="15"/>
      <c r="AR210" s="15"/>
      <c r="AS210" s="15"/>
      <c r="AT210" s="15"/>
      <c r="AU210" s="15"/>
      <c r="AV210" s="15"/>
      <c r="AW210" s="15"/>
      <c r="AX210" s="15"/>
      <c r="AY210" s="15"/>
      <c r="AZ210" s="15"/>
    </row>
    <row r="211" ht="15.75" customHeight="1">
      <c r="A211" s="15"/>
      <c r="B211" s="15"/>
      <c r="C211" s="15"/>
      <c r="D211" s="15"/>
      <c r="E211" s="15"/>
      <c r="F211" s="15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 s="15"/>
      <c r="V211" s="15"/>
      <c r="W211" s="15"/>
      <c r="X211" s="15"/>
      <c r="Y211" s="15"/>
      <c r="Z211" s="15"/>
      <c r="AA211" s="15"/>
      <c r="AB211" s="15"/>
      <c r="AC211" s="15"/>
      <c r="AD211" s="15"/>
      <c r="AE211" s="15"/>
      <c r="AF211" s="15"/>
      <c r="AG211" s="15"/>
      <c r="AH211" s="15"/>
      <c r="AI211" s="285"/>
      <c r="AJ211" s="122"/>
      <c r="AK211" s="54"/>
      <c r="AL211" s="15"/>
      <c r="AM211" s="15"/>
      <c r="AN211" s="15"/>
      <c r="AO211" s="15"/>
      <c r="AP211" s="15"/>
      <c r="AQ211" s="15"/>
      <c r="AR211" s="15"/>
      <c r="AS211" s="15"/>
      <c r="AT211" s="15"/>
      <c r="AU211" s="15"/>
      <c r="AV211" s="15"/>
      <c r="AW211" s="15"/>
      <c r="AX211" s="15"/>
      <c r="AY211" s="15"/>
      <c r="AZ211" s="15"/>
    </row>
    <row r="212" ht="15.75" customHeight="1">
      <c r="A212" s="15"/>
      <c r="B212" s="15"/>
      <c r="C212" s="15"/>
      <c r="D212" s="15"/>
      <c r="E212" s="15"/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  <c r="AE212" s="15"/>
      <c r="AF212" s="15"/>
      <c r="AG212" s="15"/>
      <c r="AH212" s="15"/>
      <c r="AI212" s="285"/>
      <c r="AJ212" s="122"/>
      <c r="AK212" s="54"/>
      <c r="AL212" s="15"/>
      <c r="AM212" s="15"/>
      <c r="AN212" s="15"/>
      <c r="AO212" s="15"/>
      <c r="AP212" s="15"/>
      <c r="AQ212" s="15"/>
      <c r="AR212" s="15"/>
      <c r="AS212" s="15"/>
      <c r="AT212" s="15"/>
      <c r="AU212" s="15"/>
      <c r="AV212" s="15"/>
      <c r="AW212" s="15"/>
      <c r="AX212" s="15"/>
      <c r="AY212" s="15"/>
      <c r="AZ212" s="15"/>
    </row>
    <row r="213" ht="15.75" customHeight="1">
      <c r="A213" s="15"/>
      <c r="B213" s="15"/>
      <c r="C213" s="15"/>
      <c r="D213" s="15"/>
      <c r="E213" s="15"/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  <c r="AE213" s="15"/>
      <c r="AF213" s="15"/>
      <c r="AG213" s="15"/>
      <c r="AH213" s="15"/>
      <c r="AI213" s="285"/>
      <c r="AJ213" s="122"/>
      <c r="AK213" s="54"/>
      <c r="AL213" s="15"/>
      <c r="AM213" s="15"/>
      <c r="AN213" s="15"/>
      <c r="AO213" s="15"/>
      <c r="AP213" s="15"/>
      <c r="AQ213" s="15"/>
      <c r="AR213" s="15"/>
      <c r="AS213" s="15"/>
      <c r="AT213" s="15"/>
      <c r="AU213" s="15"/>
      <c r="AV213" s="15"/>
      <c r="AW213" s="15"/>
      <c r="AX213" s="15"/>
      <c r="AY213" s="15"/>
      <c r="AZ213" s="15"/>
    </row>
    <row r="214" ht="15.75" customHeight="1">
      <c r="A214" s="15"/>
      <c r="B214" s="15"/>
      <c r="C214" s="15"/>
      <c r="D214" s="15"/>
      <c r="E214" s="15"/>
      <c r="F214" s="15"/>
      <c r="G214" s="15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U214" s="15"/>
      <c r="V214" s="15"/>
      <c r="W214" s="15"/>
      <c r="X214" s="15"/>
      <c r="Y214" s="15"/>
      <c r="Z214" s="15"/>
      <c r="AA214" s="15"/>
      <c r="AB214" s="15"/>
      <c r="AC214" s="15"/>
      <c r="AD214" s="15"/>
      <c r="AE214" s="15"/>
      <c r="AF214" s="15"/>
      <c r="AG214" s="15"/>
      <c r="AH214" s="15"/>
      <c r="AI214" s="285"/>
      <c r="AJ214" s="122"/>
      <c r="AK214" s="54"/>
      <c r="AL214" s="15"/>
      <c r="AM214" s="15"/>
      <c r="AN214" s="15"/>
      <c r="AO214" s="15"/>
      <c r="AP214" s="15"/>
      <c r="AQ214" s="15"/>
      <c r="AR214" s="15"/>
      <c r="AS214" s="15"/>
      <c r="AT214" s="15"/>
      <c r="AU214" s="15"/>
      <c r="AV214" s="15"/>
      <c r="AW214" s="15"/>
      <c r="AX214" s="15"/>
      <c r="AY214" s="15"/>
      <c r="AZ214" s="15"/>
    </row>
    <row r="215" ht="15.75" customHeight="1">
      <c r="A215" s="15"/>
      <c r="B215" s="15"/>
      <c r="C215" s="15"/>
      <c r="D215" s="15"/>
      <c r="E215" s="15"/>
      <c r="F215" s="15"/>
      <c r="G215" s="15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U215" s="15"/>
      <c r="V215" s="15"/>
      <c r="W215" s="15"/>
      <c r="X215" s="15"/>
      <c r="Y215" s="15"/>
      <c r="Z215" s="15"/>
      <c r="AA215" s="15"/>
      <c r="AB215" s="15"/>
      <c r="AC215" s="15"/>
      <c r="AD215" s="15"/>
      <c r="AE215" s="15"/>
      <c r="AF215" s="15"/>
      <c r="AG215" s="15"/>
      <c r="AH215" s="15"/>
      <c r="AI215" s="285"/>
      <c r="AJ215" s="122"/>
      <c r="AK215" s="54"/>
      <c r="AL215" s="15"/>
      <c r="AM215" s="15"/>
      <c r="AN215" s="15"/>
      <c r="AO215" s="15"/>
      <c r="AP215" s="15"/>
      <c r="AQ215" s="15"/>
      <c r="AR215" s="15"/>
      <c r="AS215" s="15"/>
      <c r="AT215" s="15"/>
      <c r="AU215" s="15"/>
      <c r="AV215" s="15"/>
      <c r="AW215" s="15"/>
      <c r="AX215" s="15"/>
      <c r="AY215" s="15"/>
      <c r="AZ215" s="15"/>
    </row>
    <row r="216" ht="15.75" customHeight="1">
      <c r="A216" s="15"/>
      <c r="B216" s="15"/>
      <c r="C216" s="15"/>
      <c r="D216" s="15"/>
      <c r="E216" s="15"/>
      <c r="F216" s="15"/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U216" s="15"/>
      <c r="V216" s="15"/>
      <c r="W216" s="15"/>
      <c r="X216" s="15"/>
      <c r="Y216" s="15"/>
      <c r="Z216" s="15"/>
      <c r="AA216" s="15"/>
      <c r="AB216" s="15"/>
      <c r="AC216" s="15"/>
      <c r="AD216" s="15"/>
      <c r="AE216" s="15"/>
      <c r="AF216" s="15"/>
      <c r="AG216" s="15"/>
      <c r="AH216" s="15"/>
      <c r="AI216" s="285"/>
      <c r="AJ216" s="122"/>
      <c r="AK216" s="54"/>
      <c r="AL216" s="15"/>
      <c r="AM216" s="15"/>
      <c r="AN216" s="15"/>
      <c r="AO216" s="15"/>
      <c r="AP216" s="15"/>
      <c r="AQ216" s="15"/>
      <c r="AR216" s="15"/>
      <c r="AS216" s="15"/>
      <c r="AT216" s="15"/>
      <c r="AU216" s="15"/>
      <c r="AV216" s="15"/>
      <c r="AW216" s="15"/>
      <c r="AX216" s="15"/>
      <c r="AY216" s="15"/>
      <c r="AZ216" s="15"/>
    </row>
    <row r="217" ht="15.75" customHeight="1">
      <c r="A217" s="15"/>
      <c r="B217" s="15"/>
      <c r="C217" s="15"/>
      <c r="D217" s="15"/>
      <c r="E217" s="15"/>
      <c r="F217" s="15"/>
      <c r="G217" s="15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U217" s="15"/>
      <c r="V217" s="15"/>
      <c r="W217" s="15"/>
      <c r="X217" s="15"/>
      <c r="Y217" s="15"/>
      <c r="Z217" s="15"/>
      <c r="AA217" s="15"/>
      <c r="AB217" s="15"/>
      <c r="AC217" s="15"/>
      <c r="AD217" s="15"/>
      <c r="AE217" s="15"/>
      <c r="AF217" s="15"/>
      <c r="AG217" s="15"/>
      <c r="AH217" s="15"/>
      <c r="AI217" s="285"/>
      <c r="AJ217" s="122"/>
      <c r="AK217" s="54"/>
      <c r="AL217" s="15"/>
      <c r="AM217" s="15"/>
      <c r="AN217" s="15"/>
      <c r="AO217" s="15"/>
      <c r="AP217" s="15"/>
      <c r="AQ217" s="15"/>
      <c r="AR217" s="15"/>
      <c r="AS217" s="15"/>
      <c r="AT217" s="15"/>
      <c r="AU217" s="15"/>
      <c r="AV217" s="15"/>
      <c r="AW217" s="15"/>
      <c r="AX217" s="15"/>
      <c r="AY217" s="15"/>
      <c r="AZ217" s="15"/>
    </row>
    <row r="218" ht="15.75" customHeight="1">
      <c r="A218" s="15"/>
      <c r="B218" s="15"/>
      <c r="C218" s="15"/>
      <c r="D218" s="15"/>
      <c r="E218" s="15"/>
      <c r="F218" s="15"/>
      <c r="G218" s="15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U218" s="15"/>
      <c r="V218" s="15"/>
      <c r="W218" s="15"/>
      <c r="X218" s="15"/>
      <c r="Y218" s="15"/>
      <c r="Z218" s="15"/>
      <c r="AA218" s="15"/>
      <c r="AB218" s="15"/>
      <c r="AC218" s="15"/>
      <c r="AD218" s="15"/>
      <c r="AE218" s="15"/>
      <c r="AF218" s="15"/>
      <c r="AG218" s="15"/>
      <c r="AH218" s="15"/>
      <c r="AI218" s="285"/>
      <c r="AJ218" s="122"/>
      <c r="AK218" s="54"/>
      <c r="AL218" s="15"/>
      <c r="AM218" s="15"/>
      <c r="AN218" s="15"/>
      <c r="AO218" s="15"/>
      <c r="AP218" s="15"/>
      <c r="AQ218" s="15"/>
      <c r="AR218" s="15"/>
      <c r="AS218" s="15"/>
      <c r="AT218" s="15"/>
      <c r="AU218" s="15"/>
      <c r="AV218" s="15"/>
      <c r="AW218" s="15"/>
      <c r="AX218" s="15"/>
      <c r="AY218" s="15"/>
      <c r="AZ218" s="15"/>
    </row>
    <row r="219" ht="15.75" customHeight="1">
      <c r="A219" s="15"/>
      <c r="B219" s="15"/>
      <c r="C219" s="15"/>
      <c r="D219" s="15"/>
      <c r="E219" s="15"/>
      <c r="F219" s="15"/>
      <c r="G219" s="15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5"/>
      <c r="U219" s="15"/>
      <c r="V219" s="15"/>
      <c r="W219" s="15"/>
      <c r="X219" s="15"/>
      <c r="Y219" s="15"/>
      <c r="Z219" s="15"/>
      <c r="AA219" s="15"/>
      <c r="AB219" s="15"/>
      <c r="AC219" s="15"/>
      <c r="AD219" s="15"/>
      <c r="AE219" s="15"/>
      <c r="AF219" s="15"/>
      <c r="AG219" s="15"/>
      <c r="AH219" s="15"/>
      <c r="AI219" s="285"/>
      <c r="AJ219" s="122"/>
      <c r="AK219" s="54"/>
      <c r="AL219" s="15"/>
      <c r="AM219" s="15"/>
      <c r="AN219" s="15"/>
      <c r="AO219" s="15"/>
      <c r="AP219" s="15"/>
      <c r="AQ219" s="15"/>
      <c r="AR219" s="15"/>
      <c r="AS219" s="15"/>
      <c r="AT219" s="15"/>
      <c r="AU219" s="15"/>
      <c r="AV219" s="15"/>
      <c r="AW219" s="15"/>
      <c r="AX219" s="15"/>
      <c r="AY219" s="15"/>
      <c r="AZ219" s="15"/>
    </row>
    <row r="220" ht="15.75" customHeight="1">
      <c r="A220" s="15"/>
      <c r="B220" s="15"/>
      <c r="C220" s="15"/>
      <c r="D220" s="15"/>
      <c r="E220" s="15"/>
      <c r="F220" s="15"/>
      <c r="G220" s="15"/>
      <c r="H220" s="15"/>
      <c r="I220" s="15"/>
      <c r="J220" s="15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U220" s="15"/>
      <c r="V220" s="15"/>
      <c r="W220" s="15"/>
      <c r="X220" s="15"/>
      <c r="Y220" s="15"/>
      <c r="Z220" s="15"/>
      <c r="AA220" s="15"/>
      <c r="AB220" s="15"/>
      <c r="AC220" s="15"/>
      <c r="AD220" s="15"/>
      <c r="AE220" s="15"/>
      <c r="AF220" s="15"/>
      <c r="AG220" s="15"/>
      <c r="AH220" s="15"/>
      <c r="AI220" s="285"/>
      <c r="AJ220" s="122"/>
      <c r="AK220" s="54"/>
      <c r="AL220" s="15"/>
      <c r="AM220" s="15"/>
      <c r="AN220" s="15"/>
      <c r="AO220" s="15"/>
      <c r="AP220" s="15"/>
      <c r="AQ220" s="15"/>
      <c r="AR220" s="15"/>
      <c r="AS220" s="15"/>
      <c r="AT220" s="15"/>
      <c r="AU220" s="15"/>
      <c r="AV220" s="15"/>
      <c r="AW220" s="15"/>
      <c r="AX220" s="15"/>
      <c r="AY220" s="15"/>
      <c r="AZ220" s="15"/>
    </row>
    <row r="221" ht="15.75" customHeight="1">
      <c r="A221" s="15"/>
      <c r="B221" s="15"/>
      <c r="C221" s="15"/>
      <c r="D221" s="15"/>
      <c r="E221" s="15"/>
      <c r="F221" s="15"/>
      <c r="G221" s="15"/>
      <c r="H221" s="15"/>
      <c r="I221" s="15"/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U221" s="15"/>
      <c r="V221" s="15"/>
      <c r="W221" s="15"/>
      <c r="X221" s="15"/>
      <c r="Y221" s="15"/>
      <c r="Z221" s="15"/>
      <c r="AA221" s="15"/>
      <c r="AB221" s="15"/>
      <c r="AC221" s="15"/>
      <c r="AD221" s="15"/>
      <c r="AE221" s="15"/>
      <c r="AF221" s="15"/>
      <c r="AG221" s="15"/>
      <c r="AH221" s="15"/>
      <c r="AI221" s="285"/>
      <c r="AJ221" s="122"/>
      <c r="AK221" s="54"/>
      <c r="AL221" s="15"/>
      <c r="AM221" s="15"/>
      <c r="AN221" s="15"/>
      <c r="AO221" s="15"/>
      <c r="AP221" s="15"/>
      <c r="AQ221" s="15"/>
      <c r="AR221" s="15"/>
      <c r="AS221" s="15"/>
      <c r="AT221" s="15"/>
      <c r="AU221" s="15"/>
      <c r="AV221" s="15"/>
      <c r="AW221" s="15"/>
      <c r="AX221" s="15"/>
      <c r="AY221" s="15"/>
      <c r="AZ221" s="15"/>
    </row>
    <row r="222" ht="15.75" customHeight="1">
      <c r="A222" s="15"/>
      <c r="B222" s="15"/>
      <c r="C222" s="15"/>
      <c r="D222" s="15"/>
      <c r="E222" s="15"/>
      <c r="F222" s="15"/>
      <c r="G222" s="15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U222" s="15"/>
      <c r="V222" s="15"/>
      <c r="W222" s="15"/>
      <c r="X222" s="15"/>
      <c r="Y222" s="15"/>
      <c r="Z222" s="15"/>
      <c r="AA222" s="15"/>
      <c r="AB222" s="15"/>
      <c r="AC222" s="15"/>
      <c r="AD222" s="15"/>
      <c r="AE222" s="15"/>
      <c r="AF222" s="15"/>
      <c r="AG222" s="15"/>
      <c r="AH222" s="15"/>
      <c r="AI222" s="285"/>
      <c r="AJ222" s="122"/>
      <c r="AK222" s="54"/>
      <c r="AL222" s="15"/>
      <c r="AM222" s="15"/>
      <c r="AN222" s="15"/>
      <c r="AO222" s="15"/>
      <c r="AP222" s="15"/>
      <c r="AQ222" s="15"/>
      <c r="AR222" s="15"/>
      <c r="AS222" s="15"/>
      <c r="AT222" s="15"/>
      <c r="AU222" s="15"/>
      <c r="AV222" s="15"/>
      <c r="AW222" s="15"/>
      <c r="AX222" s="15"/>
      <c r="AY222" s="15"/>
      <c r="AZ222" s="15"/>
    </row>
    <row r="223" ht="15.75" customHeight="1">
      <c r="A223" s="15"/>
      <c r="B223" s="15"/>
      <c r="C223" s="15"/>
      <c r="D223" s="15"/>
      <c r="E223" s="15"/>
      <c r="F223" s="15"/>
      <c r="G223" s="15"/>
      <c r="H223" s="15"/>
      <c r="I223" s="15"/>
      <c r="J223" s="15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U223" s="15"/>
      <c r="V223" s="15"/>
      <c r="W223" s="15"/>
      <c r="X223" s="15"/>
      <c r="Y223" s="15"/>
      <c r="Z223" s="15"/>
      <c r="AA223" s="15"/>
      <c r="AB223" s="15"/>
      <c r="AC223" s="15"/>
      <c r="AD223" s="15"/>
      <c r="AE223" s="15"/>
      <c r="AF223" s="15"/>
      <c r="AG223" s="15"/>
      <c r="AH223" s="15"/>
      <c r="AI223" s="285"/>
      <c r="AJ223" s="122"/>
      <c r="AK223" s="54"/>
      <c r="AL223" s="15"/>
      <c r="AM223" s="15"/>
      <c r="AN223" s="15"/>
      <c r="AO223" s="15"/>
      <c r="AP223" s="15"/>
      <c r="AQ223" s="15"/>
      <c r="AR223" s="15"/>
      <c r="AS223" s="15"/>
      <c r="AT223" s="15"/>
      <c r="AU223" s="15"/>
      <c r="AV223" s="15"/>
      <c r="AW223" s="15"/>
      <c r="AX223" s="15"/>
      <c r="AY223" s="15"/>
      <c r="AZ223" s="15"/>
    </row>
    <row r="224" ht="15.75" customHeight="1">
      <c r="A224" s="15"/>
      <c r="B224" s="15"/>
      <c r="C224" s="15"/>
      <c r="D224" s="15"/>
      <c r="E224" s="15"/>
      <c r="F224" s="15"/>
      <c r="G224" s="15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 s="15"/>
      <c r="V224" s="15"/>
      <c r="W224" s="15"/>
      <c r="X224" s="15"/>
      <c r="Y224" s="15"/>
      <c r="Z224" s="15"/>
      <c r="AA224" s="15"/>
      <c r="AB224" s="15"/>
      <c r="AC224" s="15"/>
      <c r="AD224" s="15"/>
      <c r="AE224" s="15"/>
      <c r="AF224" s="15"/>
      <c r="AG224" s="15"/>
      <c r="AH224" s="15"/>
      <c r="AI224" s="285"/>
      <c r="AJ224" s="122"/>
      <c r="AK224" s="54"/>
      <c r="AL224" s="15"/>
      <c r="AM224" s="15"/>
      <c r="AN224" s="15"/>
      <c r="AO224" s="15"/>
      <c r="AP224" s="15"/>
      <c r="AQ224" s="15"/>
      <c r="AR224" s="15"/>
      <c r="AS224" s="15"/>
      <c r="AT224" s="15"/>
      <c r="AU224" s="15"/>
      <c r="AV224" s="15"/>
      <c r="AW224" s="15"/>
      <c r="AX224" s="15"/>
      <c r="AY224" s="15"/>
      <c r="AZ224" s="15"/>
    </row>
    <row r="225" ht="15.75" customHeight="1">
      <c r="A225" s="15"/>
      <c r="B225" s="15"/>
      <c r="C225" s="15"/>
      <c r="D225" s="15"/>
      <c r="E225" s="15"/>
      <c r="F225" s="15"/>
      <c r="G225" s="15"/>
      <c r="H225" s="15"/>
      <c r="I225" s="15"/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5"/>
      <c r="U225" s="15"/>
      <c r="V225" s="15"/>
      <c r="W225" s="15"/>
      <c r="X225" s="15"/>
      <c r="Y225" s="15"/>
      <c r="Z225" s="15"/>
      <c r="AA225" s="15"/>
      <c r="AB225" s="15"/>
      <c r="AC225" s="15"/>
      <c r="AD225" s="15"/>
      <c r="AE225" s="15"/>
      <c r="AF225" s="15"/>
      <c r="AG225" s="15"/>
      <c r="AH225" s="15"/>
      <c r="AI225" s="285"/>
      <c r="AJ225" s="122"/>
      <c r="AK225" s="54"/>
      <c r="AL225" s="15"/>
      <c r="AM225" s="15"/>
      <c r="AN225" s="15"/>
      <c r="AO225" s="15"/>
      <c r="AP225" s="15"/>
      <c r="AQ225" s="15"/>
      <c r="AR225" s="15"/>
      <c r="AS225" s="15"/>
      <c r="AT225" s="15"/>
      <c r="AU225" s="15"/>
      <c r="AV225" s="15"/>
      <c r="AW225" s="15"/>
      <c r="AX225" s="15"/>
      <c r="AY225" s="15"/>
      <c r="AZ225" s="15"/>
    </row>
    <row r="226" ht="15.75" customHeight="1">
      <c r="A226" s="15"/>
      <c r="B226" s="15"/>
      <c r="C226" s="15"/>
      <c r="D226" s="15"/>
      <c r="E226" s="15"/>
      <c r="F226" s="15"/>
      <c r="G226" s="15"/>
      <c r="H226" s="15"/>
      <c r="I226" s="15"/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U226" s="15"/>
      <c r="V226" s="15"/>
      <c r="W226" s="15"/>
      <c r="X226" s="15"/>
      <c r="Y226" s="15"/>
      <c r="Z226" s="15"/>
      <c r="AA226" s="15"/>
      <c r="AB226" s="15"/>
      <c r="AC226" s="15"/>
      <c r="AD226" s="15"/>
      <c r="AE226" s="15"/>
      <c r="AF226" s="15"/>
      <c r="AG226" s="15"/>
      <c r="AH226" s="15"/>
      <c r="AI226" s="285"/>
      <c r="AJ226" s="122"/>
      <c r="AK226" s="54"/>
      <c r="AL226" s="15"/>
      <c r="AM226" s="15"/>
      <c r="AN226" s="15"/>
      <c r="AO226" s="15"/>
      <c r="AP226" s="15"/>
      <c r="AQ226" s="15"/>
      <c r="AR226" s="15"/>
      <c r="AS226" s="15"/>
      <c r="AT226" s="15"/>
      <c r="AU226" s="15"/>
      <c r="AV226" s="15"/>
      <c r="AW226" s="15"/>
      <c r="AX226" s="15"/>
      <c r="AY226" s="15"/>
      <c r="AZ226" s="15"/>
    </row>
    <row r="227" ht="15.75" customHeight="1">
      <c r="A227" s="15"/>
      <c r="B227" s="15"/>
      <c r="C227" s="15"/>
      <c r="D227" s="15"/>
      <c r="E227" s="15"/>
      <c r="F227" s="15"/>
      <c r="G227" s="15"/>
      <c r="H227" s="15"/>
      <c r="I227" s="15"/>
      <c r="J227" s="15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U227" s="15"/>
      <c r="V227" s="15"/>
      <c r="W227" s="15"/>
      <c r="X227" s="15"/>
      <c r="Y227" s="15"/>
      <c r="Z227" s="15"/>
      <c r="AA227" s="15"/>
      <c r="AB227" s="15"/>
      <c r="AC227" s="15"/>
      <c r="AD227" s="15"/>
      <c r="AE227" s="15"/>
      <c r="AF227" s="15"/>
      <c r="AG227" s="15"/>
      <c r="AH227" s="15"/>
      <c r="AI227" s="285"/>
      <c r="AJ227" s="122"/>
      <c r="AK227" s="54"/>
      <c r="AL227" s="15"/>
      <c r="AM227" s="15"/>
      <c r="AN227" s="15"/>
      <c r="AO227" s="15"/>
      <c r="AP227" s="15"/>
      <c r="AQ227" s="15"/>
      <c r="AR227" s="15"/>
      <c r="AS227" s="15"/>
      <c r="AT227" s="15"/>
      <c r="AU227" s="15"/>
      <c r="AV227" s="15"/>
      <c r="AW227" s="15"/>
      <c r="AX227" s="15"/>
      <c r="AY227" s="15"/>
      <c r="AZ227" s="15"/>
    </row>
    <row r="228" ht="15.75" customHeight="1">
      <c r="A228" s="15"/>
      <c r="B228" s="15"/>
      <c r="C228" s="15"/>
      <c r="D228" s="15"/>
      <c r="E228" s="15"/>
      <c r="F228" s="15"/>
      <c r="G228" s="15"/>
      <c r="H228" s="15"/>
      <c r="I228" s="15"/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U228" s="15"/>
      <c r="V228" s="15"/>
      <c r="W228" s="15"/>
      <c r="X228" s="15"/>
      <c r="Y228" s="15"/>
      <c r="Z228" s="15"/>
      <c r="AA228" s="15"/>
      <c r="AB228" s="15"/>
      <c r="AC228" s="15"/>
      <c r="AD228" s="15"/>
      <c r="AE228" s="15"/>
      <c r="AF228" s="15"/>
      <c r="AG228" s="15"/>
      <c r="AH228" s="15"/>
      <c r="AI228" s="285"/>
      <c r="AJ228" s="122"/>
      <c r="AK228" s="54"/>
      <c r="AL228" s="15"/>
      <c r="AM228" s="15"/>
      <c r="AN228" s="15"/>
      <c r="AO228" s="15"/>
      <c r="AP228" s="15"/>
      <c r="AQ228" s="15"/>
      <c r="AR228" s="15"/>
      <c r="AS228" s="15"/>
      <c r="AT228" s="15"/>
      <c r="AU228" s="15"/>
      <c r="AV228" s="15"/>
      <c r="AW228" s="15"/>
      <c r="AX228" s="15"/>
      <c r="AY228" s="15"/>
      <c r="AZ228" s="15"/>
    </row>
    <row r="229" ht="15.75" customHeight="1">
      <c r="A229" s="15"/>
      <c r="B229" s="15"/>
      <c r="C229" s="15"/>
      <c r="D229" s="15"/>
      <c r="E229" s="15"/>
      <c r="F229" s="15"/>
      <c r="G229" s="15"/>
      <c r="H229" s="15"/>
      <c r="I229" s="15"/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U229" s="15"/>
      <c r="V229" s="15"/>
      <c r="W229" s="15"/>
      <c r="X229" s="15"/>
      <c r="Y229" s="15"/>
      <c r="Z229" s="15"/>
      <c r="AA229" s="15"/>
      <c r="AB229" s="15"/>
      <c r="AC229" s="15"/>
      <c r="AD229" s="15"/>
      <c r="AE229" s="15"/>
      <c r="AF229" s="15"/>
      <c r="AG229" s="15"/>
      <c r="AH229" s="15"/>
      <c r="AI229" s="285"/>
      <c r="AJ229" s="122"/>
      <c r="AK229" s="54"/>
      <c r="AL229" s="15"/>
      <c r="AM229" s="15"/>
      <c r="AN229" s="15"/>
      <c r="AO229" s="15"/>
      <c r="AP229" s="15"/>
      <c r="AQ229" s="15"/>
      <c r="AR229" s="15"/>
      <c r="AS229" s="15"/>
      <c r="AT229" s="15"/>
      <c r="AU229" s="15"/>
      <c r="AV229" s="15"/>
      <c r="AW229" s="15"/>
      <c r="AX229" s="15"/>
      <c r="AY229" s="15"/>
      <c r="AZ229" s="15"/>
    </row>
    <row r="230" ht="15.75" customHeight="1">
      <c r="A230" s="15"/>
      <c r="B230" s="15"/>
      <c r="C230" s="15"/>
      <c r="D230" s="15"/>
      <c r="E230" s="15"/>
      <c r="F230" s="15"/>
      <c r="G230" s="15"/>
      <c r="H230" s="15"/>
      <c r="I230" s="15"/>
      <c r="J230" s="15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U230" s="15"/>
      <c r="V230" s="15"/>
      <c r="W230" s="15"/>
      <c r="X230" s="15"/>
      <c r="Y230" s="15"/>
      <c r="Z230" s="15"/>
      <c r="AA230" s="15"/>
      <c r="AB230" s="15"/>
      <c r="AC230" s="15"/>
      <c r="AD230" s="15"/>
      <c r="AE230" s="15"/>
      <c r="AF230" s="15"/>
      <c r="AG230" s="15"/>
      <c r="AH230" s="15"/>
      <c r="AI230" s="285"/>
      <c r="AJ230" s="122"/>
      <c r="AK230" s="54"/>
      <c r="AL230" s="15"/>
      <c r="AM230" s="15"/>
      <c r="AN230" s="15"/>
      <c r="AO230" s="15"/>
      <c r="AP230" s="15"/>
      <c r="AQ230" s="15"/>
      <c r="AR230" s="15"/>
      <c r="AS230" s="15"/>
      <c r="AT230" s="15"/>
      <c r="AU230" s="15"/>
      <c r="AV230" s="15"/>
      <c r="AW230" s="15"/>
      <c r="AX230" s="15"/>
      <c r="AY230" s="15"/>
      <c r="AZ230" s="15"/>
    </row>
    <row r="231" ht="15.75" customHeight="1">
      <c r="A231" s="15"/>
      <c r="B231" s="15"/>
      <c r="C231" s="15"/>
      <c r="D231" s="15"/>
      <c r="E231" s="15"/>
      <c r="F231" s="15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  <c r="AE231" s="15"/>
      <c r="AF231" s="15"/>
      <c r="AG231" s="15"/>
      <c r="AH231" s="15"/>
      <c r="AI231" s="285"/>
      <c r="AJ231" s="122"/>
      <c r="AK231" s="54"/>
      <c r="AL231" s="15"/>
      <c r="AM231" s="15"/>
      <c r="AN231" s="15"/>
      <c r="AO231" s="15"/>
      <c r="AP231" s="15"/>
      <c r="AQ231" s="15"/>
      <c r="AR231" s="15"/>
      <c r="AS231" s="15"/>
      <c r="AT231" s="15"/>
      <c r="AU231" s="15"/>
      <c r="AV231" s="15"/>
      <c r="AW231" s="15"/>
      <c r="AX231" s="15"/>
      <c r="AY231" s="15"/>
      <c r="AZ231" s="15"/>
    </row>
    <row r="232" ht="15.75" customHeight="1">
      <c r="A232" s="15"/>
      <c r="B232" s="15"/>
      <c r="C232" s="15"/>
      <c r="D232" s="15"/>
      <c r="E232" s="15"/>
      <c r="F232" s="15"/>
      <c r="G232" s="15"/>
      <c r="H232" s="15"/>
      <c r="I232" s="15"/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5"/>
      <c r="U232" s="15"/>
      <c r="V232" s="15"/>
      <c r="W232" s="15"/>
      <c r="X232" s="15"/>
      <c r="Y232" s="15"/>
      <c r="Z232" s="15"/>
      <c r="AA232" s="15"/>
      <c r="AB232" s="15"/>
      <c r="AC232" s="15"/>
      <c r="AD232" s="15"/>
      <c r="AE232" s="15"/>
      <c r="AF232" s="15"/>
      <c r="AG232" s="15"/>
      <c r="AH232" s="15"/>
      <c r="AI232" s="285"/>
      <c r="AJ232" s="122"/>
      <c r="AK232" s="54"/>
      <c r="AL232" s="15"/>
      <c r="AM232" s="15"/>
      <c r="AN232" s="15"/>
      <c r="AO232" s="15"/>
      <c r="AP232" s="15"/>
      <c r="AQ232" s="15"/>
      <c r="AR232" s="15"/>
      <c r="AS232" s="15"/>
      <c r="AT232" s="15"/>
      <c r="AU232" s="15"/>
      <c r="AV232" s="15"/>
      <c r="AW232" s="15"/>
      <c r="AX232" s="15"/>
      <c r="AY232" s="15"/>
      <c r="AZ232" s="15"/>
    </row>
    <row r="233" ht="15.75" customHeight="1">
      <c r="A233" s="15"/>
      <c r="B233" s="15"/>
      <c r="C233" s="15"/>
      <c r="D233" s="15"/>
      <c r="E233" s="15"/>
      <c r="F233" s="15"/>
      <c r="G233" s="15"/>
      <c r="H233" s="15"/>
      <c r="I233" s="15"/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5"/>
      <c r="U233" s="15"/>
      <c r="V233" s="15"/>
      <c r="W233" s="15"/>
      <c r="X233" s="15"/>
      <c r="Y233" s="15"/>
      <c r="Z233" s="15"/>
      <c r="AA233" s="15"/>
      <c r="AB233" s="15"/>
      <c r="AC233" s="15"/>
      <c r="AD233" s="15"/>
      <c r="AE233" s="15"/>
      <c r="AF233" s="15"/>
      <c r="AG233" s="15"/>
      <c r="AH233" s="15"/>
      <c r="AI233" s="285"/>
      <c r="AJ233" s="122"/>
      <c r="AK233" s="54"/>
      <c r="AL233" s="15"/>
      <c r="AM233" s="15"/>
      <c r="AN233" s="15"/>
      <c r="AO233" s="15"/>
      <c r="AP233" s="15"/>
      <c r="AQ233" s="15"/>
      <c r="AR233" s="15"/>
      <c r="AS233" s="15"/>
      <c r="AT233" s="15"/>
      <c r="AU233" s="15"/>
      <c r="AV233" s="15"/>
      <c r="AW233" s="15"/>
      <c r="AX233" s="15"/>
      <c r="AY233" s="15"/>
      <c r="AZ233" s="15"/>
    </row>
    <row r="234" ht="15.75" customHeight="1">
      <c r="A234" s="15"/>
      <c r="B234" s="15"/>
      <c r="C234" s="15"/>
      <c r="D234" s="15"/>
      <c r="E234" s="15"/>
      <c r="F234" s="15"/>
      <c r="G234" s="15"/>
      <c r="H234" s="15"/>
      <c r="I234" s="15"/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U234" s="15"/>
      <c r="V234" s="15"/>
      <c r="W234" s="15"/>
      <c r="X234" s="15"/>
      <c r="Y234" s="15"/>
      <c r="Z234" s="15"/>
      <c r="AA234" s="15"/>
      <c r="AB234" s="15"/>
      <c r="AC234" s="15"/>
      <c r="AD234" s="15"/>
      <c r="AE234" s="15"/>
      <c r="AF234" s="15"/>
      <c r="AG234" s="15"/>
      <c r="AH234" s="15"/>
      <c r="AI234" s="285"/>
      <c r="AJ234" s="122"/>
      <c r="AK234" s="54"/>
      <c r="AL234" s="15"/>
      <c r="AM234" s="15"/>
      <c r="AN234" s="15"/>
      <c r="AO234" s="15"/>
      <c r="AP234" s="15"/>
      <c r="AQ234" s="15"/>
      <c r="AR234" s="15"/>
      <c r="AS234" s="15"/>
      <c r="AT234" s="15"/>
      <c r="AU234" s="15"/>
      <c r="AV234" s="15"/>
      <c r="AW234" s="15"/>
      <c r="AX234" s="15"/>
      <c r="AY234" s="15"/>
      <c r="AZ234" s="15"/>
    </row>
    <row r="235" ht="15.75" customHeight="1">
      <c r="A235" s="15"/>
      <c r="B235" s="15"/>
      <c r="C235" s="15"/>
      <c r="D235" s="15"/>
      <c r="E235" s="15"/>
      <c r="F235" s="15"/>
      <c r="G235" s="15"/>
      <c r="H235" s="15"/>
      <c r="I235" s="15"/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U235" s="15"/>
      <c r="V235" s="15"/>
      <c r="W235" s="15"/>
      <c r="X235" s="15"/>
      <c r="Y235" s="15"/>
      <c r="Z235" s="15"/>
      <c r="AA235" s="15"/>
      <c r="AB235" s="15"/>
      <c r="AC235" s="15"/>
      <c r="AD235" s="15"/>
      <c r="AE235" s="15"/>
      <c r="AF235" s="15"/>
      <c r="AG235" s="15"/>
      <c r="AH235" s="15"/>
      <c r="AI235" s="285"/>
      <c r="AJ235" s="122"/>
      <c r="AK235" s="54"/>
      <c r="AL235" s="15"/>
      <c r="AM235" s="15"/>
      <c r="AN235" s="15"/>
      <c r="AO235" s="15"/>
      <c r="AP235" s="15"/>
      <c r="AQ235" s="15"/>
      <c r="AR235" s="15"/>
      <c r="AS235" s="15"/>
      <c r="AT235" s="15"/>
      <c r="AU235" s="15"/>
      <c r="AV235" s="15"/>
      <c r="AW235" s="15"/>
      <c r="AX235" s="15"/>
      <c r="AY235" s="15"/>
      <c r="AZ235" s="15"/>
    </row>
    <row r="236" ht="15.75" customHeight="1">
      <c r="A236" s="15"/>
      <c r="B236" s="15"/>
      <c r="C236" s="15"/>
      <c r="D236" s="15"/>
      <c r="E236" s="15"/>
      <c r="F236" s="15"/>
      <c r="G236" s="15"/>
      <c r="H236" s="15"/>
      <c r="I236" s="15"/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5"/>
      <c r="U236" s="15"/>
      <c r="V236" s="15"/>
      <c r="W236" s="15"/>
      <c r="X236" s="15"/>
      <c r="Y236" s="15"/>
      <c r="Z236" s="15"/>
      <c r="AA236" s="15"/>
      <c r="AB236" s="15"/>
      <c r="AC236" s="15"/>
      <c r="AD236" s="15"/>
      <c r="AE236" s="15"/>
      <c r="AF236" s="15"/>
      <c r="AG236" s="15"/>
      <c r="AH236" s="15"/>
      <c r="AI236" s="285"/>
      <c r="AJ236" s="122"/>
      <c r="AK236" s="54"/>
      <c r="AL236" s="15"/>
      <c r="AM236" s="15"/>
      <c r="AN236" s="15"/>
      <c r="AO236" s="15"/>
      <c r="AP236" s="15"/>
      <c r="AQ236" s="15"/>
      <c r="AR236" s="15"/>
      <c r="AS236" s="15"/>
      <c r="AT236" s="15"/>
      <c r="AU236" s="15"/>
      <c r="AV236" s="15"/>
      <c r="AW236" s="15"/>
      <c r="AX236" s="15"/>
      <c r="AY236" s="15"/>
      <c r="AZ236" s="15"/>
    </row>
    <row r="237" ht="15.75" customHeight="1">
      <c r="A237" s="15"/>
      <c r="B237" s="15"/>
      <c r="C237" s="15"/>
      <c r="D237" s="15"/>
      <c r="E237" s="15"/>
      <c r="F237" s="15"/>
      <c r="G237" s="15"/>
      <c r="H237" s="15"/>
      <c r="I237" s="15"/>
      <c r="J237" s="15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U237" s="15"/>
      <c r="V237" s="15"/>
      <c r="W237" s="15"/>
      <c r="X237" s="15"/>
      <c r="Y237" s="15"/>
      <c r="Z237" s="15"/>
      <c r="AA237" s="15"/>
      <c r="AB237" s="15"/>
      <c r="AC237" s="15"/>
      <c r="AD237" s="15"/>
      <c r="AE237" s="15"/>
      <c r="AF237" s="15"/>
      <c r="AG237" s="15"/>
      <c r="AH237" s="15"/>
      <c r="AI237" s="285"/>
      <c r="AJ237" s="122"/>
      <c r="AK237" s="54"/>
      <c r="AL237" s="15"/>
      <c r="AM237" s="15"/>
      <c r="AN237" s="15"/>
      <c r="AO237" s="15"/>
      <c r="AP237" s="15"/>
      <c r="AQ237" s="15"/>
      <c r="AR237" s="15"/>
      <c r="AS237" s="15"/>
      <c r="AT237" s="15"/>
      <c r="AU237" s="15"/>
      <c r="AV237" s="15"/>
      <c r="AW237" s="15"/>
      <c r="AX237" s="15"/>
      <c r="AY237" s="15"/>
      <c r="AZ237" s="15"/>
    </row>
    <row r="238" ht="15.75" customHeight="1">
      <c r="A238" s="15"/>
      <c r="B238" s="15"/>
      <c r="C238" s="15"/>
      <c r="D238" s="15"/>
      <c r="E238" s="15"/>
      <c r="F238" s="15"/>
      <c r="G238" s="15"/>
      <c r="H238" s="15"/>
      <c r="I238" s="15"/>
      <c r="J238" s="15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U238" s="15"/>
      <c r="V238" s="15"/>
      <c r="W238" s="15"/>
      <c r="X238" s="15"/>
      <c r="Y238" s="15"/>
      <c r="Z238" s="15"/>
      <c r="AA238" s="15"/>
      <c r="AB238" s="15"/>
      <c r="AC238" s="15"/>
      <c r="AD238" s="15"/>
      <c r="AE238" s="15"/>
      <c r="AF238" s="15"/>
      <c r="AG238" s="15"/>
      <c r="AH238" s="15"/>
      <c r="AI238" s="285"/>
      <c r="AJ238" s="122"/>
      <c r="AK238" s="54"/>
      <c r="AL238" s="15"/>
      <c r="AM238" s="15"/>
      <c r="AN238" s="15"/>
      <c r="AO238" s="15"/>
      <c r="AP238" s="15"/>
      <c r="AQ238" s="15"/>
      <c r="AR238" s="15"/>
      <c r="AS238" s="15"/>
      <c r="AT238" s="15"/>
      <c r="AU238" s="15"/>
      <c r="AV238" s="15"/>
      <c r="AW238" s="15"/>
      <c r="AX238" s="15"/>
      <c r="AY238" s="15"/>
      <c r="AZ238" s="15"/>
    </row>
    <row r="239" ht="15.75" customHeight="1">
      <c r="A239" s="15"/>
      <c r="B239" s="15"/>
      <c r="C239" s="15"/>
      <c r="D239" s="15"/>
      <c r="E239" s="15"/>
      <c r="F239" s="15"/>
      <c r="G239" s="15"/>
      <c r="H239" s="15"/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U239" s="15"/>
      <c r="V239" s="15"/>
      <c r="W239" s="15"/>
      <c r="X239" s="15"/>
      <c r="Y239" s="15"/>
      <c r="Z239" s="15"/>
      <c r="AA239" s="15"/>
      <c r="AB239" s="15"/>
      <c r="AC239" s="15"/>
      <c r="AD239" s="15"/>
      <c r="AE239" s="15"/>
      <c r="AF239" s="15"/>
      <c r="AG239" s="15"/>
      <c r="AH239" s="15"/>
      <c r="AI239" s="285"/>
      <c r="AJ239" s="122"/>
      <c r="AK239" s="54"/>
      <c r="AL239" s="15"/>
      <c r="AM239" s="15"/>
      <c r="AN239" s="15"/>
      <c r="AO239" s="15"/>
      <c r="AP239" s="15"/>
      <c r="AQ239" s="15"/>
      <c r="AR239" s="15"/>
      <c r="AS239" s="15"/>
      <c r="AT239" s="15"/>
      <c r="AU239" s="15"/>
      <c r="AV239" s="15"/>
      <c r="AW239" s="15"/>
      <c r="AX239" s="15"/>
      <c r="AY239" s="15"/>
      <c r="AZ239" s="15"/>
    </row>
    <row r="240" ht="15.75" customHeight="1">
      <c r="A240" s="15"/>
      <c r="B240" s="15"/>
      <c r="C240" s="15"/>
      <c r="D240" s="15"/>
      <c r="E240" s="15"/>
      <c r="F240" s="15"/>
      <c r="G240" s="15"/>
      <c r="H240" s="15"/>
      <c r="I240" s="15"/>
      <c r="J240" s="15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U240" s="15"/>
      <c r="V240" s="15"/>
      <c r="W240" s="15"/>
      <c r="X240" s="15"/>
      <c r="Y240" s="15"/>
      <c r="Z240" s="15"/>
      <c r="AA240" s="15"/>
      <c r="AB240" s="15"/>
      <c r="AC240" s="15"/>
      <c r="AD240" s="15"/>
      <c r="AE240" s="15"/>
      <c r="AF240" s="15"/>
      <c r="AG240" s="15"/>
      <c r="AH240" s="15"/>
      <c r="AI240" s="285"/>
      <c r="AJ240" s="122"/>
      <c r="AK240" s="54"/>
      <c r="AL240" s="15"/>
      <c r="AM240" s="15"/>
      <c r="AN240" s="15"/>
      <c r="AO240" s="15"/>
      <c r="AP240" s="15"/>
      <c r="AQ240" s="15"/>
      <c r="AR240" s="15"/>
      <c r="AS240" s="15"/>
      <c r="AT240" s="15"/>
      <c r="AU240" s="15"/>
      <c r="AV240" s="15"/>
      <c r="AW240" s="15"/>
      <c r="AX240" s="15"/>
      <c r="AY240" s="15"/>
      <c r="AZ240" s="15"/>
    </row>
    <row r="241" ht="15.75" customHeight="1">
      <c r="A241" s="15"/>
      <c r="B241" s="15"/>
      <c r="C241" s="15"/>
      <c r="D241" s="15"/>
      <c r="E241" s="15"/>
      <c r="F241" s="15"/>
      <c r="G241" s="15"/>
      <c r="H241" s="15"/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U241" s="15"/>
      <c r="V241" s="15"/>
      <c r="W241" s="15"/>
      <c r="X241" s="15"/>
      <c r="Y241" s="15"/>
      <c r="Z241" s="15"/>
      <c r="AA241" s="15"/>
      <c r="AB241" s="15"/>
      <c r="AC241" s="15"/>
      <c r="AD241" s="15"/>
      <c r="AE241" s="15"/>
      <c r="AF241" s="15"/>
      <c r="AG241" s="15"/>
      <c r="AH241" s="15"/>
      <c r="AI241" s="285"/>
      <c r="AJ241" s="122"/>
      <c r="AK241" s="54"/>
      <c r="AL241" s="15"/>
      <c r="AM241" s="15"/>
      <c r="AN241" s="15"/>
      <c r="AO241" s="15"/>
      <c r="AP241" s="15"/>
      <c r="AQ241" s="15"/>
      <c r="AR241" s="15"/>
      <c r="AS241" s="15"/>
      <c r="AT241" s="15"/>
      <c r="AU241" s="15"/>
      <c r="AV241" s="15"/>
      <c r="AW241" s="15"/>
      <c r="AX241" s="15"/>
      <c r="AY241" s="15"/>
      <c r="AZ241" s="15"/>
    </row>
    <row r="242" ht="15.75" customHeight="1">
      <c r="A242" s="15"/>
      <c r="B242" s="15"/>
      <c r="C242" s="15"/>
      <c r="D242" s="15"/>
      <c r="E242" s="15"/>
      <c r="F242" s="15"/>
      <c r="G242" s="15"/>
      <c r="H242" s="15"/>
      <c r="I242" s="15"/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U242" s="15"/>
      <c r="V242" s="15"/>
      <c r="W242" s="15"/>
      <c r="X242" s="15"/>
      <c r="Y242" s="15"/>
      <c r="Z242" s="15"/>
      <c r="AA242" s="15"/>
      <c r="AB242" s="15"/>
      <c r="AC242" s="15"/>
      <c r="AD242" s="15"/>
      <c r="AE242" s="15"/>
      <c r="AF242" s="15"/>
      <c r="AG242" s="15"/>
      <c r="AH242" s="15"/>
      <c r="AI242" s="285"/>
      <c r="AJ242" s="122"/>
      <c r="AK242" s="54"/>
      <c r="AL242" s="15"/>
      <c r="AM242" s="15"/>
      <c r="AN242" s="15"/>
      <c r="AO242" s="15"/>
      <c r="AP242" s="15"/>
      <c r="AQ242" s="15"/>
      <c r="AR242" s="15"/>
      <c r="AS242" s="15"/>
      <c r="AT242" s="15"/>
      <c r="AU242" s="15"/>
      <c r="AV242" s="15"/>
      <c r="AW242" s="15"/>
      <c r="AX242" s="15"/>
      <c r="AY242" s="15"/>
      <c r="AZ242" s="15"/>
    </row>
    <row r="243" ht="15.75" customHeight="1">
      <c r="A243" s="15"/>
      <c r="B243" s="15"/>
      <c r="C243" s="15"/>
      <c r="D243" s="15"/>
      <c r="E243" s="15"/>
      <c r="F243" s="15"/>
      <c r="G243" s="15"/>
      <c r="H243" s="15"/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U243" s="15"/>
      <c r="V243" s="15"/>
      <c r="W243" s="15"/>
      <c r="X243" s="15"/>
      <c r="Y243" s="15"/>
      <c r="Z243" s="15"/>
      <c r="AA243" s="15"/>
      <c r="AB243" s="15"/>
      <c r="AC243" s="15"/>
      <c r="AD243" s="15"/>
      <c r="AE243" s="15"/>
      <c r="AF243" s="15"/>
      <c r="AG243" s="15"/>
      <c r="AH243" s="15"/>
      <c r="AI243" s="285"/>
      <c r="AJ243" s="122"/>
      <c r="AK243" s="54"/>
      <c r="AL243" s="15"/>
      <c r="AM243" s="15"/>
      <c r="AN243" s="15"/>
      <c r="AO243" s="15"/>
      <c r="AP243" s="15"/>
      <c r="AQ243" s="15"/>
      <c r="AR243" s="15"/>
      <c r="AS243" s="15"/>
      <c r="AT243" s="15"/>
      <c r="AU243" s="15"/>
      <c r="AV243" s="15"/>
      <c r="AW243" s="15"/>
      <c r="AX243" s="15"/>
      <c r="AY243" s="15"/>
      <c r="AZ243" s="15"/>
    </row>
    <row r="244" ht="15.75" customHeight="1">
      <c r="A244" s="15"/>
      <c r="B244" s="15"/>
      <c r="C244" s="15"/>
      <c r="D244" s="15"/>
      <c r="E244" s="15"/>
      <c r="F244" s="15"/>
      <c r="G244" s="15"/>
      <c r="H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U244" s="15"/>
      <c r="V244" s="15"/>
      <c r="W244" s="15"/>
      <c r="X244" s="15"/>
      <c r="Y244" s="15"/>
      <c r="Z244" s="15"/>
      <c r="AA244" s="15"/>
      <c r="AB244" s="15"/>
      <c r="AC244" s="15"/>
      <c r="AD244" s="15"/>
      <c r="AE244" s="15"/>
      <c r="AF244" s="15"/>
      <c r="AG244" s="15"/>
      <c r="AH244" s="15"/>
      <c r="AI244" s="285"/>
      <c r="AJ244" s="122"/>
      <c r="AK244" s="54"/>
      <c r="AL244" s="15"/>
      <c r="AM244" s="15"/>
      <c r="AN244" s="15"/>
      <c r="AO244" s="15"/>
      <c r="AP244" s="15"/>
      <c r="AQ244" s="15"/>
      <c r="AR244" s="15"/>
      <c r="AS244" s="15"/>
      <c r="AT244" s="15"/>
      <c r="AU244" s="15"/>
      <c r="AV244" s="15"/>
      <c r="AW244" s="15"/>
      <c r="AX244" s="15"/>
      <c r="AY244" s="15"/>
      <c r="AZ244" s="15"/>
    </row>
    <row r="245" ht="15.75" customHeight="1">
      <c r="A245" s="15"/>
      <c r="B245" s="15"/>
      <c r="C245" s="15"/>
      <c r="D245" s="15"/>
      <c r="E245" s="15"/>
      <c r="F245" s="15"/>
      <c r="G245" s="15"/>
      <c r="H245" s="15"/>
      <c r="I245" s="15"/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U245" s="15"/>
      <c r="V245" s="15"/>
      <c r="W245" s="15"/>
      <c r="X245" s="15"/>
      <c r="Y245" s="15"/>
      <c r="Z245" s="15"/>
      <c r="AA245" s="15"/>
      <c r="AB245" s="15"/>
      <c r="AC245" s="15"/>
      <c r="AD245" s="15"/>
      <c r="AE245" s="15"/>
      <c r="AF245" s="15"/>
      <c r="AG245" s="15"/>
      <c r="AH245" s="15"/>
      <c r="AI245" s="285"/>
      <c r="AJ245" s="122"/>
      <c r="AK245" s="54"/>
      <c r="AL245" s="15"/>
      <c r="AM245" s="15"/>
      <c r="AN245" s="15"/>
      <c r="AO245" s="15"/>
      <c r="AP245" s="15"/>
      <c r="AQ245" s="15"/>
      <c r="AR245" s="15"/>
      <c r="AS245" s="15"/>
      <c r="AT245" s="15"/>
      <c r="AU245" s="15"/>
      <c r="AV245" s="15"/>
      <c r="AW245" s="15"/>
      <c r="AX245" s="15"/>
      <c r="AY245" s="15"/>
      <c r="AZ245" s="15"/>
    </row>
    <row r="246" ht="15.75" customHeight="1">
      <c r="A246" s="15"/>
      <c r="B246" s="15"/>
      <c r="C246" s="15"/>
      <c r="D246" s="15"/>
      <c r="E246" s="15"/>
      <c r="F246" s="15"/>
      <c r="G246" s="15"/>
      <c r="H246" s="15"/>
      <c r="I246" s="15"/>
      <c r="J246" s="15"/>
      <c r="K246" s="15"/>
      <c r="L246" s="15"/>
      <c r="M246" s="15"/>
      <c r="N246" s="15"/>
      <c r="O246" s="15"/>
      <c r="P246" s="15"/>
      <c r="Q246" s="15"/>
      <c r="R246" s="15"/>
      <c r="S246" s="15"/>
      <c r="T246" s="15"/>
      <c r="U246" s="15"/>
      <c r="V246" s="15"/>
      <c r="W246" s="15"/>
      <c r="X246" s="15"/>
      <c r="Y246" s="15"/>
      <c r="Z246" s="15"/>
      <c r="AA246" s="15"/>
      <c r="AB246" s="15"/>
      <c r="AC246" s="15"/>
      <c r="AD246" s="15"/>
      <c r="AE246" s="15"/>
      <c r="AF246" s="15"/>
      <c r="AG246" s="15"/>
      <c r="AH246" s="15"/>
      <c r="AI246" s="285"/>
      <c r="AJ246" s="122"/>
      <c r="AK246" s="54"/>
      <c r="AL246" s="15"/>
      <c r="AM246" s="15"/>
      <c r="AN246" s="15"/>
      <c r="AO246" s="15"/>
      <c r="AP246" s="15"/>
      <c r="AQ246" s="15"/>
      <c r="AR246" s="15"/>
      <c r="AS246" s="15"/>
      <c r="AT246" s="15"/>
      <c r="AU246" s="15"/>
      <c r="AV246" s="15"/>
      <c r="AW246" s="15"/>
      <c r="AX246" s="15"/>
      <c r="AY246" s="15"/>
      <c r="AZ246" s="15"/>
    </row>
    <row r="247" ht="15.75" customHeight="1">
      <c r="A247" s="15"/>
      <c r="B247" s="15"/>
      <c r="C247" s="15"/>
      <c r="D247" s="15"/>
      <c r="E247" s="15"/>
      <c r="F247" s="15"/>
      <c r="G247" s="15"/>
      <c r="H247" s="15"/>
      <c r="I247" s="15"/>
      <c r="J247" s="15"/>
      <c r="K247" s="15"/>
      <c r="L247" s="15"/>
      <c r="M247" s="15"/>
      <c r="N247" s="15"/>
      <c r="O247" s="15"/>
      <c r="P247" s="15"/>
      <c r="Q247" s="15"/>
      <c r="R247" s="15"/>
      <c r="S247" s="15"/>
      <c r="T247" s="15"/>
      <c r="U247" s="15"/>
      <c r="V247" s="15"/>
      <c r="W247" s="15"/>
      <c r="X247" s="15"/>
      <c r="Y247" s="15"/>
      <c r="Z247" s="15"/>
      <c r="AA247" s="15"/>
      <c r="AB247" s="15"/>
      <c r="AC247" s="15"/>
      <c r="AD247" s="15"/>
      <c r="AE247" s="15"/>
      <c r="AF247" s="15"/>
      <c r="AG247" s="15"/>
      <c r="AH247" s="15"/>
      <c r="AI247" s="285"/>
      <c r="AJ247" s="122"/>
      <c r="AK247" s="54"/>
      <c r="AL247" s="15"/>
      <c r="AM247" s="15"/>
      <c r="AN247" s="15"/>
      <c r="AO247" s="15"/>
      <c r="AP247" s="15"/>
      <c r="AQ247" s="15"/>
      <c r="AR247" s="15"/>
      <c r="AS247" s="15"/>
      <c r="AT247" s="15"/>
      <c r="AU247" s="15"/>
      <c r="AV247" s="15"/>
      <c r="AW247" s="15"/>
      <c r="AX247" s="15"/>
      <c r="AY247" s="15"/>
      <c r="AZ247" s="15"/>
    </row>
    <row r="248" ht="15.75" customHeight="1">
      <c r="A248" s="15"/>
      <c r="B248" s="15"/>
      <c r="C248" s="15"/>
      <c r="D248" s="15"/>
      <c r="E248" s="15"/>
      <c r="F248" s="15"/>
      <c r="G248" s="15"/>
      <c r="H248" s="15"/>
      <c r="I248" s="15"/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15"/>
      <c r="U248" s="15"/>
      <c r="V248" s="15"/>
      <c r="W248" s="15"/>
      <c r="X248" s="15"/>
      <c r="Y248" s="15"/>
      <c r="Z248" s="15"/>
      <c r="AA248" s="15"/>
      <c r="AB248" s="15"/>
      <c r="AC248" s="15"/>
      <c r="AD248" s="15"/>
      <c r="AE248" s="15"/>
      <c r="AF248" s="15"/>
      <c r="AG248" s="15"/>
      <c r="AH248" s="15"/>
      <c r="AI248" s="285"/>
      <c r="AJ248" s="122"/>
      <c r="AK248" s="54"/>
      <c r="AL248" s="15"/>
      <c r="AM248" s="15"/>
      <c r="AN248" s="15"/>
      <c r="AO248" s="15"/>
      <c r="AP248" s="15"/>
      <c r="AQ248" s="15"/>
      <c r="AR248" s="15"/>
      <c r="AS248" s="15"/>
      <c r="AT248" s="15"/>
      <c r="AU248" s="15"/>
      <c r="AV248" s="15"/>
      <c r="AW248" s="15"/>
      <c r="AX248" s="15"/>
      <c r="AY248" s="15"/>
      <c r="AZ248" s="15"/>
    </row>
    <row r="249" ht="15.75" customHeight="1">
      <c r="A249" s="15"/>
      <c r="B249" s="15"/>
      <c r="C249" s="15"/>
      <c r="D249" s="15"/>
      <c r="E249" s="15"/>
      <c r="F249" s="15"/>
      <c r="G249" s="15"/>
      <c r="H249" s="15"/>
      <c r="I249" s="15"/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15"/>
      <c r="U249" s="15"/>
      <c r="V249" s="15"/>
      <c r="W249" s="15"/>
      <c r="X249" s="15"/>
      <c r="Y249" s="15"/>
      <c r="Z249" s="15"/>
      <c r="AA249" s="15"/>
      <c r="AB249" s="15"/>
      <c r="AC249" s="15"/>
      <c r="AD249" s="15"/>
      <c r="AE249" s="15"/>
      <c r="AF249" s="15"/>
      <c r="AG249" s="15"/>
      <c r="AH249" s="15"/>
      <c r="AI249" s="285"/>
      <c r="AJ249" s="122"/>
      <c r="AK249" s="54"/>
      <c r="AL249" s="15"/>
      <c r="AM249" s="15"/>
      <c r="AN249" s="15"/>
      <c r="AO249" s="15"/>
      <c r="AP249" s="15"/>
      <c r="AQ249" s="15"/>
      <c r="AR249" s="15"/>
      <c r="AS249" s="15"/>
      <c r="AT249" s="15"/>
      <c r="AU249" s="15"/>
      <c r="AV249" s="15"/>
      <c r="AW249" s="15"/>
      <c r="AX249" s="15"/>
      <c r="AY249" s="15"/>
      <c r="AZ249" s="15"/>
    </row>
    <row r="250" ht="15.75" customHeight="1">
      <c r="A250" s="15"/>
      <c r="B250" s="15"/>
      <c r="C250" s="15"/>
      <c r="D250" s="15"/>
      <c r="E250" s="15"/>
      <c r="F250" s="15"/>
      <c r="G250" s="15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U250" s="15"/>
      <c r="V250" s="15"/>
      <c r="W250" s="15"/>
      <c r="X250" s="15"/>
      <c r="Y250" s="15"/>
      <c r="Z250" s="15"/>
      <c r="AA250" s="15"/>
      <c r="AB250" s="15"/>
      <c r="AC250" s="15"/>
      <c r="AD250" s="15"/>
      <c r="AE250" s="15"/>
      <c r="AF250" s="15"/>
      <c r="AG250" s="15"/>
      <c r="AH250" s="15"/>
      <c r="AI250" s="285"/>
      <c r="AJ250" s="122"/>
      <c r="AK250" s="54"/>
      <c r="AL250" s="15"/>
      <c r="AM250" s="15"/>
      <c r="AN250" s="15"/>
      <c r="AO250" s="15"/>
      <c r="AP250" s="15"/>
      <c r="AQ250" s="15"/>
      <c r="AR250" s="15"/>
      <c r="AS250" s="15"/>
      <c r="AT250" s="15"/>
      <c r="AU250" s="15"/>
      <c r="AV250" s="15"/>
      <c r="AW250" s="15"/>
      <c r="AX250" s="15"/>
      <c r="AY250" s="15"/>
      <c r="AZ250" s="15"/>
    </row>
    <row r="251" ht="15.75" customHeight="1">
      <c r="A251" s="15"/>
      <c r="B251" s="15"/>
      <c r="C251" s="15"/>
      <c r="D251" s="15"/>
      <c r="E251" s="15"/>
      <c r="F251" s="15"/>
      <c r="G251" s="15"/>
      <c r="H251" s="15"/>
      <c r="I251" s="15"/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15"/>
      <c r="U251" s="15"/>
      <c r="V251" s="15"/>
      <c r="W251" s="15"/>
      <c r="X251" s="15"/>
      <c r="Y251" s="15"/>
      <c r="Z251" s="15"/>
      <c r="AA251" s="15"/>
      <c r="AB251" s="15"/>
      <c r="AC251" s="15"/>
      <c r="AD251" s="15"/>
      <c r="AE251" s="15"/>
      <c r="AF251" s="15"/>
      <c r="AG251" s="15"/>
      <c r="AH251" s="15"/>
      <c r="AI251" s="285"/>
      <c r="AJ251" s="122"/>
      <c r="AK251" s="54"/>
      <c r="AL251" s="15"/>
      <c r="AM251" s="15"/>
      <c r="AN251" s="15"/>
      <c r="AO251" s="15"/>
      <c r="AP251" s="15"/>
      <c r="AQ251" s="15"/>
      <c r="AR251" s="15"/>
      <c r="AS251" s="15"/>
      <c r="AT251" s="15"/>
      <c r="AU251" s="15"/>
      <c r="AV251" s="15"/>
      <c r="AW251" s="15"/>
      <c r="AX251" s="15"/>
      <c r="AY251" s="15"/>
      <c r="AZ251" s="15"/>
    </row>
    <row r="252" ht="15.75" customHeight="1">
      <c r="A252" s="15"/>
      <c r="B252" s="15"/>
      <c r="C252" s="15"/>
      <c r="D252" s="15"/>
      <c r="E252" s="15"/>
      <c r="F252" s="15"/>
      <c r="G252" s="15"/>
      <c r="H252" s="15"/>
      <c r="I252" s="15"/>
      <c r="J252" s="15"/>
      <c r="K252" s="15"/>
      <c r="L252" s="15"/>
      <c r="M252" s="15"/>
      <c r="N252" s="15"/>
      <c r="O252" s="15"/>
      <c r="P252" s="15"/>
      <c r="Q252" s="15"/>
      <c r="R252" s="15"/>
      <c r="S252" s="15"/>
      <c r="T252" s="15"/>
      <c r="U252" s="15"/>
      <c r="V252" s="15"/>
      <c r="W252" s="15"/>
      <c r="X252" s="15"/>
      <c r="Y252" s="15"/>
      <c r="Z252" s="15"/>
      <c r="AA252" s="15"/>
      <c r="AB252" s="15"/>
      <c r="AC252" s="15"/>
      <c r="AD252" s="15"/>
      <c r="AE252" s="15"/>
      <c r="AF252" s="15"/>
      <c r="AG252" s="15"/>
      <c r="AH252" s="15"/>
      <c r="AI252" s="285"/>
      <c r="AJ252" s="122"/>
      <c r="AK252" s="54"/>
      <c r="AL252" s="15"/>
      <c r="AM252" s="15"/>
      <c r="AN252" s="15"/>
      <c r="AO252" s="15"/>
      <c r="AP252" s="15"/>
      <c r="AQ252" s="15"/>
      <c r="AR252" s="15"/>
      <c r="AS252" s="15"/>
      <c r="AT252" s="15"/>
      <c r="AU252" s="15"/>
      <c r="AV252" s="15"/>
      <c r="AW252" s="15"/>
      <c r="AX252" s="15"/>
      <c r="AY252" s="15"/>
      <c r="AZ252" s="15"/>
    </row>
    <row r="253" ht="15.75" customHeight="1">
      <c r="A253" s="15"/>
      <c r="B253" s="15"/>
      <c r="C253" s="15"/>
      <c r="D253" s="15"/>
      <c r="E253" s="15"/>
      <c r="F253" s="15"/>
      <c r="G253" s="15"/>
      <c r="H253" s="15"/>
      <c r="I253" s="15"/>
      <c r="J253" s="15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U253" s="15"/>
      <c r="V253" s="15"/>
      <c r="W253" s="15"/>
      <c r="X253" s="15"/>
      <c r="Y253" s="15"/>
      <c r="Z253" s="15"/>
      <c r="AA253" s="15"/>
      <c r="AB253" s="15"/>
      <c r="AC253" s="15"/>
      <c r="AD253" s="15"/>
      <c r="AE253" s="15"/>
      <c r="AF253" s="15"/>
      <c r="AG253" s="15"/>
      <c r="AH253" s="15"/>
      <c r="AI253" s="285"/>
      <c r="AJ253" s="122"/>
      <c r="AK253" s="54"/>
      <c r="AL253" s="15"/>
      <c r="AM253" s="15"/>
      <c r="AN253" s="15"/>
      <c r="AO253" s="15"/>
      <c r="AP253" s="15"/>
      <c r="AQ253" s="15"/>
      <c r="AR253" s="15"/>
      <c r="AS253" s="15"/>
      <c r="AT253" s="15"/>
      <c r="AU253" s="15"/>
      <c r="AV253" s="15"/>
      <c r="AW253" s="15"/>
      <c r="AX253" s="15"/>
      <c r="AY253" s="15"/>
      <c r="AZ253" s="15"/>
    </row>
    <row r="254" ht="15.75" customHeight="1">
      <c r="A254" s="15"/>
      <c r="B254" s="15"/>
      <c r="C254" s="15"/>
      <c r="D254" s="15"/>
      <c r="E254" s="15"/>
      <c r="F254" s="15"/>
      <c r="G254" s="15"/>
      <c r="H254" s="15"/>
      <c r="I254" s="15"/>
      <c r="J254" s="15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U254" s="15"/>
      <c r="V254" s="15"/>
      <c r="W254" s="15"/>
      <c r="X254" s="15"/>
      <c r="Y254" s="15"/>
      <c r="Z254" s="15"/>
      <c r="AA254" s="15"/>
      <c r="AB254" s="15"/>
      <c r="AC254" s="15"/>
      <c r="AD254" s="15"/>
      <c r="AE254" s="15"/>
      <c r="AF254" s="15"/>
      <c r="AG254" s="15"/>
      <c r="AH254" s="15"/>
      <c r="AI254" s="285"/>
      <c r="AJ254" s="122"/>
      <c r="AK254" s="54"/>
      <c r="AL254" s="15"/>
      <c r="AM254" s="15"/>
      <c r="AN254" s="15"/>
      <c r="AO254" s="15"/>
      <c r="AP254" s="15"/>
      <c r="AQ254" s="15"/>
      <c r="AR254" s="15"/>
      <c r="AS254" s="15"/>
      <c r="AT254" s="15"/>
      <c r="AU254" s="15"/>
      <c r="AV254" s="15"/>
      <c r="AW254" s="15"/>
      <c r="AX254" s="15"/>
      <c r="AY254" s="15"/>
      <c r="AZ254" s="15"/>
    </row>
    <row r="255" ht="15.75" customHeight="1">
      <c r="A255" s="15"/>
      <c r="B255" s="15"/>
      <c r="C255" s="15"/>
      <c r="D255" s="15"/>
      <c r="E255" s="15"/>
      <c r="F255" s="15"/>
      <c r="G255" s="15"/>
      <c r="H255" s="15"/>
      <c r="I255" s="15"/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15"/>
      <c r="U255" s="15"/>
      <c r="V255" s="15"/>
      <c r="W255" s="15"/>
      <c r="X255" s="15"/>
      <c r="Y255" s="15"/>
      <c r="Z255" s="15"/>
      <c r="AA255" s="15"/>
      <c r="AB255" s="15"/>
      <c r="AC255" s="15"/>
      <c r="AD255" s="15"/>
      <c r="AE255" s="15"/>
      <c r="AF255" s="15"/>
      <c r="AG255" s="15"/>
      <c r="AH255" s="15"/>
      <c r="AI255" s="285"/>
      <c r="AJ255" s="122"/>
      <c r="AK255" s="54"/>
      <c r="AL255" s="15"/>
      <c r="AM255" s="15"/>
      <c r="AN255" s="15"/>
      <c r="AO255" s="15"/>
      <c r="AP255" s="15"/>
      <c r="AQ255" s="15"/>
      <c r="AR255" s="15"/>
      <c r="AS255" s="15"/>
      <c r="AT255" s="15"/>
      <c r="AU255" s="15"/>
      <c r="AV255" s="15"/>
      <c r="AW255" s="15"/>
      <c r="AX255" s="15"/>
      <c r="AY255" s="15"/>
      <c r="AZ255" s="15"/>
    </row>
    <row r="256" ht="15.75" customHeight="1">
      <c r="A256" s="15"/>
      <c r="B256" s="15"/>
      <c r="C256" s="15"/>
      <c r="D256" s="15"/>
      <c r="E256" s="15"/>
      <c r="F256" s="15"/>
      <c r="G256" s="15"/>
      <c r="H256" s="15"/>
      <c r="I256" s="15"/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15"/>
      <c r="U256" s="15"/>
      <c r="V256" s="15"/>
      <c r="W256" s="15"/>
      <c r="X256" s="15"/>
      <c r="Y256" s="15"/>
      <c r="Z256" s="15"/>
      <c r="AA256" s="15"/>
      <c r="AB256" s="15"/>
      <c r="AC256" s="15"/>
      <c r="AD256" s="15"/>
      <c r="AE256" s="15"/>
      <c r="AF256" s="15"/>
      <c r="AG256" s="15"/>
      <c r="AH256" s="15"/>
      <c r="AI256" s="285"/>
      <c r="AJ256" s="122"/>
      <c r="AK256" s="54"/>
      <c r="AL256" s="15"/>
      <c r="AM256" s="15"/>
      <c r="AN256" s="15"/>
      <c r="AO256" s="15"/>
      <c r="AP256" s="15"/>
      <c r="AQ256" s="15"/>
      <c r="AR256" s="15"/>
      <c r="AS256" s="15"/>
      <c r="AT256" s="15"/>
      <c r="AU256" s="15"/>
      <c r="AV256" s="15"/>
      <c r="AW256" s="15"/>
      <c r="AX256" s="15"/>
      <c r="AY256" s="15"/>
      <c r="AZ256" s="15"/>
    </row>
    <row r="257" ht="15.75" customHeight="1">
      <c r="A257" s="15"/>
      <c r="B257" s="15"/>
      <c r="C257" s="15"/>
      <c r="D257" s="15"/>
      <c r="E257" s="15"/>
      <c r="F257" s="15"/>
      <c r="G257" s="15"/>
      <c r="H257" s="15"/>
      <c r="I257" s="15"/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U257" s="15"/>
      <c r="V257" s="15"/>
      <c r="W257" s="15"/>
      <c r="X257" s="15"/>
      <c r="Y257" s="15"/>
      <c r="Z257" s="15"/>
      <c r="AA257" s="15"/>
      <c r="AB257" s="15"/>
      <c r="AC257" s="15"/>
      <c r="AD257" s="15"/>
      <c r="AE257" s="15"/>
      <c r="AF257" s="15"/>
      <c r="AG257" s="15"/>
      <c r="AH257" s="15"/>
      <c r="AI257" s="285"/>
      <c r="AJ257" s="122"/>
      <c r="AK257" s="54"/>
      <c r="AL257" s="15"/>
      <c r="AM257" s="15"/>
      <c r="AN257" s="15"/>
      <c r="AO257" s="15"/>
      <c r="AP257" s="15"/>
      <c r="AQ257" s="15"/>
      <c r="AR257" s="15"/>
      <c r="AS257" s="15"/>
      <c r="AT257" s="15"/>
      <c r="AU257" s="15"/>
      <c r="AV257" s="15"/>
      <c r="AW257" s="15"/>
      <c r="AX257" s="15"/>
      <c r="AY257" s="15"/>
      <c r="AZ257" s="15"/>
    </row>
    <row r="258" ht="15.75" customHeight="1">
      <c r="A258" s="15"/>
      <c r="B258" s="15"/>
      <c r="C258" s="15"/>
      <c r="D258" s="15"/>
      <c r="E258" s="15"/>
      <c r="F258" s="15"/>
      <c r="G258" s="15"/>
      <c r="H258" s="15"/>
      <c r="I258" s="15"/>
      <c r="J258" s="15"/>
      <c r="K258" s="15"/>
      <c r="L258" s="15"/>
      <c r="M258" s="15"/>
      <c r="N258" s="15"/>
      <c r="O258" s="15"/>
      <c r="P258" s="15"/>
      <c r="Q258" s="15"/>
      <c r="R258" s="15"/>
      <c r="S258" s="15"/>
      <c r="T258" s="15"/>
      <c r="U258" s="15"/>
      <c r="V258" s="15"/>
      <c r="W258" s="15"/>
      <c r="X258" s="15"/>
      <c r="Y258" s="15"/>
      <c r="Z258" s="15"/>
      <c r="AA258" s="15"/>
      <c r="AB258" s="15"/>
      <c r="AC258" s="15"/>
      <c r="AD258" s="15"/>
      <c r="AE258" s="15"/>
      <c r="AF258" s="15"/>
      <c r="AG258" s="15"/>
      <c r="AH258" s="15"/>
      <c r="AI258" s="285"/>
      <c r="AJ258" s="122"/>
      <c r="AK258" s="54"/>
      <c r="AL258" s="15"/>
      <c r="AM258" s="15"/>
      <c r="AN258" s="15"/>
      <c r="AO258" s="15"/>
      <c r="AP258" s="15"/>
      <c r="AQ258" s="15"/>
      <c r="AR258" s="15"/>
      <c r="AS258" s="15"/>
      <c r="AT258" s="15"/>
      <c r="AU258" s="15"/>
      <c r="AV258" s="15"/>
      <c r="AW258" s="15"/>
      <c r="AX258" s="15"/>
      <c r="AY258" s="15"/>
      <c r="AZ258" s="15"/>
    </row>
    <row r="259" ht="15.75" customHeight="1">
      <c r="A259" s="15"/>
      <c r="B259" s="15"/>
      <c r="C259" s="15"/>
      <c r="D259" s="15"/>
      <c r="E259" s="15"/>
      <c r="F259" s="15"/>
      <c r="G259" s="15"/>
      <c r="H259" s="15"/>
      <c r="I259" s="15"/>
      <c r="J259" s="15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U259" s="15"/>
      <c r="V259" s="15"/>
      <c r="W259" s="15"/>
      <c r="X259" s="15"/>
      <c r="Y259" s="15"/>
      <c r="Z259" s="15"/>
      <c r="AA259" s="15"/>
      <c r="AB259" s="15"/>
      <c r="AC259" s="15"/>
      <c r="AD259" s="15"/>
      <c r="AE259" s="15"/>
      <c r="AF259" s="15"/>
      <c r="AG259" s="15"/>
      <c r="AH259" s="15"/>
      <c r="AI259" s="285"/>
      <c r="AJ259" s="122"/>
      <c r="AK259" s="54"/>
      <c r="AL259" s="15"/>
      <c r="AM259" s="15"/>
      <c r="AN259" s="15"/>
      <c r="AO259" s="15"/>
      <c r="AP259" s="15"/>
      <c r="AQ259" s="15"/>
      <c r="AR259" s="15"/>
      <c r="AS259" s="15"/>
      <c r="AT259" s="15"/>
      <c r="AU259" s="15"/>
      <c r="AV259" s="15"/>
      <c r="AW259" s="15"/>
      <c r="AX259" s="15"/>
      <c r="AY259" s="15"/>
      <c r="AZ259" s="15"/>
    </row>
    <row r="260" ht="15.75" customHeight="1">
      <c r="A260" s="15"/>
      <c r="B260" s="15"/>
      <c r="C260" s="15"/>
      <c r="D260" s="15"/>
      <c r="E260" s="15"/>
      <c r="F260" s="15"/>
      <c r="G260" s="15"/>
      <c r="H260" s="15"/>
      <c r="I260" s="15"/>
      <c r="J260" s="15"/>
      <c r="K260" s="15"/>
      <c r="L260" s="15"/>
      <c r="M260" s="15"/>
      <c r="N260" s="15"/>
      <c r="O260" s="15"/>
      <c r="P260" s="15"/>
      <c r="Q260" s="15"/>
      <c r="R260" s="15"/>
      <c r="S260" s="15"/>
      <c r="T260" s="15"/>
      <c r="U260" s="15"/>
      <c r="V260" s="15"/>
      <c r="W260" s="15"/>
      <c r="X260" s="15"/>
      <c r="Y260" s="15"/>
      <c r="Z260" s="15"/>
      <c r="AA260" s="15"/>
      <c r="AB260" s="15"/>
      <c r="AC260" s="15"/>
      <c r="AD260" s="15"/>
      <c r="AE260" s="15"/>
      <c r="AF260" s="15"/>
      <c r="AG260" s="15"/>
      <c r="AH260" s="15"/>
      <c r="AI260" s="285"/>
      <c r="AJ260" s="122"/>
      <c r="AK260" s="54"/>
      <c r="AL260" s="15"/>
      <c r="AM260" s="15"/>
      <c r="AN260" s="15"/>
      <c r="AO260" s="15"/>
      <c r="AP260" s="15"/>
      <c r="AQ260" s="15"/>
      <c r="AR260" s="15"/>
      <c r="AS260" s="15"/>
      <c r="AT260" s="15"/>
      <c r="AU260" s="15"/>
      <c r="AV260" s="15"/>
      <c r="AW260" s="15"/>
      <c r="AX260" s="15"/>
      <c r="AY260" s="15"/>
      <c r="AZ260" s="15"/>
    </row>
    <row r="261" ht="15.75" customHeight="1">
      <c r="A261" s="15"/>
      <c r="B261" s="15"/>
      <c r="C261" s="15"/>
      <c r="D261" s="15"/>
      <c r="E261" s="15"/>
      <c r="F261" s="15"/>
      <c r="G261" s="15"/>
      <c r="H261" s="15"/>
      <c r="I261" s="15"/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15"/>
      <c r="U261" s="15"/>
      <c r="V261" s="15"/>
      <c r="W261" s="15"/>
      <c r="X261" s="15"/>
      <c r="Y261" s="15"/>
      <c r="Z261" s="15"/>
      <c r="AA261" s="15"/>
      <c r="AB261" s="15"/>
      <c r="AC261" s="15"/>
      <c r="AD261" s="15"/>
      <c r="AE261" s="15"/>
      <c r="AF261" s="15"/>
      <c r="AG261" s="15"/>
      <c r="AH261" s="15"/>
      <c r="AI261" s="285"/>
      <c r="AJ261" s="122"/>
      <c r="AK261" s="54"/>
      <c r="AL261" s="15"/>
      <c r="AM261" s="15"/>
      <c r="AN261" s="15"/>
      <c r="AO261" s="15"/>
      <c r="AP261" s="15"/>
      <c r="AQ261" s="15"/>
      <c r="AR261" s="15"/>
      <c r="AS261" s="15"/>
      <c r="AT261" s="15"/>
      <c r="AU261" s="15"/>
      <c r="AV261" s="15"/>
      <c r="AW261" s="15"/>
      <c r="AX261" s="15"/>
      <c r="AY261" s="15"/>
      <c r="AZ261" s="15"/>
    </row>
    <row r="262" ht="15.75" customHeight="1">
      <c r="A262" s="15"/>
      <c r="B262" s="15"/>
      <c r="C262" s="15"/>
      <c r="D262" s="15"/>
      <c r="E262" s="15"/>
      <c r="F262" s="15"/>
      <c r="G262" s="15"/>
      <c r="H262" s="15"/>
      <c r="I262" s="15"/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15"/>
      <c r="U262" s="15"/>
      <c r="V262" s="15"/>
      <c r="W262" s="15"/>
      <c r="X262" s="15"/>
      <c r="Y262" s="15"/>
      <c r="Z262" s="15"/>
      <c r="AA262" s="15"/>
      <c r="AB262" s="15"/>
      <c r="AC262" s="15"/>
      <c r="AD262" s="15"/>
      <c r="AE262" s="15"/>
      <c r="AF262" s="15"/>
      <c r="AG262" s="15"/>
      <c r="AH262" s="15"/>
      <c r="AI262" s="285"/>
      <c r="AJ262" s="122"/>
      <c r="AK262" s="54"/>
      <c r="AL262" s="15"/>
      <c r="AM262" s="15"/>
      <c r="AN262" s="15"/>
      <c r="AO262" s="15"/>
      <c r="AP262" s="15"/>
      <c r="AQ262" s="15"/>
      <c r="AR262" s="15"/>
      <c r="AS262" s="15"/>
      <c r="AT262" s="15"/>
      <c r="AU262" s="15"/>
      <c r="AV262" s="15"/>
      <c r="AW262" s="15"/>
      <c r="AX262" s="15"/>
      <c r="AY262" s="15"/>
      <c r="AZ262" s="15"/>
    </row>
    <row r="263" ht="15.75" customHeight="1">
      <c r="A263" s="15"/>
      <c r="B263" s="15"/>
      <c r="C263" s="15"/>
      <c r="D263" s="15"/>
      <c r="E263" s="15"/>
      <c r="F263" s="15"/>
      <c r="G263" s="15"/>
      <c r="H263" s="15"/>
      <c r="I263" s="15"/>
      <c r="J263" s="15"/>
      <c r="K263" s="15"/>
      <c r="L263" s="15"/>
      <c r="M263" s="15"/>
      <c r="N263" s="15"/>
      <c r="O263" s="15"/>
      <c r="P263" s="15"/>
      <c r="Q263" s="15"/>
      <c r="R263" s="15"/>
      <c r="S263" s="15"/>
      <c r="T263" s="15"/>
      <c r="U263" s="15"/>
      <c r="V263" s="15"/>
      <c r="W263" s="15"/>
      <c r="X263" s="15"/>
      <c r="Y263" s="15"/>
      <c r="Z263" s="15"/>
      <c r="AA263" s="15"/>
      <c r="AB263" s="15"/>
      <c r="AC263" s="15"/>
      <c r="AD263" s="15"/>
      <c r="AE263" s="15"/>
      <c r="AF263" s="15"/>
      <c r="AG263" s="15"/>
      <c r="AH263" s="15"/>
      <c r="AI263" s="285"/>
      <c r="AJ263" s="122"/>
      <c r="AK263" s="54"/>
      <c r="AL263" s="15"/>
      <c r="AM263" s="15"/>
      <c r="AN263" s="15"/>
      <c r="AO263" s="15"/>
      <c r="AP263" s="15"/>
      <c r="AQ263" s="15"/>
      <c r="AR263" s="15"/>
      <c r="AS263" s="15"/>
      <c r="AT263" s="15"/>
      <c r="AU263" s="15"/>
      <c r="AV263" s="15"/>
      <c r="AW263" s="15"/>
      <c r="AX263" s="15"/>
      <c r="AY263" s="15"/>
      <c r="AZ263" s="15"/>
    </row>
    <row r="264" ht="15.75" customHeight="1">
      <c r="A264" s="15"/>
      <c r="B264" s="15"/>
      <c r="C264" s="15"/>
      <c r="D264" s="15"/>
      <c r="E264" s="15"/>
      <c r="F264" s="15"/>
      <c r="G264" s="15"/>
      <c r="H264" s="15"/>
      <c r="I264" s="15"/>
      <c r="J264" s="15"/>
      <c r="K264" s="15"/>
      <c r="L264" s="15"/>
      <c r="M264" s="15"/>
      <c r="N264" s="15"/>
      <c r="O264" s="15"/>
      <c r="P264" s="15"/>
      <c r="Q264" s="15"/>
      <c r="R264" s="15"/>
      <c r="S264" s="15"/>
      <c r="T264" s="15"/>
      <c r="U264" s="15"/>
      <c r="V264" s="15"/>
      <c r="W264" s="15"/>
      <c r="X264" s="15"/>
      <c r="Y264" s="15"/>
      <c r="Z264" s="15"/>
      <c r="AA264" s="15"/>
      <c r="AB264" s="15"/>
      <c r="AC264" s="15"/>
      <c r="AD264" s="15"/>
      <c r="AE264" s="15"/>
      <c r="AF264" s="15"/>
      <c r="AG264" s="15"/>
      <c r="AH264" s="15"/>
      <c r="AI264" s="285"/>
      <c r="AJ264" s="122"/>
      <c r="AK264" s="54"/>
      <c r="AL264" s="15"/>
      <c r="AM264" s="15"/>
      <c r="AN264" s="15"/>
      <c r="AO264" s="15"/>
      <c r="AP264" s="15"/>
      <c r="AQ264" s="15"/>
      <c r="AR264" s="15"/>
      <c r="AS264" s="15"/>
      <c r="AT264" s="15"/>
      <c r="AU264" s="15"/>
      <c r="AV264" s="15"/>
      <c r="AW264" s="15"/>
      <c r="AX264" s="15"/>
      <c r="AY264" s="15"/>
      <c r="AZ264" s="15"/>
    </row>
    <row r="265" ht="15.75" customHeight="1">
      <c r="A265" s="15"/>
      <c r="B265" s="15"/>
      <c r="C265" s="15"/>
      <c r="D265" s="15"/>
      <c r="E265" s="15"/>
      <c r="F265" s="15"/>
      <c r="G265" s="15"/>
      <c r="H265" s="15"/>
      <c r="I265" s="15"/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U265" s="15"/>
      <c r="V265" s="15"/>
      <c r="W265" s="15"/>
      <c r="X265" s="15"/>
      <c r="Y265" s="15"/>
      <c r="Z265" s="15"/>
      <c r="AA265" s="15"/>
      <c r="AB265" s="15"/>
      <c r="AC265" s="15"/>
      <c r="AD265" s="15"/>
      <c r="AE265" s="15"/>
      <c r="AF265" s="15"/>
      <c r="AG265" s="15"/>
      <c r="AH265" s="15"/>
      <c r="AI265" s="285"/>
      <c r="AJ265" s="122"/>
      <c r="AK265" s="54"/>
      <c r="AL265" s="15"/>
      <c r="AM265" s="15"/>
      <c r="AN265" s="15"/>
      <c r="AO265" s="15"/>
      <c r="AP265" s="15"/>
      <c r="AQ265" s="15"/>
      <c r="AR265" s="15"/>
      <c r="AS265" s="15"/>
      <c r="AT265" s="15"/>
      <c r="AU265" s="15"/>
      <c r="AV265" s="15"/>
      <c r="AW265" s="15"/>
      <c r="AX265" s="15"/>
      <c r="AY265" s="15"/>
      <c r="AZ265" s="15"/>
    </row>
    <row r="266" ht="15.75" customHeight="1">
      <c r="A266" s="15"/>
      <c r="B266" s="15"/>
      <c r="C266" s="15"/>
      <c r="D266" s="15"/>
      <c r="E266" s="15"/>
      <c r="F266" s="15"/>
      <c r="G266" s="15"/>
      <c r="H266" s="15"/>
      <c r="I266" s="15"/>
      <c r="J266" s="15"/>
      <c r="K266" s="15"/>
      <c r="L266" s="15"/>
      <c r="M266" s="15"/>
      <c r="N266" s="15"/>
      <c r="O266" s="15"/>
      <c r="P266" s="15"/>
      <c r="Q266" s="15"/>
      <c r="R266" s="15"/>
      <c r="S266" s="15"/>
      <c r="T266" s="15"/>
      <c r="U266" s="15"/>
      <c r="V266" s="15"/>
      <c r="W266" s="15"/>
      <c r="X266" s="15"/>
      <c r="Y266" s="15"/>
      <c r="Z266" s="15"/>
      <c r="AA266" s="15"/>
      <c r="AB266" s="15"/>
      <c r="AC266" s="15"/>
      <c r="AD266" s="15"/>
      <c r="AE266" s="15"/>
      <c r="AF266" s="15"/>
      <c r="AG266" s="15"/>
      <c r="AH266" s="15"/>
      <c r="AI266" s="285"/>
      <c r="AJ266" s="122"/>
      <c r="AK266" s="54"/>
      <c r="AL266" s="15"/>
      <c r="AM266" s="15"/>
      <c r="AN266" s="15"/>
      <c r="AO266" s="15"/>
      <c r="AP266" s="15"/>
      <c r="AQ266" s="15"/>
      <c r="AR266" s="15"/>
      <c r="AS266" s="15"/>
      <c r="AT266" s="15"/>
      <c r="AU266" s="15"/>
      <c r="AV266" s="15"/>
      <c r="AW266" s="15"/>
      <c r="AX266" s="15"/>
      <c r="AY266" s="15"/>
      <c r="AZ266" s="15"/>
    </row>
    <row r="267" ht="15.75" customHeight="1">
      <c r="A267" s="15"/>
      <c r="B267" s="15"/>
      <c r="C267" s="15"/>
      <c r="D267" s="15"/>
      <c r="E267" s="15"/>
      <c r="F267" s="15"/>
      <c r="G267" s="15"/>
      <c r="H267" s="15"/>
      <c r="I267" s="15"/>
      <c r="J267" s="15"/>
      <c r="K267" s="15"/>
      <c r="L267" s="15"/>
      <c r="M267" s="15"/>
      <c r="N267" s="15"/>
      <c r="O267" s="15"/>
      <c r="P267" s="15"/>
      <c r="Q267" s="15"/>
      <c r="R267" s="15"/>
      <c r="S267" s="15"/>
      <c r="T267" s="15"/>
      <c r="U267" s="15"/>
      <c r="V267" s="15"/>
      <c r="W267" s="15"/>
      <c r="X267" s="15"/>
      <c r="Y267" s="15"/>
      <c r="Z267" s="15"/>
      <c r="AA267" s="15"/>
      <c r="AB267" s="15"/>
      <c r="AC267" s="15"/>
      <c r="AD267" s="15"/>
      <c r="AE267" s="15"/>
      <c r="AF267" s="15"/>
      <c r="AG267" s="15"/>
      <c r="AH267" s="15"/>
      <c r="AI267" s="285"/>
      <c r="AJ267" s="122"/>
      <c r="AK267" s="54"/>
      <c r="AL267" s="15"/>
      <c r="AM267" s="15"/>
      <c r="AN267" s="15"/>
      <c r="AO267" s="15"/>
      <c r="AP267" s="15"/>
      <c r="AQ267" s="15"/>
      <c r="AR267" s="15"/>
      <c r="AS267" s="15"/>
      <c r="AT267" s="15"/>
      <c r="AU267" s="15"/>
      <c r="AV267" s="15"/>
      <c r="AW267" s="15"/>
      <c r="AX267" s="15"/>
      <c r="AY267" s="15"/>
      <c r="AZ267" s="15"/>
    </row>
    <row r="268" ht="15.75" customHeight="1">
      <c r="A268" s="15"/>
      <c r="B268" s="15"/>
      <c r="C268" s="15"/>
      <c r="D268" s="15"/>
      <c r="E268" s="15"/>
      <c r="F268" s="15"/>
      <c r="G268" s="15"/>
      <c r="H268" s="15"/>
      <c r="I268" s="15"/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15"/>
      <c r="U268" s="15"/>
      <c r="V268" s="15"/>
      <c r="W268" s="15"/>
      <c r="X268" s="15"/>
      <c r="Y268" s="15"/>
      <c r="Z268" s="15"/>
      <c r="AA268" s="15"/>
      <c r="AB268" s="15"/>
      <c r="AC268" s="15"/>
      <c r="AD268" s="15"/>
      <c r="AE268" s="15"/>
      <c r="AF268" s="15"/>
      <c r="AG268" s="15"/>
      <c r="AH268" s="15"/>
      <c r="AI268" s="285"/>
      <c r="AJ268" s="122"/>
      <c r="AK268" s="54"/>
      <c r="AL268" s="15"/>
      <c r="AM268" s="15"/>
      <c r="AN268" s="15"/>
      <c r="AO268" s="15"/>
      <c r="AP268" s="15"/>
      <c r="AQ268" s="15"/>
      <c r="AR268" s="15"/>
      <c r="AS268" s="15"/>
      <c r="AT268" s="15"/>
      <c r="AU268" s="15"/>
      <c r="AV268" s="15"/>
      <c r="AW268" s="15"/>
      <c r="AX268" s="15"/>
      <c r="AY268" s="15"/>
      <c r="AZ268" s="15"/>
    </row>
    <row r="269" ht="15.75" customHeight="1">
      <c r="A269" s="15"/>
      <c r="B269" s="15"/>
      <c r="C269" s="15"/>
      <c r="D269" s="15"/>
      <c r="E269" s="15"/>
      <c r="F269" s="15"/>
      <c r="G269" s="15"/>
      <c r="H269" s="15"/>
      <c r="I269" s="15"/>
      <c r="J269" s="15"/>
      <c r="K269" s="15"/>
      <c r="L269" s="15"/>
      <c r="M269" s="15"/>
      <c r="N269" s="15"/>
      <c r="O269" s="15"/>
      <c r="P269" s="15"/>
      <c r="Q269" s="15"/>
      <c r="R269" s="15"/>
      <c r="S269" s="15"/>
      <c r="T269" s="15"/>
      <c r="U269" s="15"/>
      <c r="V269" s="15"/>
      <c r="W269" s="15"/>
      <c r="X269" s="15"/>
      <c r="Y269" s="15"/>
      <c r="Z269" s="15"/>
      <c r="AA269" s="15"/>
      <c r="AB269" s="15"/>
      <c r="AC269" s="15"/>
      <c r="AD269" s="15"/>
      <c r="AE269" s="15"/>
      <c r="AF269" s="15"/>
      <c r="AG269" s="15"/>
      <c r="AH269" s="15"/>
      <c r="AI269" s="285"/>
      <c r="AJ269" s="122"/>
      <c r="AK269" s="54"/>
      <c r="AL269" s="15"/>
      <c r="AM269" s="15"/>
      <c r="AN269" s="15"/>
      <c r="AO269" s="15"/>
      <c r="AP269" s="15"/>
      <c r="AQ269" s="15"/>
      <c r="AR269" s="15"/>
      <c r="AS269" s="15"/>
      <c r="AT269" s="15"/>
      <c r="AU269" s="15"/>
      <c r="AV269" s="15"/>
      <c r="AW269" s="15"/>
      <c r="AX269" s="15"/>
      <c r="AY269" s="15"/>
      <c r="AZ269" s="15"/>
    </row>
    <row r="270" ht="15.75" customHeight="1">
      <c r="A270" s="15"/>
      <c r="B270" s="15"/>
      <c r="C270" s="15"/>
      <c r="D270" s="15"/>
      <c r="E270" s="15"/>
      <c r="F270" s="15"/>
      <c r="G270" s="15"/>
      <c r="H270" s="15"/>
      <c r="I270" s="15"/>
      <c r="J270" s="15"/>
      <c r="K270" s="15"/>
      <c r="L270" s="15"/>
      <c r="M270" s="15"/>
      <c r="N270" s="15"/>
      <c r="O270" s="15"/>
      <c r="P270" s="15"/>
      <c r="Q270" s="15"/>
      <c r="R270" s="15"/>
      <c r="S270" s="15"/>
      <c r="T270" s="15"/>
      <c r="U270" s="15"/>
      <c r="V270" s="15"/>
      <c r="W270" s="15"/>
      <c r="X270" s="15"/>
      <c r="Y270" s="15"/>
      <c r="Z270" s="15"/>
      <c r="AA270" s="15"/>
      <c r="AB270" s="15"/>
      <c r="AC270" s="15"/>
      <c r="AD270" s="15"/>
      <c r="AE270" s="15"/>
      <c r="AF270" s="15"/>
      <c r="AG270" s="15"/>
      <c r="AH270" s="15"/>
      <c r="AI270" s="285"/>
      <c r="AJ270" s="122"/>
      <c r="AK270" s="54"/>
      <c r="AL270" s="15"/>
      <c r="AM270" s="15"/>
      <c r="AN270" s="15"/>
      <c r="AO270" s="15"/>
      <c r="AP270" s="15"/>
      <c r="AQ270" s="15"/>
      <c r="AR270" s="15"/>
      <c r="AS270" s="15"/>
      <c r="AT270" s="15"/>
      <c r="AU270" s="15"/>
      <c r="AV270" s="15"/>
      <c r="AW270" s="15"/>
      <c r="AX270" s="15"/>
      <c r="AY270" s="15"/>
      <c r="AZ270" s="15"/>
    </row>
    <row r="271" ht="15.75" customHeight="1">
      <c r="A271" s="15"/>
      <c r="B271" s="15"/>
      <c r="C271" s="15"/>
      <c r="D271" s="15"/>
      <c r="E271" s="15"/>
      <c r="F271" s="15"/>
      <c r="G271" s="15"/>
      <c r="H271" s="15"/>
      <c r="I271" s="15"/>
      <c r="J271" s="15"/>
      <c r="K271" s="15"/>
      <c r="L271" s="15"/>
      <c r="M271" s="15"/>
      <c r="N271" s="15"/>
      <c r="O271" s="15"/>
      <c r="P271" s="15"/>
      <c r="Q271" s="15"/>
      <c r="R271" s="15"/>
      <c r="S271" s="15"/>
      <c r="T271" s="15"/>
      <c r="U271" s="15"/>
      <c r="V271" s="15"/>
      <c r="W271" s="15"/>
      <c r="X271" s="15"/>
      <c r="Y271" s="15"/>
      <c r="Z271" s="15"/>
      <c r="AA271" s="15"/>
      <c r="AB271" s="15"/>
      <c r="AC271" s="15"/>
      <c r="AD271" s="15"/>
      <c r="AE271" s="15"/>
      <c r="AF271" s="15"/>
      <c r="AG271" s="15"/>
      <c r="AH271" s="15"/>
      <c r="AI271" s="285"/>
      <c r="AJ271" s="122"/>
      <c r="AK271" s="54"/>
      <c r="AL271" s="15"/>
      <c r="AM271" s="15"/>
      <c r="AN271" s="15"/>
      <c r="AO271" s="15"/>
      <c r="AP271" s="15"/>
      <c r="AQ271" s="15"/>
      <c r="AR271" s="15"/>
      <c r="AS271" s="15"/>
      <c r="AT271" s="15"/>
      <c r="AU271" s="15"/>
      <c r="AV271" s="15"/>
      <c r="AW271" s="15"/>
      <c r="AX271" s="15"/>
      <c r="AY271" s="15"/>
      <c r="AZ271" s="15"/>
    </row>
    <row r="272" ht="15.75" customHeight="1">
      <c r="A272" s="15"/>
      <c r="B272" s="15"/>
      <c r="C272" s="15"/>
      <c r="D272" s="15"/>
      <c r="E272" s="15"/>
      <c r="F272" s="15"/>
      <c r="G272" s="15"/>
      <c r="H272" s="15"/>
      <c r="I272" s="15"/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15"/>
      <c r="U272" s="15"/>
      <c r="V272" s="15"/>
      <c r="W272" s="15"/>
      <c r="X272" s="15"/>
      <c r="Y272" s="15"/>
      <c r="Z272" s="15"/>
      <c r="AA272" s="15"/>
      <c r="AB272" s="15"/>
      <c r="AC272" s="15"/>
      <c r="AD272" s="15"/>
      <c r="AE272" s="15"/>
      <c r="AF272" s="15"/>
      <c r="AG272" s="15"/>
      <c r="AH272" s="15"/>
      <c r="AI272" s="285"/>
      <c r="AJ272" s="122"/>
      <c r="AK272" s="54"/>
      <c r="AL272" s="15"/>
      <c r="AM272" s="15"/>
      <c r="AN272" s="15"/>
      <c r="AO272" s="15"/>
      <c r="AP272" s="15"/>
      <c r="AQ272" s="15"/>
      <c r="AR272" s="15"/>
      <c r="AS272" s="15"/>
      <c r="AT272" s="15"/>
      <c r="AU272" s="15"/>
      <c r="AV272" s="15"/>
      <c r="AW272" s="15"/>
      <c r="AX272" s="15"/>
      <c r="AY272" s="15"/>
      <c r="AZ272" s="15"/>
    </row>
    <row r="273" ht="15.75" customHeight="1">
      <c r="A273" s="15"/>
      <c r="B273" s="15"/>
      <c r="C273" s="15"/>
      <c r="D273" s="15"/>
      <c r="E273" s="15"/>
      <c r="F273" s="15"/>
      <c r="G273" s="15"/>
      <c r="H273" s="15"/>
      <c r="I273" s="15"/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15"/>
      <c r="U273" s="15"/>
      <c r="V273" s="15"/>
      <c r="W273" s="15"/>
      <c r="X273" s="15"/>
      <c r="Y273" s="15"/>
      <c r="Z273" s="15"/>
      <c r="AA273" s="15"/>
      <c r="AB273" s="15"/>
      <c r="AC273" s="15"/>
      <c r="AD273" s="15"/>
      <c r="AE273" s="15"/>
      <c r="AF273" s="15"/>
      <c r="AG273" s="15"/>
      <c r="AH273" s="15"/>
      <c r="AI273" s="285"/>
      <c r="AJ273" s="122"/>
      <c r="AK273" s="54"/>
      <c r="AL273" s="15"/>
      <c r="AM273" s="15"/>
      <c r="AN273" s="15"/>
      <c r="AO273" s="15"/>
      <c r="AP273" s="15"/>
      <c r="AQ273" s="15"/>
      <c r="AR273" s="15"/>
      <c r="AS273" s="15"/>
      <c r="AT273" s="15"/>
      <c r="AU273" s="15"/>
      <c r="AV273" s="15"/>
      <c r="AW273" s="15"/>
      <c r="AX273" s="15"/>
      <c r="AY273" s="15"/>
      <c r="AZ273" s="15"/>
    </row>
    <row r="274" ht="15.75" customHeight="1">
      <c r="A274" s="15"/>
      <c r="B274" s="15"/>
      <c r="C274" s="15"/>
      <c r="D274" s="15"/>
      <c r="E274" s="15"/>
      <c r="F274" s="15"/>
      <c r="G274" s="15"/>
      <c r="H274" s="15"/>
      <c r="I274" s="15"/>
      <c r="J274" s="15"/>
      <c r="K274" s="15"/>
      <c r="L274" s="15"/>
      <c r="M274" s="15"/>
      <c r="N274" s="15"/>
      <c r="O274" s="15"/>
      <c r="P274" s="15"/>
      <c r="Q274" s="15"/>
      <c r="R274" s="15"/>
      <c r="S274" s="15"/>
      <c r="T274" s="15"/>
      <c r="U274" s="15"/>
      <c r="V274" s="15"/>
      <c r="W274" s="15"/>
      <c r="X274" s="15"/>
      <c r="Y274" s="15"/>
      <c r="Z274" s="15"/>
      <c r="AA274" s="15"/>
      <c r="AB274" s="15"/>
      <c r="AC274" s="15"/>
      <c r="AD274" s="15"/>
      <c r="AE274" s="15"/>
      <c r="AF274" s="15"/>
      <c r="AG274" s="15"/>
      <c r="AH274" s="15"/>
      <c r="AI274" s="285"/>
      <c r="AJ274" s="122"/>
      <c r="AK274" s="54"/>
      <c r="AL274" s="15"/>
      <c r="AM274" s="15"/>
      <c r="AN274" s="15"/>
      <c r="AO274" s="15"/>
      <c r="AP274" s="15"/>
      <c r="AQ274" s="15"/>
      <c r="AR274" s="15"/>
      <c r="AS274" s="15"/>
      <c r="AT274" s="15"/>
      <c r="AU274" s="15"/>
      <c r="AV274" s="15"/>
      <c r="AW274" s="15"/>
      <c r="AX274" s="15"/>
      <c r="AY274" s="15"/>
      <c r="AZ274" s="15"/>
    </row>
    <row r="275" ht="15.75" customHeight="1">
      <c r="A275" s="15"/>
      <c r="B275" s="15"/>
      <c r="C275" s="15"/>
      <c r="D275" s="15"/>
      <c r="E275" s="15"/>
      <c r="F275" s="15"/>
      <c r="G275" s="15"/>
      <c r="H275" s="15"/>
      <c r="I275" s="15"/>
      <c r="J275" s="15"/>
      <c r="K275" s="15"/>
      <c r="L275" s="15"/>
      <c r="M275" s="15"/>
      <c r="N275" s="15"/>
      <c r="O275" s="15"/>
      <c r="P275" s="15"/>
      <c r="Q275" s="15"/>
      <c r="R275" s="15"/>
      <c r="S275" s="15"/>
      <c r="T275" s="15"/>
      <c r="U275" s="15"/>
      <c r="V275" s="15"/>
      <c r="W275" s="15"/>
      <c r="X275" s="15"/>
      <c r="Y275" s="15"/>
      <c r="Z275" s="15"/>
      <c r="AA275" s="15"/>
      <c r="AB275" s="15"/>
      <c r="AC275" s="15"/>
      <c r="AD275" s="15"/>
      <c r="AE275" s="15"/>
      <c r="AF275" s="15"/>
      <c r="AG275" s="15"/>
      <c r="AH275" s="15"/>
      <c r="AI275" s="285"/>
      <c r="AJ275" s="122"/>
      <c r="AK275" s="54"/>
      <c r="AL275" s="15"/>
      <c r="AM275" s="15"/>
      <c r="AN275" s="15"/>
      <c r="AO275" s="15"/>
      <c r="AP275" s="15"/>
      <c r="AQ275" s="15"/>
      <c r="AR275" s="15"/>
      <c r="AS275" s="15"/>
      <c r="AT275" s="15"/>
      <c r="AU275" s="15"/>
      <c r="AV275" s="15"/>
      <c r="AW275" s="15"/>
      <c r="AX275" s="15"/>
      <c r="AY275" s="15"/>
      <c r="AZ275" s="15"/>
    </row>
    <row r="276" ht="15.75" customHeight="1">
      <c r="A276" s="15"/>
      <c r="B276" s="15"/>
      <c r="C276" s="15"/>
      <c r="D276" s="15"/>
      <c r="E276" s="15"/>
      <c r="F276" s="15"/>
      <c r="G276" s="15"/>
      <c r="H276" s="15"/>
      <c r="I276" s="15"/>
      <c r="J276" s="15"/>
      <c r="K276" s="15"/>
      <c r="L276" s="15"/>
      <c r="M276" s="15"/>
      <c r="N276" s="15"/>
      <c r="O276" s="15"/>
      <c r="P276" s="15"/>
      <c r="Q276" s="15"/>
      <c r="R276" s="15"/>
      <c r="S276" s="15"/>
      <c r="T276" s="15"/>
      <c r="U276" s="15"/>
      <c r="V276" s="15"/>
      <c r="W276" s="15"/>
      <c r="X276" s="15"/>
      <c r="Y276" s="15"/>
      <c r="Z276" s="15"/>
      <c r="AA276" s="15"/>
      <c r="AB276" s="15"/>
      <c r="AC276" s="15"/>
      <c r="AD276" s="15"/>
      <c r="AE276" s="15"/>
      <c r="AF276" s="15"/>
      <c r="AG276" s="15"/>
      <c r="AH276" s="15"/>
      <c r="AI276" s="285"/>
      <c r="AJ276" s="122"/>
      <c r="AK276" s="54"/>
      <c r="AL276" s="15"/>
      <c r="AM276" s="15"/>
      <c r="AN276" s="15"/>
      <c r="AO276" s="15"/>
      <c r="AP276" s="15"/>
      <c r="AQ276" s="15"/>
      <c r="AR276" s="15"/>
      <c r="AS276" s="15"/>
      <c r="AT276" s="15"/>
      <c r="AU276" s="15"/>
      <c r="AV276" s="15"/>
      <c r="AW276" s="15"/>
      <c r="AX276" s="15"/>
      <c r="AY276" s="15"/>
      <c r="AZ276" s="15"/>
    </row>
    <row r="277" ht="15.75" customHeight="1">
      <c r="A277" s="15"/>
      <c r="B277" s="15"/>
      <c r="C277" s="15"/>
      <c r="D277" s="15"/>
      <c r="E277" s="15"/>
      <c r="F277" s="15"/>
      <c r="G277" s="15"/>
      <c r="H277" s="15"/>
      <c r="I277" s="15"/>
      <c r="J277" s="15"/>
      <c r="K277" s="15"/>
      <c r="L277" s="15"/>
      <c r="M277" s="15"/>
      <c r="N277" s="15"/>
      <c r="O277" s="15"/>
      <c r="P277" s="15"/>
      <c r="Q277" s="15"/>
      <c r="R277" s="15"/>
      <c r="S277" s="15"/>
      <c r="T277" s="15"/>
      <c r="U277" s="15"/>
      <c r="V277" s="15"/>
      <c r="W277" s="15"/>
      <c r="X277" s="15"/>
      <c r="Y277" s="15"/>
      <c r="Z277" s="15"/>
      <c r="AA277" s="15"/>
      <c r="AB277" s="15"/>
      <c r="AC277" s="15"/>
      <c r="AD277" s="15"/>
      <c r="AE277" s="15"/>
      <c r="AF277" s="15"/>
      <c r="AG277" s="15"/>
      <c r="AH277" s="15"/>
      <c r="AI277" s="285"/>
      <c r="AJ277" s="122"/>
      <c r="AK277" s="54"/>
      <c r="AL277" s="15"/>
      <c r="AM277" s="15"/>
      <c r="AN277" s="15"/>
      <c r="AO277" s="15"/>
      <c r="AP277" s="15"/>
      <c r="AQ277" s="15"/>
      <c r="AR277" s="15"/>
      <c r="AS277" s="15"/>
      <c r="AT277" s="15"/>
      <c r="AU277" s="15"/>
      <c r="AV277" s="15"/>
      <c r="AW277" s="15"/>
      <c r="AX277" s="15"/>
      <c r="AY277" s="15"/>
      <c r="AZ277" s="15"/>
    </row>
    <row r="278" ht="15.75" customHeight="1">
      <c r="A278" s="15"/>
      <c r="B278" s="15"/>
      <c r="C278" s="15"/>
      <c r="D278" s="15"/>
      <c r="E278" s="15"/>
      <c r="F278" s="15"/>
      <c r="G278" s="15"/>
      <c r="H278" s="15"/>
      <c r="I278" s="15"/>
      <c r="J278" s="15"/>
      <c r="K278" s="15"/>
      <c r="L278" s="15"/>
      <c r="M278" s="15"/>
      <c r="N278" s="15"/>
      <c r="O278" s="15"/>
      <c r="P278" s="15"/>
      <c r="Q278" s="15"/>
      <c r="R278" s="15"/>
      <c r="S278" s="15"/>
      <c r="T278" s="15"/>
      <c r="U278" s="15"/>
      <c r="V278" s="15"/>
      <c r="W278" s="15"/>
      <c r="X278" s="15"/>
      <c r="Y278" s="15"/>
      <c r="Z278" s="15"/>
      <c r="AA278" s="15"/>
      <c r="AB278" s="15"/>
      <c r="AC278" s="15"/>
      <c r="AD278" s="15"/>
      <c r="AE278" s="15"/>
      <c r="AF278" s="15"/>
      <c r="AG278" s="15"/>
      <c r="AH278" s="15"/>
      <c r="AI278" s="285"/>
      <c r="AJ278" s="122"/>
      <c r="AK278" s="54"/>
      <c r="AL278" s="15"/>
      <c r="AM278" s="15"/>
      <c r="AN278" s="15"/>
      <c r="AO278" s="15"/>
      <c r="AP278" s="15"/>
      <c r="AQ278" s="15"/>
      <c r="AR278" s="15"/>
      <c r="AS278" s="15"/>
      <c r="AT278" s="15"/>
      <c r="AU278" s="15"/>
      <c r="AV278" s="15"/>
      <c r="AW278" s="15"/>
      <c r="AX278" s="15"/>
      <c r="AY278" s="15"/>
      <c r="AZ278" s="15"/>
    </row>
    <row r="279" ht="15.75" customHeight="1">
      <c r="A279" s="15"/>
      <c r="B279" s="15"/>
      <c r="C279" s="15"/>
      <c r="D279" s="15"/>
      <c r="E279" s="15"/>
      <c r="F279" s="15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  <c r="AE279" s="15"/>
      <c r="AF279" s="15"/>
      <c r="AG279" s="15"/>
      <c r="AH279" s="15"/>
      <c r="AI279" s="285"/>
      <c r="AJ279" s="122"/>
      <c r="AK279" s="54"/>
      <c r="AL279" s="15"/>
      <c r="AM279" s="15"/>
      <c r="AN279" s="15"/>
      <c r="AO279" s="15"/>
      <c r="AP279" s="15"/>
      <c r="AQ279" s="15"/>
      <c r="AR279" s="15"/>
      <c r="AS279" s="15"/>
      <c r="AT279" s="15"/>
      <c r="AU279" s="15"/>
      <c r="AV279" s="15"/>
      <c r="AW279" s="15"/>
      <c r="AX279" s="15"/>
      <c r="AY279" s="15"/>
      <c r="AZ279" s="15"/>
    </row>
    <row r="280" ht="15.75" customHeight="1">
      <c r="A280" s="15"/>
      <c r="B280" s="15"/>
      <c r="C280" s="15"/>
      <c r="D280" s="15"/>
      <c r="E280" s="15"/>
      <c r="F280" s="15"/>
      <c r="G280" s="15"/>
      <c r="H280" s="15"/>
      <c r="I280" s="15"/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15"/>
      <c r="U280" s="15"/>
      <c r="V280" s="15"/>
      <c r="W280" s="15"/>
      <c r="X280" s="15"/>
      <c r="Y280" s="15"/>
      <c r="Z280" s="15"/>
      <c r="AA280" s="15"/>
      <c r="AB280" s="15"/>
      <c r="AC280" s="15"/>
      <c r="AD280" s="15"/>
      <c r="AE280" s="15"/>
      <c r="AF280" s="15"/>
      <c r="AG280" s="15"/>
      <c r="AH280" s="15"/>
      <c r="AI280" s="285"/>
      <c r="AJ280" s="122"/>
      <c r="AK280" s="54"/>
      <c r="AL280" s="15"/>
      <c r="AM280" s="15"/>
      <c r="AN280" s="15"/>
      <c r="AO280" s="15"/>
      <c r="AP280" s="15"/>
      <c r="AQ280" s="15"/>
      <c r="AR280" s="15"/>
      <c r="AS280" s="15"/>
      <c r="AT280" s="15"/>
      <c r="AU280" s="15"/>
      <c r="AV280" s="15"/>
      <c r="AW280" s="15"/>
      <c r="AX280" s="15"/>
      <c r="AY280" s="15"/>
      <c r="AZ280" s="15"/>
    </row>
    <row r="281" ht="15.75" customHeight="1">
      <c r="A281" s="15"/>
      <c r="B281" s="15"/>
      <c r="C281" s="15"/>
      <c r="D281" s="15"/>
      <c r="E281" s="15"/>
      <c r="F281" s="15"/>
      <c r="G281" s="15"/>
      <c r="H281" s="15"/>
      <c r="I281" s="15"/>
      <c r="J281" s="15"/>
      <c r="K281" s="15"/>
      <c r="L281" s="15"/>
      <c r="M281" s="15"/>
      <c r="N281" s="15"/>
      <c r="O281" s="15"/>
      <c r="P281" s="15"/>
      <c r="Q281" s="15"/>
      <c r="R281" s="15"/>
      <c r="S281" s="15"/>
      <c r="T281" s="15"/>
      <c r="U281" s="15"/>
      <c r="V281" s="15"/>
      <c r="W281" s="15"/>
      <c r="X281" s="15"/>
      <c r="Y281" s="15"/>
      <c r="Z281" s="15"/>
      <c r="AA281" s="15"/>
      <c r="AB281" s="15"/>
      <c r="AC281" s="15"/>
      <c r="AD281" s="15"/>
      <c r="AE281" s="15"/>
      <c r="AF281" s="15"/>
      <c r="AG281" s="15"/>
      <c r="AH281" s="15"/>
      <c r="AI281" s="285"/>
      <c r="AJ281" s="122"/>
      <c r="AK281" s="54"/>
      <c r="AL281" s="15"/>
      <c r="AM281" s="15"/>
      <c r="AN281" s="15"/>
      <c r="AO281" s="15"/>
      <c r="AP281" s="15"/>
      <c r="AQ281" s="15"/>
      <c r="AR281" s="15"/>
      <c r="AS281" s="15"/>
      <c r="AT281" s="15"/>
      <c r="AU281" s="15"/>
      <c r="AV281" s="15"/>
      <c r="AW281" s="15"/>
      <c r="AX281" s="15"/>
      <c r="AY281" s="15"/>
      <c r="AZ281" s="15"/>
    </row>
    <row r="282" ht="15.75" customHeight="1">
      <c r="A282" s="15"/>
      <c r="B282" s="15"/>
      <c r="C282" s="15"/>
      <c r="D282" s="15"/>
      <c r="E282" s="15"/>
      <c r="F282" s="15"/>
      <c r="G282" s="15"/>
      <c r="H282" s="15"/>
      <c r="I282" s="15"/>
      <c r="J282" s="15"/>
      <c r="K282" s="15"/>
      <c r="L282" s="15"/>
      <c r="M282" s="15"/>
      <c r="N282" s="15"/>
      <c r="O282" s="15"/>
      <c r="P282" s="15"/>
      <c r="Q282" s="15"/>
      <c r="R282" s="15"/>
      <c r="S282" s="15"/>
      <c r="T282" s="15"/>
      <c r="U282" s="15"/>
      <c r="V282" s="15"/>
      <c r="W282" s="15"/>
      <c r="X282" s="15"/>
      <c r="Y282" s="15"/>
      <c r="Z282" s="15"/>
      <c r="AA282" s="15"/>
      <c r="AB282" s="15"/>
      <c r="AC282" s="15"/>
      <c r="AD282" s="15"/>
      <c r="AE282" s="15"/>
      <c r="AF282" s="15"/>
      <c r="AG282" s="15"/>
      <c r="AH282" s="15"/>
      <c r="AI282" s="285"/>
      <c r="AJ282" s="122"/>
      <c r="AK282" s="54"/>
      <c r="AL282" s="15"/>
      <c r="AM282" s="15"/>
      <c r="AN282" s="15"/>
      <c r="AO282" s="15"/>
      <c r="AP282" s="15"/>
      <c r="AQ282" s="15"/>
      <c r="AR282" s="15"/>
      <c r="AS282" s="15"/>
      <c r="AT282" s="15"/>
      <c r="AU282" s="15"/>
      <c r="AV282" s="15"/>
      <c r="AW282" s="15"/>
      <c r="AX282" s="15"/>
      <c r="AY282" s="15"/>
      <c r="AZ282" s="15"/>
    </row>
    <row r="283" ht="15.75" customHeight="1">
      <c r="A283" s="15"/>
      <c r="B283" s="15"/>
      <c r="C283" s="15"/>
      <c r="D283" s="15"/>
      <c r="E283" s="15"/>
      <c r="F283" s="15"/>
      <c r="G283" s="15"/>
      <c r="H283" s="15"/>
      <c r="I283" s="15"/>
      <c r="J283" s="15"/>
      <c r="K283" s="15"/>
      <c r="L283" s="15"/>
      <c r="M283" s="15"/>
      <c r="N283" s="15"/>
      <c r="O283" s="15"/>
      <c r="P283" s="15"/>
      <c r="Q283" s="15"/>
      <c r="R283" s="15"/>
      <c r="S283" s="15"/>
      <c r="T283" s="15"/>
      <c r="U283" s="15"/>
      <c r="V283" s="15"/>
      <c r="W283" s="15"/>
      <c r="X283" s="15"/>
      <c r="Y283" s="15"/>
      <c r="Z283" s="15"/>
      <c r="AA283" s="15"/>
      <c r="AB283" s="15"/>
      <c r="AC283" s="15"/>
      <c r="AD283" s="15"/>
      <c r="AE283" s="15"/>
      <c r="AF283" s="15"/>
      <c r="AG283" s="15"/>
      <c r="AH283" s="15"/>
      <c r="AI283" s="285"/>
      <c r="AJ283" s="122"/>
      <c r="AK283" s="54"/>
      <c r="AL283" s="15"/>
      <c r="AM283" s="15"/>
      <c r="AN283" s="15"/>
      <c r="AO283" s="15"/>
      <c r="AP283" s="15"/>
      <c r="AQ283" s="15"/>
      <c r="AR283" s="15"/>
      <c r="AS283" s="15"/>
      <c r="AT283" s="15"/>
      <c r="AU283" s="15"/>
      <c r="AV283" s="15"/>
      <c r="AW283" s="15"/>
      <c r="AX283" s="15"/>
      <c r="AY283" s="15"/>
      <c r="AZ283" s="15"/>
    </row>
    <row r="284" ht="15.75" customHeight="1">
      <c r="A284" s="15"/>
      <c r="B284" s="15"/>
      <c r="C284" s="15"/>
      <c r="D284" s="15"/>
      <c r="E284" s="15"/>
      <c r="F284" s="15"/>
      <c r="G284" s="15"/>
      <c r="H284" s="15"/>
      <c r="I284" s="15"/>
      <c r="J284" s="15"/>
      <c r="K284" s="15"/>
      <c r="L284" s="15"/>
      <c r="M284" s="15"/>
      <c r="N284" s="15"/>
      <c r="O284" s="15"/>
      <c r="P284" s="15"/>
      <c r="Q284" s="15"/>
      <c r="R284" s="15"/>
      <c r="S284" s="15"/>
      <c r="T284" s="15"/>
      <c r="U284" s="15"/>
      <c r="V284" s="15"/>
      <c r="W284" s="15"/>
      <c r="X284" s="15"/>
      <c r="Y284" s="15"/>
      <c r="Z284" s="15"/>
      <c r="AA284" s="15"/>
      <c r="AB284" s="15"/>
      <c r="AC284" s="15"/>
      <c r="AD284" s="15"/>
      <c r="AE284" s="15"/>
      <c r="AF284" s="15"/>
      <c r="AG284" s="15"/>
      <c r="AH284" s="15"/>
      <c r="AI284" s="285"/>
      <c r="AJ284" s="122"/>
      <c r="AK284" s="54"/>
      <c r="AL284" s="15"/>
      <c r="AM284" s="15"/>
      <c r="AN284" s="15"/>
      <c r="AO284" s="15"/>
      <c r="AP284" s="15"/>
      <c r="AQ284" s="15"/>
      <c r="AR284" s="15"/>
      <c r="AS284" s="15"/>
      <c r="AT284" s="15"/>
      <c r="AU284" s="15"/>
      <c r="AV284" s="15"/>
      <c r="AW284" s="15"/>
      <c r="AX284" s="15"/>
      <c r="AY284" s="15"/>
      <c r="AZ284" s="15"/>
    </row>
    <row r="285" ht="15.75" customHeight="1">
      <c r="A285" s="15"/>
      <c r="B285" s="15"/>
      <c r="C285" s="15"/>
      <c r="D285" s="15"/>
      <c r="E285" s="15"/>
      <c r="F285" s="15"/>
      <c r="G285" s="15"/>
      <c r="H285" s="15"/>
      <c r="I285" s="15"/>
      <c r="J285" s="15"/>
      <c r="K285" s="15"/>
      <c r="L285" s="15"/>
      <c r="M285" s="15"/>
      <c r="N285" s="15"/>
      <c r="O285" s="15"/>
      <c r="P285" s="15"/>
      <c r="Q285" s="15"/>
      <c r="R285" s="15"/>
      <c r="S285" s="15"/>
      <c r="T285" s="15"/>
      <c r="U285" s="15"/>
      <c r="V285" s="15"/>
      <c r="W285" s="15"/>
      <c r="X285" s="15"/>
      <c r="Y285" s="15"/>
      <c r="Z285" s="15"/>
      <c r="AA285" s="15"/>
      <c r="AB285" s="15"/>
      <c r="AC285" s="15"/>
      <c r="AD285" s="15"/>
      <c r="AE285" s="15"/>
      <c r="AF285" s="15"/>
      <c r="AG285" s="15"/>
      <c r="AH285" s="15"/>
      <c r="AI285" s="285"/>
      <c r="AJ285" s="122"/>
      <c r="AK285" s="54"/>
      <c r="AL285" s="15"/>
      <c r="AM285" s="15"/>
      <c r="AN285" s="15"/>
      <c r="AO285" s="15"/>
      <c r="AP285" s="15"/>
      <c r="AQ285" s="15"/>
      <c r="AR285" s="15"/>
      <c r="AS285" s="15"/>
      <c r="AT285" s="15"/>
      <c r="AU285" s="15"/>
      <c r="AV285" s="15"/>
      <c r="AW285" s="15"/>
      <c r="AX285" s="15"/>
      <c r="AY285" s="15"/>
      <c r="AZ285" s="15"/>
    </row>
    <row r="286" ht="15.75" customHeight="1">
      <c r="A286" s="15"/>
      <c r="B286" s="15"/>
      <c r="C286" s="15"/>
      <c r="D286" s="15"/>
      <c r="E286" s="15"/>
      <c r="F286" s="15"/>
      <c r="G286" s="15"/>
      <c r="H286" s="15"/>
      <c r="I286" s="15"/>
      <c r="J286" s="15"/>
      <c r="K286" s="15"/>
      <c r="L286" s="15"/>
      <c r="M286" s="15"/>
      <c r="N286" s="15"/>
      <c r="O286" s="15"/>
      <c r="P286" s="15"/>
      <c r="Q286" s="15"/>
      <c r="R286" s="15"/>
      <c r="S286" s="15"/>
      <c r="T286" s="15"/>
      <c r="U286" s="15"/>
      <c r="V286" s="15"/>
      <c r="W286" s="15"/>
      <c r="X286" s="15"/>
      <c r="Y286" s="15"/>
      <c r="Z286" s="15"/>
      <c r="AA286" s="15"/>
      <c r="AB286" s="15"/>
      <c r="AC286" s="15"/>
      <c r="AD286" s="15"/>
      <c r="AE286" s="15"/>
      <c r="AF286" s="15"/>
      <c r="AG286" s="15"/>
      <c r="AH286" s="15"/>
      <c r="AI286" s="285"/>
      <c r="AJ286" s="122"/>
      <c r="AK286" s="54"/>
      <c r="AL286" s="15"/>
      <c r="AM286" s="15"/>
      <c r="AN286" s="15"/>
      <c r="AO286" s="15"/>
      <c r="AP286" s="15"/>
      <c r="AQ286" s="15"/>
      <c r="AR286" s="15"/>
      <c r="AS286" s="15"/>
      <c r="AT286" s="15"/>
      <c r="AU286" s="15"/>
      <c r="AV286" s="15"/>
      <c r="AW286" s="15"/>
      <c r="AX286" s="15"/>
      <c r="AY286" s="15"/>
      <c r="AZ286" s="15"/>
    </row>
    <row r="287" ht="15.75" customHeight="1">
      <c r="A287" s="15"/>
      <c r="B287" s="15"/>
      <c r="C287" s="15"/>
      <c r="D287" s="15"/>
      <c r="E287" s="15"/>
      <c r="F287" s="15"/>
      <c r="G287" s="15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U287" s="15"/>
      <c r="V287" s="15"/>
      <c r="W287" s="15"/>
      <c r="X287" s="15"/>
      <c r="Y287" s="15"/>
      <c r="Z287" s="15"/>
      <c r="AA287" s="15"/>
      <c r="AB287" s="15"/>
      <c r="AC287" s="15"/>
      <c r="AD287" s="15"/>
      <c r="AE287" s="15"/>
      <c r="AF287" s="15"/>
      <c r="AG287" s="15"/>
      <c r="AH287" s="15"/>
      <c r="AI287" s="285"/>
      <c r="AJ287" s="122"/>
      <c r="AK287" s="54"/>
      <c r="AL287" s="15"/>
      <c r="AM287" s="15"/>
      <c r="AN287" s="15"/>
      <c r="AO287" s="15"/>
      <c r="AP287" s="15"/>
      <c r="AQ287" s="15"/>
      <c r="AR287" s="15"/>
      <c r="AS287" s="15"/>
      <c r="AT287" s="15"/>
      <c r="AU287" s="15"/>
      <c r="AV287" s="15"/>
      <c r="AW287" s="15"/>
      <c r="AX287" s="15"/>
      <c r="AY287" s="15"/>
      <c r="AZ287" s="15"/>
    </row>
    <row r="288" ht="15.75" customHeight="1">
      <c r="A288" s="15"/>
      <c r="B288" s="15"/>
      <c r="C288" s="15"/>
      <c r="D288" s="15"/>
      <c r="E288" s="15"/>
      <c r="F288" s="15"/>
      <c r="G288" s="15"/>
      <c r="H288" s="15"/>
      <c r="I288" s="15"/>
      <c r="J288" s="15"/>
      <c r="K288" s="15"/>
      <c r="L288" s="15"/>
      <c r="M288" s="15"/>
      <c r="N288" s="15"/>
      <c r="O288" s="15"/>
      <c r="P288" s="15"/>
      <c r="Q288" s="15"/>
      <c r="R288" s="15"/>
      <c r="S288" s="15"/>
      <c r="T288" s="15"/>
      <c r="U288" s="15"/>
      <c r="V288" s="15"/>
      <c r="W288" s="15"/>
      <c r="X288" s="15"/>
      <c r="Y288" s="15"/>
      <c r="Z288" s="15"/>
      <c r="AA288" s="15"/>
      <c r="AB288" s="15"/>
      <c r="AC288" s="15"/>
      <c r="AD288" s="15"/>
      <c r="AE288" s="15"/>
      <c r="AF288" s="15"/>
      <c r="AG288" s="15"/>
      <c r="AH288" s="15"/>
      <c r="AI288" s="285"/>
      <c r="AJ288" s="122"/>
      <c r="AK288" s="54"/>
      <c r="AL288" s="15"/>
      <c r="AM288" s="15"/>
      <c r="AN288" s="15"/>
      <c r="AO288" s="15"/>
      <c r="AP288" s="15"/>
      <c r="AQ288" s="15"/>
      <c r="AR288" s="15"/>
      <c r="AS288" s="15"/>
      <c r="AT288" s="15"/>
      <c r="AU288" s="15"/>
      <c r="AV288" s="15"/>
      <c r="AW288" s="15"/>
      <c r="AX288" s="15"/>
      <c r="AY288" s="15"/>
      <c r="AZ288" s="15"/>
    </row>
    <row r="289" ht="15.75" customHeight="1">
      <c r="A289" s="15"/>
      <c r="B289" s="15"/>
      <c r="C289" s="15"/>
      <c r="D289" s="15"/>
      <c r="E289" s="15"/>
      <c r="F289" s="15"/>
      <c r="G289" s="15"/>
      <c r="H289" s="15"/>
      <c r="I289" s="15"/>
      <c r="J289" s="15"/>
      <c r="K289" s="15"/>
      <c r="L289" s="15"/>
      <c r="M289" s="15"/>
      <c r="N289" s="15"/>
      <c r="O289" s="15"/>
      <c r="P289" s="15"/>
      <c r="Q289" s="15"/>
      <c r="R289" s="15"/>
      <c r="S289" s="15"/>
      <c r="T289" s="15"/>
      <c r="U289" s="15"/>
      <c r="V289" s="15"/>
      <c r="W289" s="15"/>
      <c r="X289" s="15"/>
      <c r="Y289" s="15"/>
      <c r="Z289" s="15"/>
      <c r="AA289" s="15"/>
      <c r="AB289" s="15"/>
      <c r="AC289" s="15"/>
      <c r="AD289" s="15"/>
      <c r="AE289" s="15"/>
      <c r="AF289" s="15"/>
      <c r="AG289" s="15"/>
      <c r="AH289" s="15"/>
      <c r="AI289" s="285"/>
      <c r="AJ289" s="122"/>
      <c r="AK289" s="54"/>
      <c r="AL289" s="15"/>
      <c r="AM289" s="15"/>
      <c r="AN289" s="15"/>
      <c r="AO289" s="15"/>
      <c r="AP289" s="15"/>
      <c r="AQ289" s="15"/>
      <c r="AR289" s="15"/>
      <c r="AS289" s="15"/>
      <c r="AT289" s="15"/>
      <c r="AU289" s="15"/>
      <c r="AV289" s="15"/>
      <c r="AW289" s="15"/>
      <c r="AX289" s="15"/>
      <c r="AY289" s="15"/>
      <c r="AZ289" s="15"/>
    </row>
    <row r="290" ht="15.75" customHeight="1">
      <c r="A290" s="15"/>
      <c r="B290" s="15"/>
      <c r="C290" s="15"/>
      <c r="D290" s="15"/>
      <c r="E290" s="15"/>
      <c r="F290" s="15"/>
      <c r="G290" s="15"/>
      <c r="H290" s="15"/>
      <c r="I290" s="15"/>
      <c r="J290" s="15"/>
      <c r="K290" s="15"/>
      <c r="L290" s="15"/>
      <c r="M290" s="15"/>
      <c r="N290" s="15"/>
      <c r="O290" s="15"/>
      <c r="P290" s="15"/>
      <c r="Q290" s="15"/>
      <c r="R290" s="15"/>
      <c r="S290" s="15"/>
      <c r="T290" s="15"/>
      <c r="U290" s="15"/>
      <c r="V290" s="15"/>
      <c r="W290" s="15"/>
      <c r="X290" s="15"/>
      <c r="Y290" s="15"/>
      <c r="Z290" s="15"/>
      <c r="AA290" s="15"/>
      <c r="AB290" s="15"/>
      <c r="AC290" s="15"/>
      <c r="AD290" s="15"/>
      <c r="AE290" s="15"/>
      <c r="AF290" s="15"/>
      <c r="AG290" s="15"/>
      <c r="AH290" s="15"/>
      <c r="AI290" s="285"/>
      <c r="AJ290" s="122"/>
      <c r="AK290" s="54"/>
      <c r="AL290" s="15"/>
      <c r="AM290" s="15"/>
      <c r="AN290" s="15"/>
      <c r="AO290" s="15"/>
      <c r="AP290" s="15"/>
      <c r="AQ290" s="15"/>
      <c r="AR290" s="15"/>
      <c r="AS290" s="15"/>
      <c r="AT290" s="15"/>
      <c r="AU290" s="15"/>
      <c r="AV290" s="15"/>
      <c r="AW290" s="15"/>
      <c r="AX290" s="15"/>
      <c r="AY290" s="15"/>
      <c r="AZ290" s="15"/>
    </row>
    <row r="291" ht="15.75" customHeight="1">
      <c r="A291" s="15"/>
      <c r="B291" s="15"/>
      <c r="C291" s="15"/>
      <c r="D291" s="15"/>
      <c r="E291" s="15"/>
      <c r="F291" s="15"/>
      <c r="G291" s="15"/>
      <c r="H291" s="15"/>
      <c r="I291" s="15"/>
      <c r="J291" s="15"/>
      <c r="K291" s="15"/>
      <c r="L291" s="15"/>
      <c r="M291" s="15"/>
      <c r="N291" s="15"/>
      <c r="O291" s="15"/>
      <c r="P291" s="15"/>
      <c r="Q291" s="15"/>
      <c r="R291" s="15"/>
      <c r="S291" s="15"/>
      <c r="T291" s="15"/>
      <c r="U291" s="15"/>
      <c r="V291" s="15"/>
      <c r="W291" s="15"/>
      <c r="X291" s="15"/>
      <c r="Y291" s="15"/>
      <c r="Z291" s="15"/>
      <c r="AA291" s="15"/>
      <c r="AB291" s="15"/>
      <c r="AC291" s="15"/>
      <c r="AD291" s="15"/>
      <c r="AE291" s="15"/>
      <c r="AF291" s="15"/>
      <c r="AG291" s="15"/>
      <c r="AH291" s="15"/>
      <c r="AI291" s="285"/>
      <c r="AJ291" s="122"/>
      <c r="AK291" s="54"/>
      <c r="AL291" s="15"/>
      <c r="AM291" s="15"/>
      <c r="AN291" s="15"/>
      <c r="AO291" s="15"/>
      <c r="AP291" s="15"/>
      <c r="AQ291" s="15"/>
      <c r="AR291" s="15"/>
      <c r="AS291" s="15"/>
      <c r="AT291" s="15"/>
      <c r="AU291" s="15"/>
      <c r="AV291" s="15"/>
      <c r="AW291" s="15"/>
      <c r="AX291" s="15"/>
      <c r="AY291" s="15"/>
      <c r="AZ291" s="15"/>
    </row>
    <row r="292" ht="15.75" customHeight="1">
      <c r="A292" s="15"/>
      <c r="B292" s="15"/>
      <c r="C292" s="15"/>
      <c r="D292" s="15"/>
      <c r="E292" s="15"/>
      <c r="F292" s="15"/>
      <c r="G292" s="15"/>
      <c r="H292" s="15"/>
      <c r="I292" s="15"/>
      <c r="J292" s="15"/>
      <c r="K292" s="15"/>
      <c r="L292" s="15"/>
      <c r="M292" s="15"/>
      <c r="N292" s="15"/>
      <c r="O292" s="15"/>
      <c r="P292" s="15"/>
      <c r="Q292" s="15"/>
      <c r="R292" s="15"/>
      <c r="S292" s="15"/>
      <c r="T292" s="15"/>
      <c r="U292" s="15"/>
      <c r="V292" s="15"/>
      <c r="W292" s="15"/>
      <c r="X292" s="15"/>
      <c r="Y292" s="15"/>
      <c r="Z292" s="15"/>
      <c r="AA292" s="15"/>
      <c r="AB292" s="15"/>
      <c r="AC292" s="15"/>
      <c r="AD292" s="15"/>
      <c r="AE292" s="15"/>
      <c r="AF292" s="15"/>
      <c r="AG292" s="15"/>
      <c r="AH292" s="15"/>
      <c r="AI292" s="285"/>
      <c r="AJ292" s="122"/>
      <c r="AK292" s="54"/>
      <c r="AL292" s="15"/>
      <c r="AM292" s="15"/>
      <c r="AN292" s="15"/>
      <c r="AO292" s="15"/>
      <c r="AP292" s="15"/>
      <c r="AQ292" s="15"/>
      <c r="AR292" s="15"/>
      <c r="AS292" s="15"/>
      <c r="AT292" s="15"/>
      <c r="AU292" s="15"/>
      <c r="AV292" s="15"/>
      <c r="AW292" s="15"/>
      <c r="AX292" s="15"/>
      <c r="AY292" s="15"/>
      <c r="AZ292" s="15"/>
    </row>
    <row r="293" ht="15.75" customHeight="1">
      <c r="A293" s="15"/>
      <c r="B293" s="15"/>
      <c r="C293" s="15"/>
      <c r="D293" s="15"/>
      <c r="E293" s="15"/>
      <c r="F293" s="15"/>
      <c r="G293" s="15"/>
      <c r="H293" s="15"/>
      <c r="I293" s="15"/>
      <c r="J293" s="15"/>
      <c r="K293" s="15"/>
      <c r="L293" s="15"/>
      <c r="M293" s="15"/>
      <c r="N293" s="15"/>
      <c r="O293" s="15"/>
      <c r="P293" s="15"/>
      <c r="Q293" s="15"/>
      <c r="R293" s="15"/>
      <c r="S293" s="15"/>
      <c r="T293" s="15"/>
      <c r="U293" s="15"/>
      <c r="V293" s="15"/>
      <c r="W293" s="15"/>
      <c r="X293" s="15"/>
      <c r="Y293" s="15"/>
      <c r="Z293" s="15"/>
      <c r="AA293" s="15"/>
      <c r="AB293" s="15"/>
      <c r="AC293" s="15"/>
      <c r="AD293" s="15"/>
      <c r="AE293" s="15"/>
      <c r="AF293" s="15"/>
      <c r="AG293" s="15"/>
      <c r="AH293" s="15"/>
      <c r="AI293" s="285"/>
      <c r="AJ293" s="122"/>
      <c r="AK293" s="54"/>
      <c r="AL293" s="15"/>
      <c r="AM293" s="15"/>
      <c r="AN293" s="15"/>
      <c r="AO293" s="15"/>
      <c r="AP293" s="15"/>
      <c r="AQ293" s="15"/>
      <c r="AR293" s="15"/>
      <c r="AS293" s="15"/>
      <c r="AT293" s="15"/>
      <c r="AU293" s="15"/>
      <c r="AV293" s="15"/>
      <c r="AW293" s="15"/>
      <c r="AX293" s="15"/>
      <c r="AY293" s="15"/>
      <c r="AZ293" s="15"/>
    </row>
    <row r="294" ht="15.75" customHeight="1">
      <c r="A294" s="15"/>
      <c r="B294" s="15"/>
      <c r="C294" s="15"/>
      <c r="D294" s="15"/>
      <c r="E294" s="15"/>
      <c r="F294" s="15"/>
      <c r="G294" s="15"/>
      <c r="H294" s="15"/>
      <c r="I294" s="15"/>
      <c r="J294" s="15"/>
      <c r="K294" s="15"/>
      <c r="L294" s="15"/>
      <c r="M294" s="15"/>
      <c r="N294" s="15"/>
      <c r="O294" s="15"/>
      <c r="P294" s="15"/>
      <c r="Q294" s="15"/>
      <c r="R294" s="15"/>
      <c r="S294" s="15"/>
      <c r="T294" s="15"/>
      <c r="U294" s="15"/>
      <c r="V294" s="15"/>
      <c r="W294" s="15"/>
      <c r="X294" s="15"/>
      <c r="Y294" s="15"/>
      <c r="Z294" s="15"/>
      <c r="AA294" s="15"/>
      <c r="AB294" s="15"/>
      <c r="AC294" s="15"/>
      <c r="AD294" s="15"/>
      <c r="AE294" s="15"/>
      <c r="AF294" s="15"/>
      <c r="AG294" s="15"/>
      <c r="AH294" s="15"/>
      <c r="AI294" s="285"/>
      <c r="AJ294" s="122"/>
      <c r="AK294" s="54"/>
      <c r="AL294" s="15"/>
      <c r="AM294" s="15"/>
      <c r="AN294" s="15"/>
      <c r="AO294" s="15"/>
      <c r="AP294" s="15"/>
      <c r="AQ294" s="15"/>
      <c r="AR294" s="15"/>
      <c r="AS294" s="15"/>
      <c r="AT294" s="15"/>
      <c r="AU294" s="15"/>
      <c r="AV294" s="15"/>
      <c r="AW294" s="15"/>
      <c r="AX294" s="15"/>
      <c r="AY294" s="15"/>
      <c r="AZ294" s="15"/>
    </row>
    <row r="295" ht="15.75" customHeight="1">
      <c r="A295" s="15"/>
      <c r="B295" s="15"/>
      <c r="C295" s="15"/>
      <c r="D295" s="15"/>
      <c r="E295" s="15"/>
      <c r="F295" s="15"/>
      <c r="G295" s="15"/>
      <c r="H295" s="15"/>
      <c r="I295" s="15"/>
      <c r="J295" s="15"/>
      <c r="K295" s="15"/>
      <c r="L295" s="15"/>
      <c r="M295" s="15"/>
      <c r="N295" s="15"/>
      <c r="O295" s="15"/>
      <c r="P295" s="15"/>
      <c r="Q295" s="15"/>
      <c r="R295" s="15"/>
      <c r="S295" s="15"/>
      <c r="T295" s="15"/>
      <c r="U295" s="15"/>
      <c r="V295" s="15"/>
      <c r="W295" s="15"/>
      <c r="X295" s="15"/>
      <c r="Y295" s="15"/>
      <c r="Z295" s="15"/>
      <c r="AA295" s="15"/>
      <c r="AB295" s="15"/>
      <c r="AC295" s="15"/>
      <c r="AD295" s="15"/>
      <c r="AE295" s="15"/>
      <c r="AF295" s="15"/>
      <c r="AG295" s="15"/>
      <c r="AH295" s="15"/>
      <c r="AI295" s="285"/>
      <c r="AJ295" s="122"/>
      <c r="AK295" s="54"/>
      <c r="AL295" s="15"/>
      <c r="AM295" s="15"/>
      <c r="AN295" s="15"/>
      <c r="AO295" s="15"/>
      <c r="AP295" s="15"/>
      <c r="AQ295" s="15"/>
      <c r="AR295" s="15"/>
      <c r="AS295" s="15"/>
      <c r="AT295" s="15"/>
      <c r="AU295" s="15"/>
      <c r="AV295" s="15"/>
      <c r="AW295" s="15"/>
      <c r="AX295" s="15"/>
      <c r="AY295" s="15"/>
      <c r="AZ295" s="15"/>
    </row>
    <row r="296" ht="15.75" customHeight="1">
      <c r="A296" s="15"/>
      <c r="B296" s="15"/>
      <c r="C296" s="15"/>
      <c r="D296" s="15"/>
      <c r="E296" s="15"/>
      <c r="F296" s="15"/>
      <c r="G296" s="15"/>
      <c r="H296" s="15"/>
      <c r="I296" s="15"/>
      <c r="J296" s="15"/>
      <c r="K296" s="15"/>
      <c r="L296" s="15"/>
      <c r="M296" s="15"/>
      <c r="N296" s="15"/>
      <c r="O296" s="15"/>
      <c r="P296" s="15"/>
      <c r="Q296" s="15"/>
      <c r="R296" s="15"/>
      <c r="S296" s="15"/>
      <c r="T296" s="15"/>
      <c r="U296" s="15"/>
      <c r="V296" s="15"/>
      <c r="W296" s="15"/>
      <c r="X296" s="15"/>
      <c r="Y296" s="15"/>
      <c r="Z296" s="15"/>
      <c r="AA296" s="15"/>
      <c r="AB296" s="15"/>
      <c r="AC296" s="15"/>
      <c r="AD296" s="15"/>
      <c r="AE296" s="15"/>
      <c r="AF296" s="15"/>
      <c r="AG296" s="15"/>
      <c r="AH296" s="15"/>
      <c r="AI296" s="285"/>
      <c r="AJ296" s="122"/>
      <c r="AK296" s="54"/>
      <c r="AL296" s="15"/>
      <c r="AM296" s="15"/>
      <c r="AN296" s="15"/>
      <c r="AO296" s="15"/>
      <c r="AP296" s="15"/>
      <c r="AQ296" s="15"/>
      <c r="AR296" s="15"/>
      <c r="AS296" s="15"/>
      <c r="AT296" s="15"/>
      <c r="AU296" s="15"/>
      <c r="AV296" s="15"/>
      <c r="AW296" s="15"/>
      <c r="AX296" s="15"/>
      <c r="AY296" s="15"/>
      <c r="AZ296" s="15"/>
    </row>
    <row r="297" ht="15.75" customHeight="1">
      <c r="A297" s="15"/>
      <c r="B297" s="15"/>
      <c r="C297" s="15"/>
      <c r="D297" s="15"/>
      <c r="E297" s="15"/>
      <c r="F297" s="15"/>
      <c r="G297" s="15"/>
      <c r="H297" s="15"/>
      <c r="I297" s="15"/>
      <c r="J297" s="15"/>
      <c r="K297" s="15"/>
      <c r="L297" s="15"/>
      <c r="M297" s="15"/>
      <c r="N297" s="15"/>
      <c r="O297" s="15"/>
      <c r="P297" s="15"/>
      <c r="Q297" s="15"/>
      <c r="R297" s="15"/>
      <c r="S297" s="15"/>
      <c r="T297" s="15"/>
      <c r="U297" s="15"/>
      <c r="V297" s="15"/>
      <c r="W297" s="15"/>
      <c r="X297" s="15"/>
      <c r="Y297" s="15"/>
      <c r="Z297" s="15"/>
      <c r="AA297" s="15"/>
      <c r="AB297" s="15"/>
      <c r="AC297" s="15"/>
      <c r="AD297" s="15"/>
      <c r="AE297" s="15"/>
      <c r="AF297" s="15"/>
      <c r="AG297" s="15"/>
      <c r="AH297" s="15"/>
      <c r="AI297" s="285"/>
      <c r="AJ297" s="122"/>
      <c r="AK297" s="54"/>
      <c r="AL297" s="15"/>
      <c r="AM297" s="15"/>
      <c r="AN297" s="15"/>
      <c r="AO297" s="15"/>
      <c r="AP297" s="15"/>
      <c r="AQ297" s="15"/>
      <c r="AR297" s="15"/>
      <c r="AS297" s="15"/>
      <c r="AT297" s="15"/>
      <c r="AU297" s="15"/>
      <c r="AV297" s="15"/>
      <c r="AW297" s="15"/>
      <c r="AX297" s="15"/>
      <c r="AY297" s="15"/>
      <c r="AZ297" s="15"/>
    </row>
    <row r="298" ht="15.75" customHeight="1">
      <c r="A298" s="15"/>
      <c r="B298" s="15"/>
      <c r="C298" s="15"/>
      <c r="D298" s="15"/>
      <c r="E298" s="15"/>
      <c r="F298" s="15"/>
      <c r="G298" s="15"/>
      <c r="H298" s="15"/>
      <c r="I298" s="15"/>
      <c r="J298" s="15"/>
      <c r="K298" s="15"/>
      <c r="L298" s="15"/>
      <c r="M298" s="15"/>
      <c r="N298" s="15"/>
      <c r="O298" s="15"/>
      <c r="P298" s="15"/>
      <c r="Q298" s="15"/>
      <c r="R298" s="15"/>
      <c r="S298" s="15"/>
      <c r="T298" s="15"/>
      <c r="U298" s="15"/>
      <c r="V298" s="15"/>
      <c r="W298" s="15"/>
      <c r="X298" s="15"/>
      <c r="Y298" s="15"/>
      <c r="Z298" s="15"/>
      <c r="AA298" s="15"/>
      <c r="AB298" s="15"/>
      <c r="AC298" s="15"/>
      <c r="AD298" s="15"/>
      <c r="AE298" s="15"/>
      <c r="AF298" s="15"/>
      <c r="AG298" s="15"/>
      <c r="AH298" s="15"/>
      <c r="AI298" s="285"/>
      <c r="AJ298" s="122"/>
      <c r="AK298" s="54"/>
      <c r="AL298" s="15"/>
      <c r="AM298" s="15"/>
      <c r="AN298" s="15"/>
      <c r="AO298" s="15"/>
      <c r="AP298" s="15"/>
      <c r="AQ298" s="15"/>
      <c r="AR298" s="15"/>
      <c r="AS298" s="15"/>
      <c r="AT298" s="15"/>
      <c r="AU298" s="15"/>
      <c r="AV298" s="15"/>
      <c r="AW298" s="15"/>
      <c r="AX298" s="15"/>
      <c r="AY298" s="15"/>
      <c r="AZ298" s="15"/>
    </row>
    <row r="299" ht="15.75" customHeight="1">
      <c r="A299" s="15"/>
      <c r="B299" s="15"/>
      <c r="C299" s="15"/>
      <c r="D299" s="15"/>
      <c r="E299" s="15"/>
      <c r="F299" s="15"/>
      <c r="G299" s="15"/>
      <c r="H299" s="15"/>
      <c r="I299" s="15"/>
      <c r="J299" s="15"/>
      <c r="K299" s="15"/>
      <c r="L299" s="15"/>
      <c r="M299" s="15"/>
      <c r="N299" s="15"/>
      <c r="O299" s="15"/>
      <c r="P299" s="15"/>
      <c r="Q299" s="15"/>
      <c r="R299" s="15"/>
      <c r="S299" s="15"/>
      <c r="T299" s="15"/>
      <c r="U299" s="15"/>
      <c r="V299" s="15"/>
      <c r="W299" s="15"/>
      <c r="X299" s="15"/>
      <c r="Y299" s="15"/>
      <c r="Z299" s="15"/>
      <c r="AA299" s="15"/>
      <c r="AB299" s="15"/>
      <c r="AC299" s="15"/>
      <c r="AD299" s="15"/>
      <c r="AE299" s="15"/>
      <c r="AF299" s="15"/>
      <c r="AG299" s="15"/>
      <c r="AH299" s="15"/>
      <c r="AI299" s="285"/>
      <c r="AJ299" s="122"/>
      <c r="AK299" s="54"/>
      <c r="AL299" s="15"/>
      <c r="AM299" s="15"/>
      <c r="AN299" s="15"/>
      <c r="AO299" s="15"/>
      <c r="AP299" s="15"/>
      <c r="AQ299" s="15"/>
      <c r="AR299" s="15"/>
      <c r="AS299" s="15"/>
      <c r="AT299" s="15"/>
      <c r="AU299" s="15"/>
      <c r="AV299" s="15"/>
      <c r="AW299" s="15"/>
      <c r="AX299" s="15"/>
      <c r="AY299" s="15"/>
      <c r="AZ299" s="15"/>
    </row>
    <row r="300" ht="15.75" customHeight="1">
      <c r="A300" s="15"/>
      <c r="B300" s="15"/>
      <c r="C300" s="15"/>
      <c r="D300" s="15"/>
      <c r="E300" s="15"/>
      <c r="F300" s="15"/>
      <c r="G300" s="15"/>
      <c r="H300" s="15"/>
      <c r="I300" s="15"/>
      <c r="J300" s="15"/>
      <c r="K300" s="15"/>
      <c r="L300" s="15"/>
      <c r="M300" s="15"/>
      <c r="N300" s="15"/>
      <c r="O300" s="15"/>
      <c r="P300" s="15"/>
      <c r="Q300" s="15"/>
      <c r="R300" s="15"/>
      <c r="S300" s="15"/>
      <c r="T300" s="15"/>
      <c r="U300" s="15"/>
      <c r="V300" s="15"/>
      <c r="W300" s="15"/>
      <c r="X300" s="15"/>
      <c r="Y300" s="15"/>
      <c r="Z300" s="15"/>
      <c r="AA300" s="15"/>
      <c r="AB300" s="15"/>
      <c r="AC300" s="15"/>
      <c r="AD300" s="15"/>
      <c r="AE300" s="15"/>
      <c r="AF300" s="15"/>
      <c r="AG300" s="15"/>
      <c r="AH300" s="15"/>
      <c r="AI300" s="285"/>
      <c r="AJ300" s="122"/>
      <c r="AK300" s="54"/>
      <c r="AL300" s="15"/>
      <c r="AM300" s="15"/>
      <c r="AN300" s="15"/>
      <c r="AO300" s="15"/>
      <c r="AP300" s="15"/>
      <c r="AQ300" s="15"/>
      <c r="AR300" s="15"/>
      <c r="AS300" s="15"/>
      <c r="AT300" s="15"/>
      <c r="AU300" s="15"/>
      <c r="AV300" s="15"/>
      <c r="AW300" s="15"/>
      <c r="AX300" s="15"/>
      <c r="AY300" s="15"/>
      <c r="AZ300" s="15"/>
    </row>
    <row r="301" ht="15.75" customHeight="1">
      <c r="A301" s="15"/>
      <c r="B301" s="15"/>
      <c r="C301" s="15"/>
      <c r="D301" s="15"/>
      <c r="E301" s="15"/>
      <c r="F301" s="15"/>
      <c r="G301" s="15"/>
      <c r="H301" s="15"/>
      <c r="I301" s="15"/>
      <c r="J301" s="15"/>
      <c r="K301" s="15"/>
      <c r="L301" s="15"/>
      <c r="M301" s="15"/>
      <c r="N301" s="15"/>
      <c r="O301" s="15"/>
      <c r="P301" s="15"/>
      <c r="Q301" s="15"/>
      <c r="R301" s="15"/>
      <c r="S301" s="15"/>
      <c r="T301" s="15"/>
      <c r="U301" s="15"/>
      <c r="V301" s="15"/>
      <c r="W301" s="15"/>
      <c r="X301" s="15"/>
      <c r="Y301" s="15"/>
      <c r="Z301" s="15"/>
      <c r="AA301" s="15"/>
      <c r="AB301" s="15"/>
      <c r="AC301" s="15"/>
      <c r="AD301" s="15"/>
      <c r="AE301" s="15"/>
      <c r="AF301" s="15"/>
      <c r="AG301" s="15"/>
      <c r="AH301" s="15"/>
      <c r="AI301" s="285"/>
      <c r="AJ301" s="122"/>
      <c r="AK301" s="54"/>
      <c r="AL301" s="15"/>
      <c r="AM301" s="15"/>
      <c r="AN301" s="15"/>
      <c r="AO301" s="15"/>
      <c r="AP301" s="15"/>
      <c r="AQ301" s="15"/>
      <c r="AR301" s="15"/>
      <c r="AS301" s="15"/>
      <c r="AT301" s="15"/>
      <c r="AU301" s="15"/>
      <c r="AV301" s="15"/>
      <c r="AW301" s="15"/>
      <c r="AX301" s="15"/>
      <c r="AY301" s="15"/>
      <c r="AZ301" s="15"/>
    </row>
    <row r="302" ht="15.75" customHeight="1">
      <c r="A302" s="15"/>
      <c r="B302" s="15"/>
      <c r="C302" s="15"/>
      <c r="D302" s="15"/>
      <c r="E302" s="15"/>
      <c r="F302" s="15"/>
      <c r="G302" s="15"/>
      <c r="H302" s="15"/>
      <c r="I302" s="15"/>
      <c r="J302" s="15"/>
      <c r="K302" s="15"/>
      <c r="L302" s="15"/>
      <c r="M302" s="15"/>
      <c r="N302" s="15"/>
      <c r="O302" s="15"/>
      <c r="P302" s="15"/>
      <c r="Q302" s="15"/>
      <c r="R302" s="15"/>
      <c r="S302" s="15"/>
      <c r="T302" s="15"/>
      <c r="U302" s="15"/>
      <c r="V302" s="15"/>
      <c r="W302" s="15"/>
      <c r="X302" s="15"/>
      <c r="Y302" s="15"/>
      <c r="Z302" s="15"/>
      <c r="AA302" s="15"/>
      <c r="AB302" s="15"/>
      <c r="AC302" s="15"/>
      <c r="AD302" s="15"/>
      <c r="AE302" s="15"/>
      <c r="AF302" s="15"/>
      <c r="AG302" s="15"/>
      <c r="AH302" s="15"/>
      <c r="AI302" s="285"/>
      <c r="AJ302" s="122"/>
      <c r="AK302" s="54"/>
      <c r="AL302" s="15"/>
      <c r="AM302" s="15"/>
      <c r="AN302" s="15"/>
      <c r="AO302" s="15"/>
      <c r="AP302" s="15"/>
      <c r="AQ302" s="15"/>
      <c r="AR302" s="15"/>
      <c r="AS302" s="15"/>
      <c r="AT302" s="15"/>
      <c r="AU302" s="15"/>
      <c r="AV302" s="15"/>
      <c r="AW302" s="15"/>
      <c r="AX302" s="15"/>
      <c r="AY302" s="15"/>
      <c r="AZ302" s="15"/>
    </row>
    <row r="303" ht="15.75" customHeight="1">
      <c r="A303" s="15"/>
      <c r="B303" s="15"/>
      <c r="C303" s="15"/>
      <c r="D303" s="15"/>
      <c r="E303" s="15"/>
      <c r="F303" s="15"/>
      <c r="G303" s="15"/>
      <c r="H303" s="15"/>
      <c r="I303" s="15"/>
      <c r="J303" s="15"/>
      <c r="K303" s="15"/>
      <c r="L303" s="15"/>
      <c r="M303" s="15"/>
      <c r="N303" s="15"/>
      <c r="O303" s="15"/>
      <c r="P303" s="15"/>
      <c r="Q303" s="15"/>
      <c r="R303" s="15"/>
      <c r="S303" s="15"/>
      <c r="T303" s="15"/>
      <c r="U303" s="15"/>
      <c r="V303" s="15"/>
      <c r="W303" s="15"/>
      <c r="X303" s="15"/>
      <c r="Y303" s="15"/>
      <c r="Z303" s="15"/>
      <c r="AA303" s="15"/>
      <c r="AB303" s="15"/>
      <c r="AC303" s="15"/>
      <c r="AD303" s="15"/>
      <c r="AE303" s="15"/>
      <c r="AF303" s="15"/>
      <c r="AG303" s="15"/>
      <c r="AH303" s="15"/>
      <c r="AI303" s="285"/>
      <c r="AJ303" s="122"/>
      <c r="AK303" s="54"/>
      <c r="AL303" s="15"/>
      <c r="AM303" s="15"/>
      <c r="AN303" s="15"/>
      <c r="AO303" s="15"/>
      <c r="AP303" s="15"/>
      <c r="AQ303" s="15"/>
      <c r="AR303" s="15"/>
      <c r="AS303" s="15"/>
      <c r="AT303" s="15"/>
      <c r="AU303" s="15"/>
      <c r="AV303" s="15"/>
      <c r="AW303" s="15"/>
      <c r="AX303" s="15"/>
      <c r="AY303" s="15"/>
      <c r="AZ303" s="15"/>
    </row>
    <row r="304" ht="15.75" customHeight="1">
      <c r="A304" s="15"/>
      <c r="B304" s="15"/>
      <c r="C304" s="15"/>
      <c r="D304" s="15"/>
      <c r="E304" s="15"/>
      <c r="F304" s="15"/>
      <c r="G304" s="15"/>
      <c r="H304" s="15"/>
      <c r="I304" s="15"/>
      <c r="J304" s="15"/>
      <c r="K304" s="15"/>
      <c r="L304" s="15"/>
      <c r="M304" s="15"/>
      <c r="N304" s="15"/>
      <c r="O304" s="15"/>
      <c r="P304" s="15"/>
      <c r="Q304" s="15"/>
      <c r="R304" s="15"/>
      <c r="S304" s="15"/>
      <c r="T304" s="15"/>
      <c r="U304" s="15"/>
      <c r="V304" s="15"/>
      <c r="W304" s="15"/>
      <c r="X304" s="15"/>
      <c r="Y304" s="15"/>
      <c r="Z304" s="15"/>
      <c r="AA304" s="15"/>
      <c r="AB304" s="15"/>
      <c r="AC304" s="15"/>
      <c r="AD304" s="15"/>
      <c r="AE304" s="15"/>
      <c r="AF304" s="15"/>
      <c r="AG304" s="15"/>
      <c r="AH304" s="15"/>
      <c r="AI304" s="285"/>
      <c r="AJ304" s="122"/>
      <c r="AK304" s="54"/>
      <c r="AL304" s="15"/>
      <c r="AM304" s="15"/>
      <c r="AN304" s="15"/>
      <c r="AO304" s="15"/>
      <c r="AP304" s="15"/>
      <c r="AQ304" s="15"/>
      <c r="AR304" s="15"/>
      <c r="AS304" s="15"/>
      <c r="AT304" s="15"/>
      <c r="AU304" s="15"/>
      <c r="AV304" s="15"/>
      <c r="AW304" s="15"/>
      <c r="AX304" s="15"/>
      <c r="AY304" s="15"/>
      <c r="AZ304" s="15"/>
    </row>
    <row r="305" ht="15.75" customHeight="1">
      <c r="A305" s="15"/>
      <c r="B305" s="15"/>
      <c r="C305" s="15"/>
      <c r="D305" s="15"/>
      <c r="E305" s="15"/>
      <c r="F305" s="15"/>
      <c r="G305" s="15"/>
      <c r="H305" s="15"/>
      <c r="I305" s="15"/>
      <c r="J305" s="15"/>
      <c r="K305" s="15"/>
      <c r="L305" s="15"/>
      <c r="M305" s="15"/>
      <c r="N305" s="15"/>
      <c r="O305" s="15"/>
      <c r="P305" s="15"/>
      <c r="Q305" s="15"/>
      <c r="R305" s="15"/>
      <c r="S305" s="15"/>
      <c r="T305" s="15"/>
      <c r="U305" s="15"/>
      <c r="V305" s="15"/>
      <c r="W305" s="15"/>
      <c r="X305" s="15"/>
      <c r="Y305" s="15"/>
      <c r="Z305" s="15"/>
      <c r="AA305" s="15"/>
      <c r="AB305" s="15"/>
      <c r="AC305" s="15"/>
      <c r="AD305" s="15"/>
      <c r="AE305" s="15"/>
      <c r="AF305" s="15"/>
      <c r="AG305" s="15"/>
      <c r="AH305" s="15"/>
      <c r="AI305" s="285"/>
      <c r="AJ305" s="122"/>
      <c r="AK305" s="54"/>
      <c r="AL305" s="15"/>
      <c r="AM305" s="15"/>
      <c r="AN305" s="15"/>
      <c r="AO305" s="15"/>
      <c r="AP305" s="15"/>
      <c r="AQ305" s="15"/>
      <c r="AR305" s="15"/>
      <c r="AS305" s="15"/>
      <c r="AT305" s="15"/>
      <c r="AU305" s="15"/>
      <c r="AV305" s="15"/>
      <c r="AW305" s="15"/>
      <c r="AX305" s="15"/>
      <c r="AY305" s="15"/>
      <c r="AZ305" s="15"/>
    </row>
    <row r="306" ht="15.75" customHeight="1">
      <c r="A306" s="15"/>
      <c r="B306" s="15"/>
      <c r="C306" s="15"/>
      <c r="D306" s="15"/>
      <c r="E306" s="15"/>
      <c r="F306" s="15"/>
      <c r="G306" s="15"/>
      <c r="H306" s="15"/>
      <c r="I306" s="15"/>
      <c r="J306" s="15"/>
      <c r="K306" s="15"/>
      <c r="L306" s="15"/>
      <c r="M306" s="15"/>
      <c r="N306" s="15"/>
      <c r="O306" s="15"/>
      <c r="P306" s="15"/>
      <c r="Q306" s="15"/>
      <c r="R306" s="15"/>
      <c r="S306" s="15"/>
      <c r="T306" s="15"/>
      <c r="U306" s="15"/>
      <c r="V306" s="15"/>
      <c r="W306" s="15"/>
      <c r="X306" s="15"/>
      <c r="Y306" s="15"/>
      <c r="Z306" s="15"/>
      <c r="AA306" s="15"/>
      <c r="AB306" s="15"/>
      <c r="AC306" s="15"/>
      <c r="AD306" s="15"/>
      <c r="AE306" s="15"/>
      <c r="AF306" s="15"/>
      <c r="AG306" s="15"/>
      <c r="AH306" s="15"/>
      <c r="AI306" s="285"/>
      <c r="AJ306" s="122"/>
      <c r="AK306" s="54"/>
      <c r="AL306" s="15"/>
      <c r="AM306" s="15"/>
      <c r="AN306" s="15"/>
      <c r="AO306" s="15"/>
      <c r="AP306" s="15"/>
      <c r="AQ306" s="15"/>
      <c r="AR306" s="15"/>
      <c r="AS306" s="15"/>
      <c r="AT306" s="15"/>
      <c r="AU306" s="15"/>
      <c r="AV306" s="15"/>
      <c r="AW306" s="15"/>
      <c r="AX306" s="15"/>
      <c r="AY306" s="15"/>
      <c r="AZ306" s="15"/>
    </row>
    <row r="307" ht="15.75" customHeight="1">
      <c r="A307" s="15"/>
      <c r="B307" s="15"/>
      <c r="C307" s="15"/>
      <c r="D307" s="15"/>
      <c r="E307" s="15"/>
      <c r="F307" s="15"/>
      <c r="G307" s="15"/>
      <c r="H307" s="15"/>
      <c r="I307" s="15"/>
      <c r="J307" s="15"/>
      <c r="K307" s="15"/>
      <c r="L307" s="15"/>
      <c r="M307" s="15"/>
      <c r="N307" s="15"/>
      <c r="O307" s="15"/>
      <c r="P307" s="15"/>
      <c r="Q307" s="15"/>
      <c r="R307" s="15"/>
      <c r="S307" s="15"/>
      <c r="T307" s="15"/>
      <c r="U307" s="15"/>
      <c r="V307" s="15"/>
      <c r="W307" s="15"/>
      <c r="X307" s="15"/>
      <c r="Y307" s="15"/>
      <c r="Z307" s="15"/>
      <c r="AA307" s="15"/>
      <c r="AB307" s="15"/>
      <c r="AC307" s="15"/>
      <c r="AD307" s="15"/>
      <c r="AE307" s="15"/>
      <c r="AF307" s="15"/>
      <c r="AG307" s="15"/>
      <c r="AH307" s="15"/>
      <c r="AI307" s="285"/>
      <c r="AJ307" s="122"/>
      <c r="AK307" s="54"/>
      <c r="AL307" s="15"/>
      <c r="AM307" s="15"/>
      <c r="AN307" s="15"/>
      <c r="AO307" s="15"/>
      <c r="AP307" s="15"/>
      <c r="AQ307" s="15"/>
      <c r="AR307" s="15"/>
      <c r="AS307" s="15"/>
      <c r="AT307" s="15"/>
      <c r="AU307" s="15"/>
      <c r="AV307" s="15"/>
      <c r="AW307" s="15"/>
      <c r="AX307" s="15"/>
      <c r="AY307" s="15"/>
      <c r="AZ307" s="15"/>
    </row>
    <row r="308" ht="15.75" customHeight="1">
      <c r="A308" s="15"/>
      <c r="B308" s="15"/>
      <c r="C308" s="15"/>
      <c r="D308" s="15"/>
      <c r="E308" s="15"/>
      <c r="F308" s="15"/>
      <c r="G308" s="15"/>
      <c r="H308" s="15"/>
      <c r="I308" s="15"/>
      <c r="J308" s="15"/>
      <c r="K308" s="15"/>
      <c r="L308" s="15"/>
      <c r="M308" s="15"/>
      <c r="N308" s="15"/>
      <c r="O308" s="15"/>
      <c r="P308" s="15"/>
      <c r="Q308" s="15"/>
      <c r="R308" s="15"/>
      <c r="S308" s="15"/>
      <c r="T308" s="15"/>
      <c r="U308" s="15"/>
      <c r="V308" s="15"/>
      <c r="W308" s="15"/>
      <c r="X308" s="15"/>
      <c r="Y308" s="15"/>
      <c r="Z308" s="15"/>
      <c r="AA308" s="15"/>
      <c r="AB308" s="15"/>
      <c r="AC308" s="15"/>
      <c r="AD308" s="15"/>
      <c r="AE308" s="15"/>
      <c r="AF308" s="15"/>
      <c r="AG308" s="15"/>
      <c r="AH308" s="15"/>
      <c r="AI308" s="285"/>
      <c r="AJ308" s="122"/>
      <c r="AK308" s="54"/>
      <c r="AL308" s="15"/>
      <c r="AM308" s="15"/>
      <c r="AN308" s="15"/>
      <c r="AO308" s="15"/>
      <c r="AP308" s="15"/>
      <c r="AQ308" s="15"/>
      <c r="AR308" s="15"/>
      <c r="AS308" s="15"/>
      <c r="AT308" s="15"/>
      <c r="AU308" s="15"/>
      <c r="AV308" s="15"/>
      <c r="AW308" s="15"/>
      <c r="AX308" s="15"/>
      <c r="AY308" s="15"/>
      <c r="AZ308" s="15"/>
    </row>
    <row r="309" ht="15.75" customHeight="1">
      <c r="A309" s="15"/>
      <c r="B309" s="15"/>
      <c r="C309" s="15"/>
      <c r="D309" s="15"/>
      <c r="E309" s="15"/>
      <c r="F309" s="15"/>
      <c r="G309" s="15"/>
      <c r="H309" s="15"/>
      <c r="I309" s="15"/>
      <c r="J309" s="15"/>
      <c r="K309" s="15"/>
      <c r="L309" s="15"/>
      <c r="M309" s="15"/>
      <c r="N309" s="15"/>
      <c r="O309" s="15"/>
      <c r="P309" s="15"/>
      <c r="Q309" s="15"/>
      <c r="R309" s="15"/>
      <c r="S309" s="15"/>
      <c r="T309" s="15"/>
      <c r="U309" s="15"/>
      <c r="V309" s="15"/>
      <c r="W309" s="15"/>
      <c r="X309" s="15"/>
      <c r="Y309" s="15"/>
      <c r="Z309" s="15"/>
      <c r="AA309" s="15"/>
      <c r="AB309" s="15"/>
      <c r="AC309" s="15"/>
      <c r="AD309" s="15"/>
      <c r="AE309" s="15"/>
      <c r="AF309" s="15"/>
      <c r="AG309" s="15"/>
      <c r="AH309" s="15"/>
      <c r="AI309" s="285"/>
      <c r="AJ309" s="122"/>
      <c r="AK309" s="54"/>
      <c r="AL309" s="15"/>
      <c r="AM309" s="15"/>
      <c r="AN309" s="15"/>
      <c r="AO309" s="15"/>
      <c r="AP309" s="15"/>
      <c r="AQ309" s="15"/>
      <c r="AR309" s="15"/>
      <c r="AS309" s="15"/>
      <c r="AT309" s="15"/>
      <c r="AU309" s="15"/>
      <c r="AV309" s="15"/>
      <c r="AW309" s="15"/>
      <c r="AX309" s="15"/>
      <c r="AY309" s="15"/>
      <c r="AZ309" s="15"/>
    </row>
    <row r="310" ht="15.75" customHeight="1">
      <c r="A310" s="15"/>
      <c r="B310" s="15"/>
      <c r="C310" s="15"/>
      <c r="D310" s="15"/>
      <c r="E310" s="15"/>
      <c r="F310" s="15"/>
      <c r="G310" s="15"/>
      <c r="H310" s="15"/>
      <c r="I310" s="15"/>
      <c r="J310" s="15"/>
      <c r="K310" s="15"/>
      <c r="L310" s="15"/>
      <c r="M310" s="15"/>
      <c r="N310" s="15"/>
      <c r="O310" s="15"/>
      <c r="P310" s="15"/>
      <c r="Q310" s="15"/>
      <c r="R310" s="15"/>
      <c r="S310" s="15"/>
      <c r="T310" s="15"/>
      <c r="U310" s="15"/>
      <c r="V310" s="15"/>
      <c r="W310" s="15"/>
      <c r="X310" s="15"/>
      <c r="Y310" s="15"/>
      <c r="Z310" s="15"/>
      <c r="AA310" s="15"/>
      <c r="AB310" s="15"/>
      <c r="AC310" s="15"/>
      <c r="AD310" s="15"/>
      <c r="AE310" s="15"/>
      <c r="AF310" s="15"/>
      <c r="AG310" s="15"/>
      <c r="AH310" s="15"/>
      <c r="AI310" s="285"/>
      <c r="AJ310" s="122"/>
      <c r="AK310" s="54"/>
      <c r="AL310" s="15"/>
      <c r="AM310" s="15"/>
      <c r="AN310" s="15"/>
      <c r="AO310" s="15"/>
      <c r="AP310" s="15"/>
      <c r="AQ310" s="15"/>
      <c r="AR310" s="15"/>
      <c r="AS310" s="15"/>
      <c r="AT310" s="15"/>
      <c r="AU310" s="15"/>
      <c r="AV310" s="15"/>
      <c r="AW310" s="15"/>
      <c r="AX310" s="15"/>
      <c r="AY310" s="15"/>
      <c r="AZ310" s="15"/>
    </row>
    <row r="311" ht="15.75" customHeight="1">
      <c r="A311" s="15"/>
      <c r="B311" s="15"/>
      <c r="C311" s="15"/>
      <c r="D311" s="15"/>
      <c r="E311" s="15"/>
      <c r="F311" s="15"/>
      <c r="G311" s="15"/>
      <c r="H311" s="15"/>
      <c r="I311" s="15"/>
      <c r="J311" s="15"/>
      <c r="K311" s="15"/>
      <c r="L311" s="15"/>
      <c r="M311" s="15"/>
      <c r="N311" s="15"/>
      <c r="O311" s="15"/>
      <c r="P311" s="15"/>
      <c r="Q311" s="15"/>
      <c r="R311" s="15"/>
      <c r="S311" s="15"/>
      <c r="T311" s="15"/>
      <c r="U311" s="15"/>
      <c r="V311" s="15"/>
      <c r="W311" s="15"/>
      <c r="X311" s="15"/>
      <c r="Y311" s="15"/>
      <c r="Z311" s="15"/>
      <c r="AA311" s="15"/>
      <c r="AB311" s="15"/>
      <c r="AC311" s="15"/>
      <c r="AD311" s="15"/>
      <c r="AE311" s="15"/>
      <c r="AF311" s="15"/>
      <c r="AG311" s="15"/>
      <c r="AH311" s="15"/>
      <c r="AI311" s="285"/>
      <c r="AJ311" s="122"/>
      <c r="AK311" s="54"/>
      <c r="AL311" s="15"/>
      <c r="AM311" s="15"/>
      <c r="AN311" s="15"/>
      <c r="AO311" s="15"/>
      <c r="AP311" s="15"/>
      <c r="AQ311" s="15"/>
      <c r="AR311" s="15"/>
      <c r="AS311" s="15"/>
      <c r="AT311" s="15"/>
      <c r="AU311" s="15"/>
      <c r="AV311" s="15"/>
      <c r="AW311" s="15"/>
      <c r="AX311" s="15"/>
      <c r="AY311" s="15"/>
      <c r="AZ311" s="15"/>
    </row>
    <row r="312" ht="15.75" customHeight="1">
      <c r="A312" s="15"/>
      <c r="B312" s="15"/>
      <c r="C312" s="15"/>
      <c r="D312" s="15"/>
      <c r="E312" s="15"/>
      <c r="F312" s="15"/>
      <c r="G312" s="15"/>
      <c r="H312" s="15"/>
      <c r="I312" s="15"/>
      <c r="J312" s="15"/>
      <c r="K312" s="15"/>
      <c r="L312" s="15"/>
      <c r="M312" s="15"/>
      <c r="N312" s="15"/>
      <c r="O312" s="15"/>
      <c r="P312" s="15"/>
      <c r="Q312" s="15"/>
      <c r="R312" s="15"/>
      <c r="S312" s="15"/>
      <c r="T312" s="15"/>
      <c r="U312" s="15"/>
      <c r="V312" s="15"/>
      <c r="W312" s="15"/>
      <c r="X312" s="15"/>
      <c r="Y312" s="15"/>
      <c r="Z312" s="15"/>
      <c r="AA312" s="15"/>
      <c r="AB312" s="15"/>
      <c r="AC312" s="15"/>
      <c r="AD312" s="15"/>
      <c r="AE312" s="15"/>
      <c r="AF312" s="15"/>
      <c r="AG312" s="15"/>
      <c r="AH312" s="15"/>
      <c r="AI312" s="285"/>
      <c r="AJ312" s="122"/>
      <c r="AK312" s="54"/>
      <c r="AL312" s="15"/>
      <c r="AM312" s="15"/>
      <c r="AN312" s="15"/>
      <c r="AO312" s="15"/>
      <c r="AP312" s="15"/>
      <c r="AQ312" s="15"/>
      <c r="AR312" s="15"/>
      <c r="AS312" s="15"/>
      <c r="AT312" s="15"/>
      <c r="AU312" s="15"/>
      <c r="AV312" s="15"/>
      <c r="AW312" s="15"/>
      <c r="AX312" s="15"/>
      <c r="AY312" s="15"/>
      <c r="AZ312" s="15"/>
    </row>
    <row r="313" ht="15.75" customHeight="1">
      <c r="A313" s="15"/>
      <c r="B313" s="15"/>
      <c r="C313" s="15"/>
      <c r="D313" s="15"/>
      <c r="E313" s="15"/>
      <c r="F313" s="15"/>
      <c r="G313" s="15"/>
      <c r="H313" s="15"/>
      <c r="I313" s="15"/>
      <c r="J313" s="15"/>
      <c r="K313" s="15"/>
      <c r="L313" s="15"/>
      <c r="M313" s="15"/>
      <c r="N313" s="15"/>
      <c r="O313" s="15"/>
      <c r="P313" s="15"/>
      <c r="Q313" s="15"/>
      <c r="R313" s="15"/>
      <c r="S313" s="15"/>
      <c r="T313" s="15"/>
      <c r="U313" s="15"/>
      <c r="V313" s="15"/>
      <c r="W313" s="15"/>
      <c r="X313" s="15"/>
      <c r="Y313" s="15"/>
      <c r="Z313" s="15"/>
      <c r="AA313" s="15"/>
      <c r="AB313" s="15"/>
      <c r="AC313" s="15"/>
      <c r="AD313" s="15"/>
      <c r="AE313" s="15"/>
      <c r="AF313" s="15"/>
      <c r="AG313" s="15"/>
      <c r="AH313" s="15"/>
      <c r="AI313" s="285"/>
      <c r="AJ313" s="122"/>
      <c r="AK313" s="54"/>
      <c r="AL313" s="15"/>
      <c r="AM313" s="15"/>
      <c r="AN313" s="15"/>
      <c r="AO313" s="15"/>
      <c r="AP313" s="15"/>
      <c r="AQ313" s="15"/>
      <c r="AR313" s="15"/>
      <c r="AS313" s="15"/>
      <c r="AT313" s="15"/>
      <c r="AU313" s="15"/>
      <c r="AV313" s="15"/>
      <c r="AW313" s="15"/>
      <c r="AX313" s="15"/>
      <c r="AY313" s="15"/>
      <c r="AZ313" s="15"/>
    </row>
    <row r="314" ht="15.75" customHeight="1">
      <c r="A314" s="15"/>
      <c r="B314" s="15"/>
      <c r="C314" s="15"/>
      <c r="D314" s="15"/>
      <c r="E314" s="15"/>
      <c r="F314" s="15"/>
      <c r="G314" s="15"/>
      <c r="H314" s="15"/>
      <c r="I314" s="15"/>
      <c r="J314" s="15"/>
      <c r="K314" s="15"/>
      <c r="L314" s="15"/>
      <c r="M314" s="15"/>
      <c r="N314" s="15"/>
      <c r="O314" s="15"/>
      <c r="P314" s="15"/>
      <c r="Q314" s="15"/>
      <c r="R314" s="15"/>
      <c r="S314" s="15"/>
      <c r="T314" s="15"/>
      <c r="U314" s="15"/>
      <c r="V314" s="15"/>
      <c r="W314" s="15"/>
      <c r="X314" s="15"/>
      <c r="Y314" s="15"/>
      <c r="Z314" s="15"/>
      <c r="AA314" s="15"/>
      <c r="AB314" s="15"/>
      <c r="AC314" s="15"/>
      <c r="AD314" s="15"/>
      <c r="AE314" s="15"/>
      <c r="AF314" s="15"/>
      <c r="AG314" s="15"/>
      <c r="AH314" s="15"/>
      <c r="AI314" s="285"/>
      <c r="AJ314" s="122"/>
      <c r="AK314" s="54"/>
      <c r="AL314" s="15"/>
      <c r="AM314" s="15"/>
      <c r="AN314" s="15"/>
      <c r="AO314" s="15"/>
      <c r="AP314" s="15"/>
      <c r="AQ314" s="15"/>
      <c r="AR314" s="15"/>
      <c r="AS314" s="15"/>
      <c r="AT314" s="15"/>
      <c r="AU314" s="15"/>
      <c r="AV314" s="15"/>
      <c r="AW314" s="15"/>
      <c r="AX314" s="15"/>
      <c r="AY314" s="15"/>
      <c r="AZ314" s="15"/>
    </row>
    <row r="315" ht="15.75" customHeight="1">
      <c r="AH315" s="300"/>
      <c r="AI315" s="301"/>
      <c r="AJ315" s="302"/>
      <c r="AK315" s="21"/>
    </row>
    <row r="316" ht="15.75" customHeight="1">
      <c r="AH316" s="300"/>
      <c r="AI316" s="301"/>
      <c r="AJ316" s="302"/>
      <c r="AK316" s="21"/>
    </row>
    <row r="317" ht="15.75" customHeight="1">
      <c r="AH317" s="300"/>
      <c r="AI317" s="301"/>
      <c r="AJ317" s="302"/>
      <c r="AK317" s="21"/>
    </row>
    <row r="318" ht="15.75" customHeight="1">
      <c r="AH318" s="300"/>
      <c r="AI318" s="301"/>
      <c r="AJ318" s="302"/>
      <c r="AK318" s="21"/>
    </row>
    <row r="319" ht="15.75" customHeight="1">
      <c r="AH319" s="300"/>
      <c r="AI319" s="301"/>
      <c r="AJ319" s="302"/>
      <c r="AK319" s="21"/>
    </row>
    <row r="320" ht="15.75" customHeight="1">
      <c r="AH320" s="300"/>
      <c r="AI320" s="301"/>
      <c r="AJ320" s="302"/>
      <c r="AK320" s="21"/>
    </row>
    <row r="321" ht="15.75" customHeight="1">
      <c r="AH321" s="300"/>
      <c r="AI321" s="301"/>
      <c r="AJ321" s="302"/>
      <c r="AK321" s="21"/>
    </row>
    <row r="322" ht="15.75" customHeight="1">
      <c r="AH322" s="300"/>
      <c r="AI322" s="301"/>
      <c r="AJ322" s="302"/>
      <c r="AK322" s="21"/>
    </row>
    <row r="323" ht="15.75" customHeight="1">
      <c r="AH323" s="300"/>
      <c r="AI323" s="301"/>
      <c r="AJ323" s="302"/>
      <c r="AK323" s="21"/>
    </row>
    <row r="324" ht="15.75" customHeight="1">
      <c r="AH324" s="300"/>
      <c r="AI324" s="301"/>
      <c r="AJ324" s="302"/>
      <c r="AK324" s="21"/>
    </row>
    <row r="325" ht="15.75" customHeight="1">
      <c r="AH325" s="300"/>
      <c r="AI325" s="301"/>
      <c r="AJ325" s="302"/>
      <c r="AK325" s="21"/>
    </row>
    <row r="326" ht="15.75" customHeight="1">
      <c r="AH326" s="300"/>
      <c r="AI326" s="301"/>
      <c r="AJ326" s="302"/>
      <c r="AK326" s="21"/>
    </row>
    <row r="327" ht="15.75" customHeight="1">
      <c r="AH327" s="300"/>
      <c r="AI327" s="301"/>
      <c r="AJ327" s="302"/>
      <c r="AK327" s="21"/>
    </row>
    <row r="328" ht="15.75" customHeight="1">
      <c r="AH328" s="300"/>
      <c r="AI328" s="301"/>
      <c r="AJ328" s="302"/>
      <c r="AK328" s="21"/>
    </row>
    <row r="329" ht="15.75" customHeight="1">
      <c r="AH329" s="300"/>
      <c r="AI329" s="301"/>
      <c r="AJ329" s="302"/>
      <c r="AK329" s="21"/>
    </row>
    <row r="330" ht="15.75" customHeight="1">
      <c r="AH330" s="300"/>
      <c r="AI330" s="301"/>
      <c r="AJ330" s="302"/>
      <c r="AK330" s="21"/>
    </row>
    <row r="331" ht="15.75" customHeight="1">
      <c r="AH331" s="300"/>
      <c r="AI331" s="301"/>
      <c r="AJ331" s="302"/>
      <c r="AK331" s="21"/>
    </row>
    <row r="332" ht="15.75" customHeight="1">
      <c r="AH332" s="300"/>
      <c r="AI332" s="301"/>
      <c r="AJ332" s="302"/>
      <c r="AK332" s="21"/>
    </row>
    <row r="333" ht="15.75" customHeight="1">
      <c r="AH333" s="300"/>
      <c r="AI333" s="301"/>
      <c r="AJ333" s="302"/>
      <c r="AK333" s="21"/>
    </row>
    <row r="334" ht="15.75" customHeight="1">
      <c r="AH334" s="300"/>
      <c r="AI334" s="301"/>
      <c r="AJ334" s="302"/>
      <c r="AK334" s="21"/>
    </row>
    <row r="335" ht="15.75" customHeight="1">
      <c r="AH335" s="300"/>
      <c r="AI335" s="301"/>
      <c r="AJ335" s="302"/>
      <c r="AK335" s="21"/>
    </row>
    <row r="336" ht="15.75" customHeight="1">
      <c r="AH336" s="300"/>
      <c r="AI336" s="301"/>
      <c r="AJ336" s="302"/>
      <c r="AK336" s="21"/>
    </row>
    <row r="337" ht="15.75" customHeight="1">
      <c r="AH337" s="300"/>
      <c r="AI337" s="301"/>
      <c r="AJ337" s="302"/>
      <c r="AK337" s="21"/>
    </row>
    <row r="338" ht="15.75" customHeight="1">
      <c r="AH338" s="300"/>
      <c r="AI338" s="301"/>
      <c r="AJ338" s="302"/>
      <c r="AK338" s="21"/>
    </row>
    <row r="339" ht="15.75" customHeight="1">
      <c r="AH339" s="300"/>
      <c r="AI339" s="301"/>
      <c r="AJ339" s="302"/>
      <c r="AK339" s="21"/>
    </row>
    <row r="340" ht="15.75" customHeight="1">
      <c r="AH340" s="300"/>
      <c r="AI340" s="301"/>
      <c r="AJ340" s="302"/>
      <c r="AK340" s="21"/>
    </row>
    <row r="341" ht="15.75" customHeight="1">
      <c r="AH341" s="300"/>
      <c r="AI341" s="301"/>
      <c r="AJ341" s="302"/>
      <c r="AK341" s="21"/>
    </row>
    <row r="342" ht="15.75" customHeight="1">
      <c r="AH342" s="300"/>
      <c r="AI342" s="301"/>
      <c r="AJ342" s="302"/>
      <c r="AK342" s="21"/>
    </row>
    <row r="343" ht="15.75" customHeight="1">
      <c r="AH343" s="300"/>
      <c r="AI343" s="301"/>
      <c r="AJ343" s="302"/>
      <c r="AK343" s="21"/>
    </row>
    <row r="344" ht="15.75" customHeight="1">
      <c r="AH344" s="300"/>
      <c r="AI344" s="301"/>
      <c r="AJ344" s="302"/>
      <c r="AK344" s="21"/>
    </row>
    <row r="345" ht="15.75" customHeight="1">
      <c r="AH345" s="300"/>
      <c r="AI345" s="301"/>
      <c r="AJ345" s="302"/>
      <c r="AK345" s="21"/>
    </row>
    <row r="346" ht="15.75" customHeight="1">
      <c r="AH346" s="300"/>
      <c r="AI346" s="301"/>
      <c r="AJ346" s="302"/>
      <c r="AK346" s="21"/>
    </row>
    <row r="347" ht="15.75" customHeight="1">
      <c r="AH347" s="300"/>
      <c r="AI347" s="301"/>
      <c r="AJ347" s="302"/>
      <c r="AK347" s="21"/>
    </row>
    <row r="348" ht="15.75" customHeight="1">
      <c r="AH348" s="300"/>
      <c r="AI348" s="301"/>
      <c r="AJ348" s="302"/>
      <c r="AK348" s="21"/>
    </row>
    <row r="349" ht="15.75" customHeight="1">
      <c r="AH349" s="300"/>
      <c r="AI349" s="301"/>
      <c r="AJ349" s="302"/>
      <c r="AK349" s="21"/>
    </row>
    <row r="350" ht="15.75" customHeight="1">
      <c r="AH350" s="300"/>
      <c r="AI350" s="301"/>
      <c r="AJ350" s="302"/>
      <c r="AK350" s="21"/>
    </row>
    <row r="351" ht="15.75" customHeight="1">
      <c r="AH351" s="300"/>
      <c r="AI351" s="301"/>
      <c r="AJ351" s="302"/>
      <c r="AK351" s="21"/>
    </row>
    <row r="352" ht="15.75" customHeight="1">
      <c r="AH352" s="300"/>
      <c r="AI352" s="301"/>
      <c r="AJ352" s="302"/>
      <c r="AK352" s="21"/>
    </row>
    <row r="353" ht="15.75" customHeight="1">
      <c r="AH353" s="300"/>
      <c r="AI353" s="301"/>
      <c r="AJ353" s="302"/>
      <c r="AK353" s="21"/>
    </row>
    <row r="354" ht="15.75" customHeight="1">
      <c r="AH354" s="300"/>
      <c r="AI354" s="301"/>
      <c r="AJ354" s="302"/>
      <c r="AK354" s="21"/>
    </row>
    <row r="355" ht="15.75" customHeight="1">
      <c r="AH355" s="300"/>
      <c r="AI355" s="301"/>
      <c r="AJ355" s="302"/>
      <c r="AK355" s="21"/>
    </row>
    <row r="356" ht="15.75" customHeight="1">
      <c r="AH356" s="300"/>
      <c r="AI356" s="301"/>
      <c r="AJ356" s="302"/>
      <c r="AK356" s="21"/>
    </row>
    <row r="357" ht="15.75" customHeight="1">
      <c r="AH357" s="300"/>
      <c r="AI357" s="301"/>
      <c r="AJ357" s="302"/>
      <c r="AK357" s="21"/>
    </row>
    <row r="358" ht="15.75" customHeight="1">
      <c r="AH358" s="300"/>
      <c r="AI358" s="301"/>
      <c r="AJ358" s="302"/>
      <c r="AK358" s="21"/>
    </row>
    <row r="359" ht="15.75" customHeight="1">
      <c r="AH359" s="300"/>
      <c r="AI359" s="301"/>
      <c r="AJ359" s="302"/>
      <c r="AK359" s="21"/>
    </row>
    <row r="360" ht="15.75" customHeight="1">
      <c r="AH360" s="300"/>
      <c r="AI360" s="301"/>
      <c r="AJ360" s="302"/>
      <c r="AK360" s="21"/>
    </row>
    <row r="361" ht="15.75" customHeight="1">
      <c r="AH361" s="300"/>
      <c r="AI361" s="301"/>
      <c r="AJ361" s="302"/>
      <c r="AK361" s="21"/>
    </row>
    <row r="362" ht="15.75" customHeight="1">
      <c r="AH362" s="300"/>
      <c r="AI362" s="301"/>
      <c r="AJ362" s="302"/>
      <c r="AK362" s="21"/>
    </row>
    <row r="363" ht="15.75" customHeight="1">
      <c r="AH363" s="300"/>
      <c r="AI363" s="301"/>
      <c r="AJ363" s="302"/>
      <c r="AK363" s="21"/>
    </row>
    <row r="364" ht="15.75" customHeight="1">
      <c r="AH364" s="300"/>
      <c r="AI364" s="301"/>
      <c r="AJ364" s="302"/>
      <c r="AK364" s="21"/>
    </row>
    <row r="365" ht="15.75" customHeight="1">
      <c r="AH365" s="300"/>
      <c r="AI365" s="301"/>
      <c r="AJ365" s="302"/>
      <c r="AK365" s="21"/>
    </row>
    <row r="366" ht="15.75" customHeight="1">
      <c r="AH366" s="300"/>
      <c r="AI366" s="301"/>
      <c r="AJ366" s="302"/>
      <c r="AK366" s="21"/>
    </row>
    <row r="367" ht="15.75" customHeight="1">
      <c r="AH367" s="300"/>
      <c r="AI367" s="301"/>
      <c r="AJ367" s="302"/>
      <c r="AK367" s="21"/>
    </row>
    <row r="368" ht="15.75" customHeight="1">
      <c r="AH368" s="300"/>
      <c r="AI368" s="301"/>
      <c r="AJ368" s="302"/>
      <c r="AK368" s="21"/>
    </row>
    <row r="369" ht="15.75" customHeight="1">
      <c r="AH369" s="300"/>
      <c r="AI369" s="301"/>
      <c r="AJ369" s="302"/>
      <c r="AK369" s="21"/>
    </row>
    <row r="370" ht="15.75" customHeight="1">
      <c r="AH370" s="300"/>
      <c r="AI370" s="301"/>
      <c r="AJ370" s="302"/>
      <c r="AK370" s="21"/>
    </row>
    <row r="371" ht="15.75" customHeight="1">
      <c r="AH371" s="300"/>
      <c r="AI371" s="301"/>
      <c r="AJ371" s="302"/>
      <c r="AK371" s="21"/>
    </row>
    <row r="372" ht="15.75" customHeight="1">
      <c r="AH372" s="300"/>
      <c r="AI372" s="301"/>
      <c r="AJ372" s="302"/>
      <c r="AK372" s="21"/>
    </row>
    <row r="373" ht="15.75" customHeight="1">
      <c r="AH373" s="300"/>
      <c r="AI373" s="301"/>
      <c r="AJ373" s="302"/>
      <c r="AK373" s="21"/>
    </row>
    <row r="374" ht="15.75" customHeight="1">
      <c r="AH374" s="300"/>
      <c r="AI374" s="301"/>
      <c r="AJ374" s="302"/>
      <c r="AK374" s="21"/>
    </row>
    <row r="375" ht="15.75" customHeight="1">
      <c r="AH375" s="300"/>
      <c r="AI375" s="301"/>
      <c r="AJ375" s="302"/>
      <c r="AK375" s="21"/>
    </row>
    <row r="376" ht="15.75" customHeight="1">
      <c r="AH376" s="300"/>
      <c r="AI376" s="301"/>
      <c r="AJ376" s="302"/>
      <c r="AK376" s="21"/>
    </row>
    <row r="377" ht="15.75" customHeight="1">
      <c r="AH377" s="300"/>
      <c r="AI377" s="301"/>
      <c r="AJ377" s="302"/>
      <c r="AK377" s="21"/>
    </row>
    <row r="378" ht="15.75" customHeight="1">
      <c r="AH378" s="300"/>
      <c r="AI378" s="301"/>
      <c r="AJ378" s="302"/>
      <c r="AK378" s="21"/>
    </row>
    <row r="379" ht="15.75" customHeight="1">
      <c r="AH379" s="300"/>
      <c r="AI379" s="301"/>
      <c r="AJ379" s="302"/>
      <c r="AK379" s="21"/>
    </row>
    <row r="380" ht="15.75" customHeight="1">
      <c r="AH380" s="300"/>
      <c r="AI380" s="301"/>
      <c r="AJ380" s="302"/>
      <c r="AK380" s="21"/>
    </row>
    <row r="381" ht="15.75" customHeight="1">
      <c r="AH381" s="300"/>
      <c r="AI381" s="301"/>
      <c r="AJ381" s="302"/>
      <c r="AK381" s="21"/>
    </row>
    <row r="382" ht="15.75" customHeight="1">
      <c r="AH382" s="300"/>
      <c r="AI382" s="301"/>
      <c r="AJ382" s="302"/>
      <c r="AK382" s="21"/>
    </row>
    <row r="383" ht="15.75" customHeight="1">
      <c r="AH383" s="300"/>
      <c r="AI383" s="301"/>
      <c r="AJ383" s="302"/>
      <c r="AK383" s="21"/>
    </row>
    <row r="384" ht="15.75" customHeight="1">
      <c r="AH384" s="300"/>
      <c r="AI384" s="301"/>
      <c r="AJ384" s="302"/>
      <c r="AK384" s="21"/>
    </row>
    <row r="385" ht="15.75" customHeight="1">
      <c r="AH385" s="300"/>
      <c r="AI385" s="301"/>
      <c r="AJ385" s="302"/>
      <c r="AK385" s="21"/>
    </row>
    <row r="386" ht="15.75" customHeight="1">
      <c r="AH386" s="300"/>
      <c r="AI386" s="301"/>
      <c r="AJ386" s="302"/>
      <c r="AK386" s="21"/>
    </row>
    <row r="387" ht="15.75" customHeight="1">
      <c r="AH387" s="300"/>
      <c r="AI387" s="301"/>
      <c r="AJ387" s="302"/>
      <c r="AK387" s="21"/>
    </row>
    <row r="388" ht="15.75" customHeight="1">
      <c r="AH388" s="300"/>
      <c r="AI388" s="301"/>
      <c r="AJ388" s="302"/>
      <c r="AK388" s="21"/>
    </row>
    <row r="389" ht="15.75" customHeight="1">
      <c r="AH389" s="300"/>
      <c r="AI389" s="301"/>
      <c r="AJ389" s="302"/>
      <c r="AK389" s="21"/>
    </row>
    <row r="390" ht="15.75" customHeight="1">
      <c r="AH390" s="300"/>
      <c r="AI390" s="301"/>
      <c r="AJ390" s="302"/>
      <c r="AK390" s="21"/>
    </row>
    <row r="391" ht="15.75" customHeight="1">
      <c r="AH391" s="300"/>
      <c r="AI391" s="301"/>
      <c r="AJ391" s="302"/>
      <c r="AK391" s="21"/>
    </row>
    <row r="392" ht="15.75" customHeight="1">
      <c r="AH392" s="300"/>
      <c r="AI392" s="301"/>
      <c r="AJ392" s="302"/>
      <c r="AK392" s="21"/>
    </row>
    <row r="393" ht="15.75" customHeight="1">
      <c r="AH393" s="300"/>
      <c r="AI393" s="301"/>
      <c r="AJ393" s="302"/>
      <c r="AK393" s="21"/>
    </row>
    <row r="394" ht="15.75" customHeight="1">
      <c r="AH394" s="300"/>
      <c r="AI394" s="301"/>
      <c r="AJ394" s="302"/>
      <c r="AK394" s="21"/>
    </row>
    <row r="395" ht="15.75" customHeight="1">
      <c r="AH395" s="300"/>
      <c r="AI395" s="301"/>
      <c r="AJ395" s="302"/>
      <c r="AK395" s="21"/>
    </row>
    <row r="396" ht="15.75" customHeight="1">
      <c r="AH396" s="300"/>
      <c r="AI396" s="301"/>
      <c r="AJ396" s="302"/>
      <c r="AK396" s="21"/>
    </row>
    <row r="397" ht="15.75" customHeight="1">
      <c r="AH397" s="300"/>
      <c r="AI397" s="301"/>
      <c r="AJ397" s="302"/>
      <c r="AK397" s="21"/>
    </row>
    <row r="398" ht="15.75" customHeight="1">
      <c r="AH398" s="300"/>
      <c r="AI398" s="301"/>
      <c r="AJ398" s="302"/>
      <c r="AK398" s="21"/>
    </row>
    <row r="399" ht="15.75" customHeight="1">
      <c r="AH399" s="300"/>
      <c r="AI399" s="301"/>
      <c r="AJ399" s="302"/>
      <c r="AK399" s="21"/>
    </row>
    <row r="400" ht="15.75" customHeight="1">
      <c r="AH400" s="300"/>
      <c r="AI400" s="301"/>
      <c r="AJ400" s="302"/>
      <c r="AK400" s="21"/>
    </row>
    <row r="401" ht="15.75" customHeight="1">
      <c r="AH401" s="300"/>
      <c r="AI401" s="301"/>
      <c r="AJ401" s="302"/>
      <c r="AK401" s="21"/>
    </row>
    <row r="402" ht="15.75" customHeight="1">
      <c r="AH402" s="300"/>
      <c r="AI402" s="301"/>
      <c r="AJ402" s="302"/>
      <c r="AK402" s="21"/>
    </row>
    <row r="403" ht="15.75" customHeight="1">
      <c r="AH403" s="300"/>
      <c r="AI403" s="301"/>
      <c r="AJ403" s="302"/>
      <c r="AK403" s="21"/>
    </row>
    <row r="404" ht="15.75" customHeight="1">
      <c r="AH404" s="300"/>
      <c r="AI404" s="301"/>
      <c r="AJ404" s="302"/>
      <c r="AK404" s="21"/>
    </row>
    <row r="405" ht="15.75" customHeight="1">
      <c r="AH405" s="300"/>
      <c r="AI405" s="301"/>
      <c r="AJ405" s="302"/>
      <c r="AK405" s="21"/>
    </row>
    <row r="406" ht="15.75" customHeight="1">
      <c r="AH406" s="300"/>
      <c r="AI406" s="301"/>
      <c r="AJ406" s="302"/>
      <c r="AK406" s="21"/>
    </row>
    <row r="407" ht="15.75" customHeight="1">
      <c r="AH407" s="300"/>
      <c r="AI407" s="301"/>
      <c r="AJ407" s="302"/>
      <c r="AK407" s="21"/>
    </row>
    <row r="408" ht="15.75" customHeight="1">
      <c r="AH408" s="300"/>
      <c r="AI408" s="301"/>
      <c r="AJ408" s="302"/>
      <c r="AK408" s="21"/>
    </row>
    <row r="409" ht="15.75" customHeight="1">
      <c r="AH409" s="300"/>
      <c r="AI409" s="301"/>
      <c r="AJ409" s="302"/>
      <c r="AK409" s="21"/>
    </row>
    <row r="410" ht="15.75" customHeight="1">
      <c r="AH410" s="300"/>
      <c r="AI410" s="301"/>
      <c r="AJ410" s="302"/>
      <c r="AK410" s="21"/>
    </row>
    <row r="411" ht="15.75" customHeight="1">
      <c r="AH411" s="300"/>
      <c r="AI411" s="301"/>
      <c r="AJ411" s="302"/>
      <c r="AK411" s="21"/>
    </row>
    <row r="412" ht="15.75" customHeight="1">
      <c r="AH412" s="300"/>
      <c r="AI412" s="301"/>
      <c r="AJ412" s="302"/>
      <c r="AK412" s="21"/>
    </row>
    <row r="413" ht="15.75" customHeight="1">
      <c r="AH413" s="300"/>
      <c r="AI413" s="301"/>
      <c r="AJ413" s="302"/>
      <c r="AK413" s="21"/>
    </row>
    <row r="414" ht="15.75" customHeight="1">
      <c r="AH414" s="300"/>
      <c r="AI414" s="301"/>
      <c r="AJ414" s="302"/>
      <c r="AK414" s="21"/>
    </row>
    <row r="415" ht="15.75" customHeight="1">
      <c r="AH415" s="300"/>
      <c r="AI415" s="301"/>
      <c r="AJ415" s="302"/>
      <c r="AK415" s="21"/>
    </row>
    <row r="416" ht="15.75" customHeight="1">
      <c r="AH416" s="300"/>
      <c r="AI416" s="301"/>
      <c r="AJ416" s="302"/>
      <c r="AK416" s="21"/>
    </row>
    <row r="417" ht="15.75" customHeight="1">
      <c r="AH417" s="300"/>
      <c r="AI417" s="301"/>
      <c r="AJ417" s="302"/>
      <c r="AK417" s="21"/>
    </row>
    <row r="418" ht="15.75" customHeight="1">
      <c r="AH418" s="300"/>
      <c r="AI418" s="301"/>
      <c r="AJ418" s="302"/>
      <c r="AK418" s="21"/>
    </row>
    <row r="419" ht="15.75" customHeight="1">
      <c r="AH419" s="300"/>
      <c r="AI419" s="301"/>
      <c r="AJ419" s="302"/>
      <c r="AK419" s="21"/>
    </row>
    <row r="420" ht="15.75" customHeight="1">
      <c r="AH420" s="300"/>
      <c r="AI420" s="301"/>
      <c r="AJ420" s="302"/>
      <c r="AK420" s="21"/>
    </row>
    <row r="421" ht="15.75" customHeight="1">
      <c r="AH421" s="300"/>
      <c r="AI421" s="301"/>
      <c r="AJ421" s="302"/>
      <c r="AK421" s="21"/>
    </row>
    <row r="422" ht="15.75" customHeight="1">
      <c r="AH422" s="300"/>
      <c r="AI422" s="301"/>
      <c r="AJ422" s="302"/>
      <c r="AK422" s="21"/>
    </row>
    <row r="423" ht="15.75" customHeight="1">
      <c r="AH423" s="300"/>
      <c r="AI423" s="301"/>
      <c r="AJ423" s="302"/>
      <c r="AK423" s="21"/>
    </row>
    <row r="424" ht="15.75" customHeight="1">
      <c r="AH424" s="300"/>
      <c r="AI424" s="301"/>
      <c r="AJ424" s="302"/>
      <c r="AK424" s="21"/>
    </row>
    <row r="425" ht="15.75" customHeight="1">
      <c r="AH425" s="300"/>
      <c r="AI425" s="301"/>
      <c r="AJ425" s="302"/>
      <c r="AK425" s="21"/>
    </row>
    <row r="426" ht="15.75" customHeight="1">
      <c r="AH426" s="300"/>
      <c r="AI426" s="301"/>
      <c r="AJ426" s="302"/>
      <c r="AK426" s="21"/>
    </row>
    <row r="427" ht="15.75" customHeight="1">
      <c r="AH427" s="300"/>
      <c r="AI427" s="301"/>
      <c r="AJ427" s="302"/>
      <c r="AK427" s="21"/>
    </row>
    <row r="428" ht="15.75" customHeight="1">
      <c r="AH428" s="300"/>
      <c r="AI428" s="301"/>
      <c r="AJ428" s="302"/>
      <c r="AK428" s="21"/>
    </row>
    <row r="429" ht="15.75" customHeight="1">
      <c r="AH429" s="300"/>
      <c r="AI429" s="301"/>
      <c r="AJ429" s="302"/>
      <c r="AK429" s="21"/>
    </row>
    <row r="430" ht="15.75" customHeight="1">
      <c r="AH430" s="300"/>
      <c r="AI430" s="301"/>
      <c r="AJ430" s="302"/>
      <c r="AK430" s="21"/>
    </row>
    <row r="431" ht="15.75" customHeight="1">
      <c r="AH431" s="300"/>
      <c r="AI431" s="301"/>
      <c r="AJ431" s="302"/>
      <c r="AK431" s="21"/>
    </row>
    <row r="432" ht="15.75" customHeight="1">
      <c r="AH432" s="300"/>
      <c r="AI432" s="301"/>
      <c r="AJ432" s="302"/>
      <c r="AK432" s="21"/>
    </row>
    <row r="433" ht="15.75" customHeight="1">
      <c r="AH433" s="300"/>
      <c r="AI433" s="301"/>
      <c r="AJ433" s="302"/>
      <c r="AK433" s="21"/>
    </row>
    <row r="434" ht="15.75" customHeight="1">
      <c r="AH434" s="300"/>
      <c r="AI434" s="301"/>
      <c r="AJ434" s="302"/>
      <c r="AK434" s="21"/>
    </row>
    <row r="435" ht="15.75" customHeight="1">
      <c r="AH435" s="300"/>
      <c r="AI435" s="301"/>
      <c r="AJ435" s="302"/>
      <c r="AK435" s="21"/>
    </row>
    <row r="436" ht="15.75" customHeight="1">
      <c r="AH436" s="300"/>
      <c r="AI436" s="301"/>
      <c r="AJ436" s="302"/>
      <c r="AK436" s="21"/>
    </row>
    <row r="437" ht="15.75" customHeight="1">
      <c r="AH437" s="300"/>
      <c r="AI437" s="301"/>
      <c r="AJ437" s="302"/>
      <c r="AK437" s="21"/>
    </row>
    <row r="438" ht="15.75" customHeight="1">
      <c r="AH438" s="300"/>
      <c r="AI438" s="301"/>
      <c r="AJ438" s="302"/>
      <c r="AK438" s="21"/>
    </row>
    <row r="439" ht="15.75" customHeight="1">
      <c r="AH439" s="300"/>
      <c r="AI439" s="301"/>
      <c r="AJ439" s="302"/>
      <c r="AK439" s="21"/>
    </row>
    <row r="440" ht="15.75" customHeight="1">
      <c r="AH440" s="300"/>
      <c r="AI440" s="301"/>
      <c r="AJ440" s="302"/>
      <c r="AK440" s="21"/>
    </row>
    <row r="441" ht="15.75" customHeight="1">
      <c r="AH441" s="300"/>
      <c r="AI441" s="301"/>
      <c r="AJ441" s="302"/>
      <c r="AK441" s="21"/>
    </row>
    <row r="442" ht="15.75" customHeight="1">
      <c r="AH442" s="300"/>
      <c r="AI442" s="301"/>
      <c r="AJ442" s="302"/>
      <c r="AK442" s="21"/>
    </row>
    <row r="443" ht="15.75" customHeight="1">
      <c r="AH443" s="300"/>
      <c r="AI443" s="301"/>
      <c r="AJ443" s="302"/>
      <c r="AK443" s="21"/>
    </row>
    <row r="444" ht="15.75" customHeight="1">
      <c r="AH444" s="300"/>
      <c r="AI444" s="301"/>
      <c r="AJ444" s="302"/>
      <c r="AK444" s="21"/>
    </row>
    <row r="445" ht="15.75" customHeight="1">
      <c r="AH445" s="300"/>
      <c r="AI445" s="301"/>
      <c r="AJ445" s="302"/>
      <c r="AK445" s="21"/>
    </row>
    <row r="446" ht="15.75" customHeight="1">
      <c r="AH446" s="300"/>
      <c r="AI446" s="301"/>
      <c r="AJ446" s="302"/>
      <c r="AK446" s="21"/>
    </row>
    <row r="447" ht="15.75" customHeight="1">
      <c r="AH447" s="300"/>
      <c r="AI447" s="301"/>
      <c r="AJ447" s="302"/>
      <c r="AK447" s="21"/>
    </row>
    <row r="448" ht="15.75" customHeight="1">
      <c r="AH448" s="300"/>
      <c r="AI448" s="301"/>
      <c r="AJ448" s="302"/>
      <c r="AK448" s="21"/>
    </row>
    <row r="449" ht="15.75" customHeight="1">
      <c r="AH449" s="300"/>
      <c r="AI449" s="301"/>
      <c r="AJ449" s="302"/>
      <c r="AK449" s="21"/>
    </row>
    <row r="450" ht="15.75" customHeight="1">
      <c r="AH450" s="300"/>
      <c r="AI450" s="301"/>
      <c r="AJ450" s="302"/>
      <c r="AK450" s="21"/>
    </row>
    <row r="451" ht="15.75" customHeight="1">
      <c r="AH451" s="300"/>
      <c r="AI451" s="301"/>
      <c r="AJ451" s="302"/>
      <c r="AK451" s="21"/>
    </row>
    <row r="452" ht="15.75" customHeight="1">
      <c r="AH452" s="300"/>
      <c r="AI452" s="301"/>
      <c r="AJ452" s="302"/>
      <c r="AK452" s="21"/>
    </row>
    <row r="453" ht="15.75" customHeight="1">
      <c r="AH453" s="300"/>
      <c r="AI453" s="301"/>
      <c r="AJ453" s="302"/>
      <c r="AK453" s="21"/>
    </row>
    <row r="454" ht="15.75" customHeight="1">
      <c r="AH454" s="300"/>
      <c r="AI454" s="301"/>
      <c r="AJ454" s="302"/>
      <c r="AK454" s="21"/>
    </row>
    <row r="455" ht="15.75" customHeight="1">
      <c r="AH455" s="300"/>
      <c r="AI455" s="301"/>
      <c r="AJ455" s="302"/>
      <c r="AK455" s="21"/>
    </row>
    <row r="456" ht="15.75" customHeight="1">
      <c r="AH456" s="300"/>
      <c r="AI456" s="301"/>
      <c r="AJ456" s="302"/>
      <c r="AK456" s="21"/>
    </row>
    <row r="457" ht="15.75" customHeight="1">
      <c r="AH457" s="300"/>
      <c r="AI457" s="301"/>
      <c r="AJ457" s="302"/>
      <c r="AK457" s="21"/>
    </row>
    <row r="458" ht="15.75" customHeight="1">
      <c r="AH458" s="300"/>
      <c r="AI458" s="301"/>
      <c r="AJ458" s="302"/>
      <c r="AK458" s="21"/>
    </row>
    <row r="459" ht="15.75" customHeight="1">
      <c r="AH459" s="300"/>
      <c r="AI459" s="301"/>
      <c r="AJ459" s="302"/>
      <c r="AK459" s="21"/>
    </row>
    <row r="460" ht="15.75" customHeight="1">
      <c r="AH460" s="300"/>
      <c r="AI460" s="301"/>
      <c r="AJ460" s="302"/>
      <c r="AK460" s="21"/>
    </row>
    <row r="461" ht="15.75" customHeight="1">
      <c r="AH461" s="300"/>
      <c r="AI461" s="301"/>
      <c r="AJ461" s="302"/>
      <c r="AK461" s="21"/>
    </row>
    <row r="462" ht="15.75" customHeight="1">
      <c r="AH462" s="300"/>
      <c r="AI462" s="301"/>
      <c r="AJ462" s="302"/>
      <c r="AK462" s="21"/>
    </row>
    <row r="463" ht="15.75" customHeight="1">
      <c r="AH463" s="300"/>
      <c r="AI463" s="301"/>
      <c r="AJ463" s="302"/>
      <c r="AK463" s="21"/>
    </row>
    <row r="464" ht="15.75" customHeight="1">
      <c r="AH464" s="300"/>
      <c r="AI464" s="301"/>
      <c r="AJ464" s="302"/>
      <c r="AK464" s="21"/>
    </row>
    <row r="465" ht="15.75" customHeight="1">
      <c r="AH465" s="300"/>
      <c r="AI465" s="301"/>
      <c r="AJ465" s="302"/>
      <c r="AK465" s="21"/>
    </row>
    <row r="466" ht="15.75" customHeight="1">
      <c r="AH466" s="300"/>
      <c r="AI466" s="301"/>
      <c r="AJ466" s="302"/>
      <c r="AK466" s="21"/>
    </row>
    <row r="467" ht="15.75" customHeight="1">
      <c r="AH467" s="300"/>
      <c r="AI467" s="301"/>
      <c r="AJ467" s="302"/>
      <c r="AK467" s="21"/>
    </row>
    <row r="468" ht="15.75" customHeight="1">
      <c r="AH468" s="300"/>
      <c r="AI468" s="301"/>
      <c r="AJ468" s="302"/>
      <c r="AK468" s="21"/>
    </row>
    <row r="469" ht="15.75" customHeight="1">
      <c r="AH469" s="300"/>
      <c r="AI469" s="301"/>
      <c r="AJ469" s="302"/>
      <c r="AK469" s="21"/>
    </row>
    <row r="470" ht="15.75" customHeight="1">
      <c r="AH470" s="300"/>
      <c r="AI470" s="301"/>
      <c r="AJ470" s="302"/>
      <c r="AK470" s="21"/>
    </row>
    <row r="471" ht="15.75" customHeight="1">
      <c r="AH471" s="300"/>
      <c r="AI471" s="301"/>
      <c r="AJ471" s="302"/>
      <c r="AK471" s="21"/>
    </row>
    <row r="472" ht="15.75" customHeight="1">
      <c r="AH472" s="300"/>
      <c r="AI472" s="301"/>
      <c r="AJ472" s="302"/>
      <c r="AK472" s="21"/>
    </row>
    <row r="473" ht="15.75" customHeight="1">
      <c r="AH473" s="300"/>
      <c r="AI473" s="301"/>
      <c r="AJ473" s="302"/>
      <c r="AK473" s="21"/>
    </row>
    <row r="474" ht="15.75" customHeight="1">
      <c r="AH474" s="300"/>
      <c r="AI474" s="301"/>
      <c r="AJ474" s="302"/>
      <c r="AK474" s="21"/>
    </row>
    <row r="475" ht="15.75" customHeight="1">
      <c r="AH475" s="300"/>
      <c r="AI475" s="301"/>
      <c r="AJ475" s="302"/>
      <c r="AK475" s="21"/>
    </row>
    <row r="476" ht="15.75" customHeight="1">
      <c r="AH476" s="300"/>
      <c r="AI476" s="301"/>
      <c r="AJ476" s="302"/>
      <c r="AK476" s="21"/>
    </row>
    <row r="477" ht="15.75" customHeight="1">
      <c r="AH477" s="300"/>
      <c r="AI477" s="301"/>
      <c r="AJ477" s="302"/>
      <c r="AK477" s="21"/>
    </row>
    <row r="478" ht="15.75" customHeight="1">
      <c r="AH478" s="300"/>
      <c r="AI478" s="301"/>
      <c r="AJ478" s="302"/>
      <c r="AK478" s="21"/>
    </row>
    <row r="479" ht="15.75" customHeight="1">
      <c r="AH479" s="300"/>
      <c r="AI479" s="301"/>
      <c r="AJ479" s="302"/>
      <c r="AK479" s="21"/>
    </row>
    <row r="480" ht="15.75" customHeight="1">
      <c r="AH480" s="300"/>
      <c r="AI480" s="301"/>
      <c r="AJ480" s="302"/>
      <c r="AK480" s="21"/>
    </row>
    <row r="481" ht="15.75" customHeight="1">
      <c r="AH481" s="300"/>
      <c r="AI481" s="301"/>
      <c r="AJ481" s="302"/>
      <c r="AK481" s="21"/>
    </row>
    <row r="482" ht="15.75" customHeight="1">
      <c r="AH482" s="300"/>
      <c r="AI482" s="301"/>
      <c r="AJ482" s="302"/>
      <c r="AK482" s="21"/>
    </row>
    <row r="483" ht="15.75" customHeight="1">
      <c r="AH483" s="300"/>
      <c r="AI483" s="301"/>
      <c r="AJ483" s="302"/>
      <c r="AK483" s="21"/>
    </row>
    <row r="484" ht="15.75" customHeight="1">
      <c r="AH484" s="300"/>
      <c r="AI484" s="301"/>
      <c r="AJ484" s="302"/>
      <c r="AK484" s="21"/>
    </row>
    <row r="485" ht="15.75" customHeight="1">
      <c r="AH485" s="300"/>
      <c r="AI485" s="301"/>
      <c r="AJ485" s="302"/>
      <c r="AK485" s="21"/>
    </row>
    <row r="486" ht="15.75" customHeight="1">
      <c r="AH486" s="300"/>
      <c r="AI486" s="301"/>
      <c r="AJ486" s="302"/>
      <c r="AK486" s="21"/>
    </row>
    <row r="487" ht="15.75" customHeight="1">
      <c r="AH487" s="300"/>
      <c r="AI487" s="301"/>
      <c r="AJ487" s="302"/>
      <c r="AK487" s="21"/>
    </row>
    <row r="488" ht="15.75" customHeight="1">
      <c r="AH488" s="300"/>
      <c r="AI488" s="301"/>
      <c r="AJ488" s="302"/>
      <c r="AK488" s="21"/>
    </row>
    <row r="489" ht="15.75" customHeight="1">
      <c r="AH489" s="300"/>
      <c r="AI489" s="301"/>
      <c r="AJ489" s="302"/>
      <c r="AK489" s="21"/>
    </row>
    <row r="490" ht="15.75" customHeight="1">
      <c r="AH490" s="300"/>
      <c r="AI490" s="301"/>
      <c r="AJ490" s="302"/>
      <c r="AK490" s="21"/>
    </row>
    <row r="491" ht="15.75" customHeight="1">
      <c r="AH491" s="300"/>
      <c r="AI491" s="301"/>
      <c r="AJ491" s="302"/>
      <c r="AK491" s="21"/>
    </row>
    <row r="492" ht="15.75" customHeight="1">
      <c r="AH492" s="300"/>
      <c r="AI492" s="301"/>
      <c r="AJ492" s="302"/>
      <c r="AK492" s="21"/>
    </row>
    <row r="493" ht="15.75" customHeight="1">
      <c r="AH493" s="300"/>
      <c r="AI493" s="301"/>
      <c r="AJ493" s="302"/>
      <c r="AK493" s="21"/>
    </row>
    <row r="494" ht="15.75" customHeight="1">
      <c r="AH494" s="300"/>
      <c r="AI494" s="301"/>
      <c r="AJ494" s="302"/>
      <c r="AK494" s="21"/>
    </row>
    <row r="495" ht="15.75" customHeight="1">
      <c r="AH495" s="300"/>
      <c r="AI495" s="301"/>
      <c r="AJ495" s="302"/>
      <c r="AK495" s="21"/>
    </row>
    <row r="496" ht="15.75" customHeight="1">
      <c r="AH496" s="300"/>
      <c r="AI496" s="301"/>
      <c r="AJ496" s="302"/>
      <c r="AK496" s="21"/>
    </row>
    <row r="497" ht="15.75" customHeight="1">
      <c r="AH497" s="300"/>
      <c r="AI497" s="301"/>
      <c r="AJ497" s="302"/>
      <c r="AK497" s="21"/>
    </row>
    <row r="498" ht="15.75" customHeight="1">
      <c r="AH498" s="300"/>
      <c r="AI498" s="301"/>
      <c r="AJ498" s="302"/>
      <c r="AK498" s="21"/>
    </row>
    <row r="499" ht="15.75" customHeight="1">
      <c r="AH499" s="300"/>
      <c r="AI499" s="301"/>
      <c r="AJ499" s="302"/>
      <c r="AK499" s="21"/>
    </row>
    <row r="500" ht="15.75" customHeight="1">
      <c r="AH500" s="300"/>
      <c r="AI500" s="301"/>
      <c r="AJ500" s="302"/>
      <c r="AK500" s="21"/>
    </row>
    <row r="501" ht="15.75" customHeight="1">
      <c r="AH501" s="300"/>
      <c r="AI501" s="301"/>
      <c r="AJ501" s="302"/>
      <c r="AK501" s="21"/>
    </row>
    <row r="502" ht="15.75" customHeight="1">
      <c r="AH502" s="300"/>
      <c r="AI502" s="301"/>
      <c r="AJ502" s="302"/>
      <c r="AK502" s="21"/>
    </row>
    <row r="503" ht="15.75" customHeight="1">
      <c r="AH503" s="300"/>
      <c r="AI503" s="301"/>
      <c r="AJ503" s="302"/>
      <c r="AK503" s="21"/>
    </row>
    <row r="504" ht="15.75" customHeight="1">
      <c r="AH504" s="300"/>
      <c r="AI504" s="301"/>
      <c r="AJ504" s="302"/>
      <c r="AK504" s="21"/>
    </row>
    <row r="505" ht="15.75" customHeight="1">
      <c r="AH505" s="300"/>
      <c r="AI505" s="301"/>
      <c r="AJ505" s="302"/>
      <c r="AK505" s="21"/>
    </row>
    <row r="506" ht="15.75" customHeight="1">
      <c r="AH506" s="300"/>
      <c r="AI506" s="301"/>
      <c r="AJ506" s="302"/>
      <c r="AK506" s="21"/>
    </row>
    <row r="507" ht="15.75" customHeight="1">
      <c r="AH507" s="300"/>
      <c r="AI507" s="301"/>
      <c r="AJ507" s="302"/>
      <c r="AK507" s="21"/>
    </row>
    <row r="508" ht="15.75" customHeight="1">
      <c r="AH508" s="300"/>
      <c r="AI508" s="301"/>
      <c r="AJ508" s="302"/>
      <c r="AK508" s="21"/>
    </row>
    <row r="509" ht="15.75" customHeight="1">
      <c r="AH509" s="300"/>
      <c r="AI509" s="301"/>
      <c r="AJ509" s="302"/>
      <c r="AK509" s="21"/>
    </row>
    <row r="510" ht="15.75" customHeight="1">
      <c r="AH510" s="300"/>
      <c r="AI510" s="301"/>
      <c r="AJ510" s="302"/>
      <c r="AK510" s="21"/>
    </row>
    <row r="511" ht="15.75" customHeight="1">
      <c r="AH511" s="300"/>
      <c r="AI511" s="301"/>
      <c r="AJ511" s="302"/>
      <c r="AK511" s="21"/>
    </row>
    <row r="512" ht="15.75" customHeight="1">
      <c r="AH512" s="300"/>
      <c r="AI512" s="301"/>
      <c r="AJ512" s="302"/>
      <c r="AK512" s="21"/>
    </row>
    <row r="513" ht="15.75" customHeight="1">
      <c r="AH513" s="300"/>
      <c r="AI513" s="301"/>
      <c r="AJ513" s="302"/>
      <c r="AK513" s="21"/>
    </row>
    <row r="514" ht="15.75" customHeight="1">
      <c r="AH514" s="300"/>
      <c r="AI514" s="301"/>
      <c r="AJ514" s="302"/>
      <c r="AK514" s="21"/>
    </row>
    <row r="515" ht="15.75" customHeight="1">
      <c r="AH515" s="300"/>
      <c r="AI515" s="301"/>
      <c r="AJ515" s="302"/>
      <c r="AK515" s="21"/>
    </row>
    <row r="516" ht="15.75" customHeight="1">
      <c r="AH516" s="300"/>
      <c r="AI516" s="301"/>
      <c r="AJ516" s="302"/>
      <c r="AK516" s="21"/>
    </row>
    <row r="517" ht="15.75" customHeight="1">
      <c r="AH517" s="300"/>
      <c r="AI517" s="301"/>
      <c r="AJ517" s="302"/>
      <c r="AK517" s="21"/>
    </row>
    <row r="518" ht="15.75" customHeight="1">
      <c r="AH518" s="300"/>
      <c r="AI518" s="301"/>
      <c r="AJ518" s="302"/>
      <c r="AK518" s="21"/>
    </row>
    <row r="519" ht="15.75" customHeight="1">
      <c r="AH519" s="300"/>
      <c r="AI519" s="301"/>
      <c r="AJ519" s="302"/>
      <c r="AK519" s="21"/>
    </row>
    <row r="520" ht="15.75" customHeight="1">
      <c r="AH520" s="300"/>
      <c r="AI520" s="301"/>
      <c r="AJ520" s="302"/>
      <c r="AK520" s="21"/>
    </row>
    <row r="521" ht="15.75" customHeight="1">
      <c r="AH521" s="300"/>
      <c r="AI521" s="301"/>
      <c r="AJ521" s="302"/>
      <c r="AK521" s="21"/>
    </row>
    <row r="522" ht="15.75" customHeight="1">
      <c r="AH522" s="300"/>
      <c r="AI522" s="301"/>
      <c r="AJ522" s="302"/>
      <c r="AK522" s="21"/>
    </row>
    <row r="523" ht="15.75" customHeight="1">
      <c r="AH523" s="300"/>
      <c r="AI523" s="301"/>
      <c r="AJ523" s="302"/>
      <c r="AK523" s="21"/>
    </row>
    <row r="524" ht="15.75" customHeight="1">
      <c r="AH524" s="300"/>
      <c r="AI524" s="301"/>
      <c r="AJ524" s="302"/>
      <c r="AK524" s="21"/>
    </row>
    <row r="525" ht="15.75" customHeight="1">
      <c r="AH525" s="300"/>
      <c r="AI525" s="301"/>
      <c r="AJ525" s="302"/>
      <c r="AK525" s="21"/>
    </row>
    <row r="526" ht="15.75" customHeight="1">
      <c r="AH526" s="300"/>
      <c r="AI526" s="301"/>
      <c r="AJ526" s="302"/>
      <c r="AK526" s="21"/>
    </row>
    <row r="527" ht="15.75" customHeight="1">
      <c r="AH527" s="300"/>
      <c r="AI527" s="301"/>
      <c r="AJ527" s="302"/>
      <c r="AK527" s="21"/>
    </row>
    <row r="528" ht="15.75" customHeight="1">
      <c r="AH528" s="300"/>
      <c r="AI528" s="301"/>
      <c r="AJ528" s="302"/>
      <c r="AK528" s="21"/>
    </row>
    <row r="529" ht="15.75" customHeight="1">
      <c r="AH529" s="300"/>
      <c r="AI529" s="301"/>
      <c r="AJ529" s="302"/>
      <c r="AK529" s="21"/>
    </row>
    <row r="530" ht="15.75" customHeight="1">
      <c r="AH530" s="300"/>
      <c r="AI530" s="301"/>
      <c r="AJ530" s="302"/>
      <c r="AK530" s="21"/>
    </row>
    <row r="531" ht="15.75" customHeight="1">
      <c r="AH531" s="300"/>
      <c r="AI531" s="301"/>
      <c r="AJ531" s="302"/>
      <c r="AK531" s="21"/>
    </row>
    <row r="532" ht="15.75" customHeight="1">
      <c r="AH532" s="300"/>
      <c r="AI532" s="301"/>
      <c r="AJ532" s="302"/>
      <c r="AK532" s="21"/>
    </row>
    <row r="533" ht="15.75" customHeight="1">
      <c r="AH533" s="300"/>
      <c r="AI533" s="301"/>
      <c r="AJ533" s="302"/>
      <c r="AK533" s="21"/>
    </row>
    <row r="534" ht="15.75" customHeight="1">
      <c r="AH534" s="300"/>
      <c r="AI534" s="301"/>
      <c r="AJ534" s="302"/>
      <c r="AK534" s="21"/>
    </row>
    <row r="535" ht="15.75" customHeight="1">
      <c r="AH535" s="300"/>
      <c r="AI535" s="301"/>
      <c r="AJ535" s="302"/>
      <c r="AK535" s="21"/>
    </row>
    <row r="536" ht="15.75" customHeight="1">
      <c r="AH536" s="300"/>
      <c r="AI536" s="301"/>
      <c r="AJ536" s="302"/>
      <c r="AK536" s="21"/>
    </row>
    <row r="537" ht="15.75" customHeight="1">
      <c r="AH537" s="300"/>
      <c r="AI537" s="301"/>
      <c r="AJ537" s="302"/>
      <c r="AK537" s="21"/>
    </row>
    <row r="538" ht="15.75" customHeight="1">
      <c r="AH538" s="300"/>
      <c r="AI538" s="301"/>
      <c r="AJ538" s="302"/>
      <c r="AK538" s="21"/>
    </row>
    <row r="539" ht="15.75" customHeight="1">
      <c r="AH539" s="300"/>
      <c r="AI539" s="301"/>
      <c r="AJ539" s="302"/>
      <c r="AK539" s="21"/>
    </row>
    <row r="540" ht="15.75" customHeight="1">
      <c r="AH540" s="300"/>
      <c r="AI540" s="301"/>
      <c r="AJ540" s="302"/>
      <c r="AK540" s="21"/>
    </row>
    <row r="541" ht="15.75" customHeight="1">
      <c r="AH541" s="300"/>
      <c r="AI541" s="301"/>
      <c r="AJ541" s="302"/>
      <c r="AK541" s="21"/>
    </row>
    <row r="542" ht="15.75" customHeight="1">
      <c r="AH542" s="300"/>
      <c r="AI542" s="301"/>
      <c r="AJ542" s="302"/>
      <c r="AK542" s="21"/>
    </row>
    <row r="543" ht="15.75" customHeight="1">
      <c r="AH543" s="300"/>
      <c r="AI543" s="301"/>
      <c r="AJ543" s="302"/>
      <c r="AK543" s="21"/>
    </row>
    <row r="544" ht="15.75" customHeight="1">
      <c r="AH544" s="300"/>
      <c r="AI544" s="301"/>
      <c r="AJ544" s="302"/>
      <c r="AK544" s="21"/>
    </row>
    <row r="545" ht="15.75" customHeight="1">
      <c r="AH545" s="300"/>
      <c r="AI545" s="301"/>
      <c r="AJ545" s="302"/>
      <c r="AK545" s="21"/>
    </row>
    <row r="546" ht="15.75" customHeight="1">
      <c r="AH546" s="300"/>
      <c r="AI546" s="301"/>
      <c r="AJ546" s="302"/>
      <c r="AK546" s="21"/>
    </row>
    <row r="547" ht="15.75" customHeight="1">
      <c r="AH547" s="300"/>
      <c r="AI547" s="301"/>
      <c r="AJ547" s="302"/>
      <c r="AK547" s="21"/>
    </row>
    <row r="548" ht="15.75" customHeight="1">
      <c r="AH548" s="300"/>
      <c r="AI548" s="301"/>
      <c r="AJ548" s="302"/>
      <c r="AK548" s="21"/>
    </row>
    <row r="549" ht="15.75" customHeight="1">
      <c r="AH549" s="300"/>
      <c r="AI549" s="301"/>
      <c r="AJ549" s="302"/>
      <c r="AK549" s="21"/>
    </row>
    <row r="550" ht="15.75" customHeight="1">
      <c r="AH550" s="300"/>
      <c r="AI550" s="301"/>
      <c r="AJ550" s="302"/>
      <c r="AK550" s="21"/>
    </row>
    <row r="551" ht="15.75" customHeight="1">
      <c r="AH551" s="300"/>
      <c r="AI551" s="301"/>
      <c r="AJ551" s="302"/>
      <c r="AK551" s="21"/>
    </row>
    <row r="552" ht="15.75" customHeight="1">
      <c r="AH552" s="300"/>
      <c r="AI552" s="301"/>
      <c r="AJ552" s="302"/>
      <c r="AK552" s="21"/>
    </row>
    <row r="553" ht="15.75" customHeight="1">
      <c r="AH553" s="300"/>
      <c r="AI553" s="301"/>
      <c r="AJ553" s="302"/>
      <c r="AK553" s="21"/>
    </row>
    <row r="554" ht="15.75" customHeight="1">
      <c r="AH554" s="300"/>
      <c r="AI554" s="301"/>
      <c r="AJ554" s="302"/>
      <c r="AK554" s="21"/>
    </row>
    <row r="555" ht="15.75" customHeight="1">
      <c r="AH555" s="300"/>
      <c r="AI555" s="301"/>
      <c r="AJ555" s="302"/>
      <c r="AK555" s="21"/>
    </row>
    <row r="556" ht="15.75" customHeight="1">
      <c r="AH556" s="300"/>
      <c r="AI556" s="301"/>
      <c r="AJ556" s="302"/>
      <c r="AK556" s="21"/>
    </row>
    <row r="557" ht="15.75" customHeight="1">
      <c r="AH557" s="300"/>
      <c r="AI557" s="301"/>
      <c r="AJ557" s="302"/>
      <c r="AK557" s="21"/>
    </row>
    <row r="558" ht="15.75" customHeight="1">
      <c r="AH558" s="300"/>
      <c r="AI558" s="301"/>
      <c r="AJ558" s="302"/>
      <c r="AK558" s="21"/>
    </row>
    <row r="559" ht="15.75" customHeight="1">
      <c r="AH559" s="300"/>
      <c r="AI559" s="301"/>
      <c r="AJ559" s="302"/>
      <c r="AK559" s="21"/>
    </row>
    <row r="560" ht="15.75" customHeight="1">
      <c r="AH560" s="300"/>
      <c r="AI560" s="301"/>
      <c r="AJ560" s="302"/>
      <c r="AK560" s="21"/>
    </row>
    <row r="561" ht="15.75" customHeight="1">
      <c r="AH561" s="300"/>
      <c r="AI561" s="301"/>
      <c r="AJ561" s="302"/>
      <c r="AK561" s="21"/>
    </row>
    <row r="562" ht="15.75" customHeight="1">
      <c r="AH562" s="300"/>
      <c r="AI562" s="301"/>
      <c r="AJ562" s="302"/>
      <c r="AK562" s="21"/>
    </row>
    <row r="563" ht="15.75" customHeight="1">
      <c r="AH563" s="300"/>
      <c r="AI563" s="301"/>
      <c r="AJ563" s="302"/>
      <c r="AK563" s="21"/>
    </row>
    <row r="564" ht="15.75" customHeight="1">
      <c r="AH564" s="300"/>
      <c r="AI564" s="301"/>
      <c r="AJ564" s="302"/>
      <c r="AK564" s="21"/>
    </row>
    <row r="565" ht="15.75" customHeight="1">
      <c r="AH565" s="300"/>
      <c r="AI565" s="301"/>
      <c r="AJ565" s="302"/>
      <c r="AK565" s="21"/>
    </row>
    <row r="566" ht="15.75" customHeight="1">
      <c r="AH566" s="300"/>
      <c r="AI566" s="301"/>
      <c r="AJ566" s="302"/>
      <c r="AK566" s="21"/>
    </row>
    <row r="567" ht="15.75" customHeight="1">
      <c r="AH567" s="300"/>
      <c r="AI567" s="301"/>
      <c r="AJ567" s="302"/>
      <c r="AK567" s="21"/>
    </row>
    <row r="568" ht="15.75" customHeight="1">
      <c r="AH568" s="300"/>
      <c r="AI568" s="301"/>
      <c r="AJ568" s="302"/>
      <c r="AK568" s="21"/>
    </row>
    <row r="569" ht="15.75" customHeight="1">
      <c r="AH569" s="300"/>
      <c r="AI569" s="301"/>
      <c r="AJ569" s="302"/>
      <c r="AK569" s="21"/>
    </row>
    <row r="570" ht="15.75" customHeight="1">
      <c r="AH570" s="300"/>
      <c r="AI570" s="301"/>
      <c r="AJ570" s="302"/>
      <c r="AK570" s="21"/>
    </row>
    <row r="571" ht="15.75" customHeight="1">
      <c r="AH571" s="300"/>
      <c r="AI571" s="301"/>
      <c r="AJ571" s="302"/>
      <c r="AK571" s="21"/>
    </row>
    <row r="572" ht="15.75" customHeight="1">
      <c r="AH572" s="300"/>
      <c r="AI572" s="301"/>
      <c r="AJ572" s="302"/>
      <c r="AK572" s="21"/>
    </row>
    <row r="573" ht="15.75" customHeight="1">
      <c r="AH573" s="300"/>
      <c r="AI573" s="301"/>
      <c r="AJ573" s="302"/>
      <c r="AK573" s="21"/>
    </row>
    <row r="574" ht="15.75" customHeight="1">
      <c r="AH574" s="300"/>
      <c r="AI574" s="301"/>
      <c r="AJ574" s="302"/>
      <c r="AK574" s="21"/>
    </row>
    <row r="575" ht="15.75" customHeight="1">
      <c r="AH575" s="300"/>
      <c r="AI575" s="301"/>
      <c r="AJ575" s="302"/>
      <c r="AK575" s="21"/>
    </row>
    <row r="576" ht="15.75" customHeight="1">
      <c r="AH576" s="300"/>
      <c r="AI576" s="301"/>
      <c r="AJ576" s="302"/>
      <c r="AK576" s="21"/>
    </row>
    <row r="577" ht="15.75" customHeight="1">
      <c r="AH577" s="300"/>
      <c r="AI577" s="301"/>
      <c r="AJ577" s="302"/>
      <c r="AK577" s="21"/>
    </row>
    <row r="578" ht="15.75" customHeight="1">
      <c r="AH578" s="300"/>
      <c r="AI578" s="301"/>
      <c r="AJ578" s="302"/>
      <c r="AK578" s="21"/>
    </row>
    <row r="579" ht="15.75" customHeight="1">
      <c r="AH579" s="300"/>
      <c r="AI579" s="301"/>
      <c r="AJ579" s="302"/>
      <c r="AK579" s="21"/>
    </row>
    <row r="580" ht="15.75" customHeight="1">
      <c r="AH580" s="300"/>
      <c r="AI580" s="301"/>
      <c r="AJ580" s="302"/>
      <c r="AK580" s="21"/>
    </row>
    <row r="581" ht="15.75" customHeight="1">
      <c r="AH581" s="300"/>
      <c r="AI581" s="301"/>
      <c r="AJ581" s="302"/>
      <c r="AK581" s="21"/>
    </row>
    <row r="582" ht="15.75" customHeight="1">
      <c r="AH582" s="300"/>
      <c r="AI582" s="301"/>
      <c r="AJ582" s="302"/>
      <c r="AK582" s="21"/>
    </row>
    <row r="583" ht="15.75" customHeight="1">
      <c r="AH583" s="300"/>
      <c r="AI583" s="301"/>
      <c r="AJ583" s="302"/>
      <c r="AK583" s="21"/>
    </row>
    <row r="584" ht="15.75" customHeight="1">
      <c r="AH584" s="300"/>
      <c r="AI584" s="301"/>
      <c r="AJ584" s="302"/>
      <c r="AK584" s="21"/>
    </row>
    <row r="585" ht="15.75" customHeight="1">
      <c r="AH585" s="300"/>
      <c r="AI585" s="301"/>
      <c r="AJ585" s="302"/>
      <c r="AK585" s="21"/>
    </row>
    <row r="586" ht="15.75" customHeight="1">
      <c r="AH586" s="300"/>
      <c r="AI586" s="301"/>
      <c r="AJ586" s="302"/>
      <c r="AK586" s="21"/>
    </row>
    <row r="587" ht="15.75" customHeight="1">
      <c r="AH587" s="300"/>
      <c r="AI587" s="301"/>
      <c r="AJ587" s="302"/>
      <c r="AK587" s="21"/>
    </row>
    <row r="588" ht="15.75" customHeight="1">
      <c r="AH588" s="300"/>
      <c r="AI588" s="301"/>
      <c r="AJ588" s="302"/>
      <c r="AK588" s="21"/>
    </row>
    <row r="589" ht="15.75" customHeight="1">
      <c r="AH589" s="300"/>
      <c r="AI589" s="301"/>
      <c r="AJ589" s="302"/>
      <c r="AK589" s="21"/>
    </row>
    <row r="590" ht="15.75" customHeight="1">
      <c r="AH590" s="300"/>
      <c r="AI590" s="301"/>
      <c r="AJ590" s="302"/>
      <c r="AK590" s="21"/>
    </row>
    <row r="591" ht="15.75" customHeight="1">
      <c r="AH591" s="300"/>
      <c r="AI591" s="301"/>
      <c r="AJ591" s="302"/>
      <c r="AK591" s="21"/>
    </row>
    <row r="592" ht="15.75" customHeight="1">
      <c r="AH592" s="300"/>
      <c r="AI592" s="301"/>
      <c r="AJ592" s="302"/>
      <c r="AK592" s="21"/>
    </row>
    <row r="593" ht="15.75" customHeight="1">
      <c r="AH593" s="300"/>
      <c r="AI593" s="301"/>
      <c r="AJ593" s="302"/>
      <c r="AK593" s="21"/>
    </row>
    <row r="594" ht="15.75" customHeight="1">
      <c r="AH594" s="300"/>
      <c r="AI594" s="301"/>
      <c r="AJ594" s="302"/>
      <c r="AK594" s="21"/>
    </row>
    <row r="595" ht="15.75" customHeight="1">
      <c r="AH595" s="300"/>
      <c r="AI595" s="301"/>
      <c r="AJ595" s="302"/>
      <c r="AK595" s="21"/>
    </row>
    <row r="596" ht="15.75" customHeight="1">
      <c r="AH596" s="300"/>
      <c r="AI596" s="301"/>
      <c r="AJ596" s="302"/>
      <c r="AK596" s="21"/>
    </row>
    <row r="597" ht="15.75" customHeight="1">
      <c r="AH597" s="300"/>
      <c r="AI597" s="301"/>
      <c r="AJ597" s="302"/>
      <c r="AK597" s="21"/>
    </row>
    <row r="598" ht="15.75" customHeight="1">
      <c r="AH598" s="300"/>
      <c r="AI598" s="301"/>
      <c r="AJ598" s="302"/>
      <c r="AK598" s="21"/>
    </row>
    <row r="599" ht="15.75" customHeight="1">
      <c r="AH599" s="300"/>
      <c r="AI599" s="301"/>
      <c r="AJ599" s="302"/>
      <c r="AK599" s="21"/>
    </row>
    <row r="600" ht="15.75" customHeight="1">
      <c r="AH600" s="300"/>
      <c r="AI600" s="301"/>
      <c r="AJ600" s="302"/>
      <c r="AK600" s="21"/>
    </row>
    <row r="601" ht="15.75" customHeight="1">
      <c r="AH601" s="300"/>
      <c r="AI601" s="301"/>
      <c r="AJ601" s="302"/>
      <c r="AK601" s="21"/>
    </row>
    <row r="602" ht="15.75" customHeight="1">
      <c r="AH602" s="300"/>
      <c r="AI602" s="301"/>
      <c r="AJ602" s="302"/>
      <c r="AK602" s="21"/>
    </row>
    <row r="603" ht="15.75" customHeight="1">
      <c r="AH603" s="300"/>
      <c r="AI603" s="301"/>
      <c r="AJ603" s="302"/>
      <c r="AK603" s="21"/>
    </row>
    <row r="604" ht="15.75" customHeight="1">
      <c r="AH604" s="300"/>
      <c r="AI604" s="301"/>
      <c r="AJ604" s="302"/>
      <c r="AK604" s="21"/>
    </row>
    <row r="605" ht="15.75" customHeight="1">
      <c r="AH605" s="300"/>
      <c r="AI605" s="301"/>
      <c r="AJ605" s="302"/>
      <c r="AK605" s="21"/>
    </row>
    <row r="606" ht="15.75" customHeight="1">
      <c r="AH606" s="300"/>
      <c r="AI606" s="301"/>
      <c r="AJ606" s="302"/>
      <c r="AK606" s="21"/>
    </row>
    <row r="607" ht="15.75" customHeight="1">
      <c r="AH607" s="300"/>
      <c r="AI607" s="301"/>
      <c r="AJ607" s="302"/>
      <c r="AK607" s="21"/>
    </row>
    <row r="608" ht="15.75" customHeight="1">
      <c r="AH608" s="300"/>
      <c r="AI608" s="301"/>
      <c r="AJ608" s="302"/>
      <c r="AK608" s="21"/>
    </row>
    <row r="609" ht="15.75" customHeight="1">
      <c r="AH609" s="300"/>
      <c r="AI609" s="301"/>
      <c r="AJ609" s="302"/>
      <c r="AK609" s="21"/>
    </row>
    <row r="610" ht="15.75" customHeight="1">
      <c r="AH610" s="300"/>
      <c r="AI610" s="301"/>
      <c r="AJ610" s="302"/>
      <c r="AK610" s="21"/>
    </row>
    <row r="611" ht="15.75" customHeight="1">
      <c r="AH611" s="300"/>
      <c r="AI611" s="301"/>
      <c r="AJ611" s="302"/>
      <c r="AK611" s="21"/>
    </row>
    <row r="612" ht="15.75" customHeight="1">
      <c r="AH612" s="300"/>
      <c r="AI612" s="301"/>
      <c r="AJ612" s="302"/>
      <c r="AK612" s="21"/>
    </row>
    <row r="613" ht="15.75" customHeight="1">
      <c r="AH613" s="300"/>
      <c r="AI613" s="301"/>
      <c r="AJ613" s="302"/>
      <c r="AK613" s="21"/>
    </row>
    <row r="614" ht="15.75" customHeight="1">
      <c r="AH614" s="300"/>
      <c r="AI614" s="301"/>
      <c r="AJ614" s="302"/>
      <c r="AK614" s="21"/>
    </row>
    <row r="615" ht="15.75" customHeight="1">
      <c r="AH615" s="300"/>
      <c r="AI615" s="301"/>
      <c r="AJ615" s="302"/>
      <c r="AK615" s="21"/>
    </row>
    <row r="616" ht="15.75" customHeight="1">
      <c r="AH616" s="300"/>
      <c r="AI616" s="301"/>
      <c r="AJ616" s="302"/>
      <c r="AK616" s="21"/>
    </row>
    <row r="617" ht="15.75" customHeight="1">
      <c r="AH617" s="300"/>
      <c r="AI617" s="301"/>
      <c r="AJ617" s="302"/>
      <c r="AK617" s="21"/>
    </row>
    <row r="618" ht="15.75" customHeight="1">
      <c r="AH618" s="300"/>
      <c r="AI618" s="301"/>
      <c r="AJ618" s="302"/>
      <c r="AK618" s="21"/>
    </row>
    <row r="619" ht="15.75" customHeight="1">
      <c r="AH619" s="300"/>
      <c r="AI619" s="301"/>
      <c r="AJ619" s="302"/>
      <c r="AK619" s="21"/>
    </row>
    <row r="620" ht="15.75" customHeight="1">
      <c r="AH620" s="300"/>
      <c r="AI620" s="301"/>
      <c r="AJ620" s="302"/>
      <c r="AK620" s="21"/>
    </row>
    <row r="621" ht="15.75" customHeight="1">
      <c r="AH621" s="300"/>
      <c r="AI621" s="301"/>
      <c r="AJ621" s="302"/>
      <c r="AK621" s="21"/>
    </row>
    <row r="622" ht="15.75" customHeight="1">
      <c r="AH622" s="300"/>
      <c r="AI622" s="301"/>
      <c r="AJ622" s="302"/>
      <c r="AK622" s="21"/>
    </row>
    <row r="623" ht="15.75" customHeight="1">
      <c r="AH623" s="300"/>
      <c r="AI623" s="301"/>
      <c r="AJ623" s="302"/>
      <c r="AK623" s="21"/>
    </row>
    <row r="624" ht="15.75" customHeight="1">
      <c r="AH624" s="300"/>
      <c r="AI624" s="301"/>
      <c r="AJ624" s="302"/>
      <c r="AK624" s="21"/>
    </row>
    <row r="625" ht="15.75" customHeight="1">
      <c r="AH625" s="300"/>
      <c r="AI625" s="301"/>
      <c r="AJ625" s="302"/>
      <c r="AK625" s="21"/>
    </row>
    <row r="626" ht="15.75" customHeight="1">
      <c r="AH626" s="300"/>
      <c r="AI626" s="301"/>
      <c r="AJ626" s="302"/>
      <c r="AK626" s="21"/>
    </row>
    <row r="627" ht="15.75" customHeight="1">
      <c r="AH627" s="300"/>
      <c r="AI627" s="301"/>
      <c r="AJ627" s="302"/>
      <c r="AK627" s="21"/>
    </row>
    <row r="628" ht="15.75" customHeight="1">
      <c r="AH628" s="300"/>
      <c r="AI628" s="301"/>
      <c r="AJ628" s="302"/>
      <c r="AK628" s="21"/>
    </row>
    <row r="629" ht="15.75" customHeight="1">
      <c r="AH629" s="300"/>
      <c r="AI629" s="301"/>
      <c r="AJ629" s="302"/>
      <c r="AK629" s="21"/>
    </row>
    <row r="630" ht="15.75" customHeight="1">
      <c r="AH630" s="300"/>
      <c r="AI630" s="301"/>
      <c r="AJ630" s="302"/>
      <c r="AK630" s="21"/>
    </row>
    <row r="631" ht="15.75" customHeight="1">
      <c r="AH631" s="300"/>
      <c r="AI631" s="301"/>
      <c r="AJ631" s="302"/>
      <c r="AK631" s="21"/>
    </row>
    <row r="632" ht="15.75" customHeight="1">
      <c r="AH632" s="300"/>
      <c r="AI632" s="301"/>
      <c r="AJ632" s="302"/>
      <c r="AK632" s="21"/>
    </row>
    <row r="633" ht="15.75" customHeight="1">
      <c r="AH633" s="300"/>
      <c r="AI633" s="301"/>
      <c r="AJ633" s="302"/>
      <c r="AK633" s="21"/>
    </row>
    <row r="634" ht="15.75" customHeight="1">
      <c r="AH634" s="300"/>
      <c r="AI634" s="301"/>
      <c r="AJ634" s="302"/>
      <c r="AK634" s="21"/>
    </row>
    <row r="635" ht="15.75" customHeight="1">
      <c r="AH635" s="300"/>
      <c r="AI635" s="301"/>
      <c r="AJ635" s="302"/>
      <c r="AK635" s="21"/>
    </row>
    <row r="636" ht="15.75" customHeight="1">
      <c r="AH636" s="300"/>
      <c r="AI636" s="301"/>
      <c r="AJ636" s="302"/>
      <c r="AK636" s="21"/>
    </row>
    <row r="637" ht="15.75" customHeight="1">
      <c r="AH637" s="300"/>
      <c r="AI637" s="301"/>
      <c r="AJ637" s="302"/>
      <c r="AK637" s="21"/>
    </row>
    <row r="638" ht="15.75" customHeight="1">
      <c r="AH638" s="300"/>
      <c r="AI638" s="301"/>
      <c r="AJ638" s="302"/>
      <c r="AK638" s="21"/>
    </row>
    <row r="639" ht="15.75" customHeight="1">
      <c r="AH639" s="300"/>
      <c r="AI639" s="301"/>
      <c r="AJ639" s="302"/>
      <c r="AK639" s="21"/>
    </row>
    <row r="640" ht="15.75" customHeight="1">
      <c r="AH640" s="300"/>
      <c r="AI640" s="301"/>
      <c r="AJ640" s="302"/>
      <c r="AK640" s="21"/>
    </row>
    <row r="641" ht="15.75" customHeight="1">
      <c r="AH641" s="300"/>
      <c r="AI641" s="301"/>
      <c r="AJ641" s="302"/>
      <c r="AK641" s="21"/>
    </row>
    <row r="642" ht="15.75" customHeight="1">
      <c r="AH642" s="300"/>
      <c r="AI642" s="301"/>
      <c r="AJ642" s="302"/>
      <c r="AK642" s="21"/>
    </row>
    <row r="643" ht="15.75" customHeight="1">
      <c r="AH643" s="300"/>
      <c r="AI643" s="301"/>
      <c r="AJ643" s="302"/>
      <c r="AK643" s="21"/>
    </row>
    <row r="644" ht="15.75" customHeight="1">
      <c r="AH644" s="300"/>
      <c r="AI644" s="301"/>
      <c r="AJ644" s="302"/>
      <c r="AK644" s="21"/>
    </row>
    <row r="645" ht="15.75" customHeight="1">
      <c r="AH645" s="300"/>
      <c r="AI645" s="301"/>
      <c r="AJ645" s="302"/>
      <c r="AK645" s="21"/>
    </row>
    <row r="646" ht="15.75" customHeight="1">
      <c r="AH646" s="300"/>
      <c r="AI646" s="301"/>
      <c r="AJ646" s="302"/>
      <c r="AK646" s="21"/>
    </row>
    <row r="647" ht="15.75" customHeight="1">
      <c r="AH647" s="300"/>
      <c r="AI647" s="301"/>
      <c r="AJ647" s="302"/>
      <c r="AK647" s="21"/>
    </row>
    <row r="648" ht="15.75" customHeight="1">
      <c r="AH648" s="300"/>
      <c r="AI648" s="301"/>
      <c r="AJ648" s="302"/>
      <c r="AK648" s="21"/>
    </row>
    <row r="649" ht="15.75" customHeight="1">
      <c r="AH649" s="300"/>
      <c r="AI649" s="301"/>
      <c r="AJ649" s="302"/>
      <c r="AK649" s="21"/>
    </row>
    <row r="650" ht="15.75" customHeight="1">
      <c r="AH650" s="300"/>
      <c r="AI650" s="301"/>
      <c r="AJ650" s="302"/>
      <c r="AK650" s="21"/>
    </row>
    <row r="651" ht="15.75" customHeight="1">
      <c r="AH651" s="300"/>
      <c r="AI651" s="301"/>
      <c r="AJ651" s="302"/>
      <c r="AK651" s="21"/>
    </row>
    <row r="652" ht="15.75" customHeight="1">
      <c r="AH652" s="300"/>
      <c r="AI652" s="301"/>
      <c r="AJ652" s="302"/>
      <c r="AK652" s="21"/>
    </row>
    <row r="653" ht="15.75" customHeight="1">
      <c r="AH653" s="300"/>
      <c r="AI653" s="301"/>
      <c r="AJ653" s="302"/>
      <c r="AK653" s="21"/>
    </row>
    <row r="654" ht="15.75" customHeight="1">
      <c r="AH654" s="300"/>
      <c r="AI654" s="301"/>
      <c r="AJ654" s="302"/>
      <c r="AK654" s="21"/>
    </row>
    <row r="655" ht="15.75" customHeight="1">
      <c r="AH655" s="300"/>
      <c r="AI655" s="301"/>
      <c r="AJ655" s="302"/>
      <c r="AK655" s="21"/>
    </row>
    <row r="656" ht="15.75" customHeight="1">
      <c r="AH656" s="300"/>
      <c r="AI656" s="301"/>
      <c r="AJ656" s="302"/>
      <c r="AK656" s="21"/>
    </row>
    <row r="657" ht="15.75" customHeight="1">
      <c r="AH657" s="300"/>
      <c r="AI657" s="301"/>
      <c r="AJ657" s="302"/>
      <c r="AK657" s="21"/>
    </row>
    <row r="658" ht="15.75" customHeight="1">
      <c r="AH658" s="300"/>
      <c r="AI658" s="301"/>
      <c r="AJ658" s="302"/>
      <c r="AK658" s="21"/>
    </row>
    <row r="659" ht="15.75" customHeight="1">
      <c r="AH659" s="300"/>
      <c r="AI659" s="301"/>
      <c r="AJ659" s="302"/>
      <c r="AK659" s="21"/>
    </row>
    <row r="660" ht="15.75" customHeight="1">
      <c r="AH660" s="300"/>
      <c r="AI660" s="301"/>
      <c r="AJ660" s="302"/>
      <c r="AK660" s="21"/>
    </row>
    <row r="661" ht="15.75" customHeight="1">
      <c r="AH661" s="300"/>
      <c r="AI661" s="301"/>
      <c r="AJ661" s="302"/>
      <c r="AK661" s="21"/>
    </row>
    <row r="662" ht="15.75" customHeight="1">
      <c r="AH662" s="300"/>
      <c r="AI662" s="301"/>
      <c r="AJ662" s="302"/>
      <c r="AK662" s="21"/>
    </row>
    <row r="663" ht="15.75" customHeight="1">
      <c r="AH663" s="300"/>
      <c r="AI663" s="301"/>
      <c r="AJ663" s="302"/>
      <c r="AK663" s="21"/>
    </row>
    <row r="664" ht="15.75" customHeight="1">
      <c r="AH664" s="300"/>
      <c r="AI664" s="301"/>
      <c r="AJ664" s="302"/>
      <c r="AK664" s="21"/>
    </row>
    <row r="665" ht="15.75" customHeight="1">
      <c r="AH665" s="300"/>
      <c r="AI665" s="301"/>
      <c r="AJ665" s="302"/>
      <c r="AK665" s="21"/>
    </row>
    <row r="666" ht="15.75" customHeight="1">
      <c r="AH666" s="300"/>
      <c r="AI666" s="301"/>
      <c r="AJ666" s="302"/>
      <c r="AK666" s="21"/>
    </row>
    <row r="667" ht="15.75" customHeight="1">
      <c r="AH667" s="300"/>
      <c r="AI667" s="301"/>
      <c r="AJ667" s="302"/>
      <c r="AK667" s="21"/>
    </row>
    <row r="668" ht="15.75" customHeight="1">
      <c r="AH668" s="300"/>
      <c r="AI668" s="301"/>
      <c r="AJ668" s="302"/>
      <c r="AK668" s="21"/>
    </row>
    <row r="669" ht="15.75" customHeight="1">
      <c r="AH669" s="300"/>
      <c r="AI669" s="301"/>
      <c r="AJ669" s="302"/>
      <c r="AK669" s="21"/>
    </row>
    <row r="670" ht="15.75" customHeight="1">
      <c r="AH670" s="300"/>
      <c r="AI670" s="301"/>
      <c r="AJ670" s="302"/>
      <c r="AK670" s="21"/>
    </row>
    <row r="671" ht="15.75" customHeight="1">
      <c r="AH671" s="300"/>
      <c r="AI671" s="301"/>
      <c r="AJ671" s="302"/>
      <c r="AK671" s="21"/>
    </row>
    <row r="672" ht="15.75" customHeight="1">
      <c r="AH672" s="300"/>
      <c r="AI672" s="301"/>
      <c r="AJ672" s="302"/>
      <c r="AK672" s="21"/>
    </row>
    <row r="673" ht="15.75" customHeight="1">
      <c r="AH673" s="300"/>
      <c r="AI673" s="301"/>
      <c r="AJ673" s="302"/>
      <c r="AK673" s="21"/>
    </row>
    <row r="674" ht="15.75" customHeight="1">
      <c r="AH674" s="300"/>
      <c r="AI674" s="301"/>
      <c r="AJ674" s="302"/>
      <c r="AK674" s="21"/>
    </row>
    <row r="675" ht="15.75" customHeight="1">
      <c r="AH675" s="300"/>
      <c r="AI675" s="301"/>
      <c r="AJ675" s="302"/>
      <c r="AK675" s="21"/>
    </row>
    <row r="676" ht="15.75" customHeight="1">
      <c r="AH676" s="300"/>
      <c r="AI676" s="301"/>
      <c r="AJ676" s="302"/>
      <c r="AK676" s="21"/>
    </row>
    <row r="677" ht="15.75" customHeight="1">
      <c r="AH677" s="300"/>
      <c r="AI677" s="301"/>
      <c r="AJ677" s="302"/>
      <c r="AK677" s="21"/>
    </row>
    <row r="678" ht="15.75" customHeight="1">
      <c r="AH678" s="300"/>
      <c r="AI678" s="301"/>
      <c r="AJ678" s="302"/>
      <c r="AK678" s="21"/>
    </row>
    <row r="679" ht="15.75" customHeight="1">
      <c r="AH679" s="300"/>
      <c r="AI679" s="301"/>
      <c r="AJ679" s="302"/>
      <c r="AK679" s="21"/>
    </row>
    <row r="680" ht="15.75" customHeight="1">
      <c r="AH680" s="300"/>
      <c r="AI680" s="301"/>
      <c r="AJ680" s="302"/>
      <c r="AK680" s="21"/>
    </row>
    <row r="681" ht="15.75" customHeight="1">
      <c r="AH681" s="300"/>
      <c r="AI681" s="301"/>
      <c r="AJ681" s="302"/>
      <c r="AK681" s="21"/>
    </row>
    <row r="682" ht="15.75" customHeight="1">
      <c r="AH682" s="300"/>
      <c r="AI682" s="301"/>
      <c r="AJ682" s="302"/>
      <c r="AK682" s="21"/>
    </row>
    <row r="683" ht="15.75" customHeight="1">
      <c r="AH683" s="300"/>
      <c r="AI683" s="301"/>
      <c r="AJ683" s="302"/>
      <c r="AK683" s="21"/>
    </row>
    <row r="684" ht="15.75" customHeight="1">
      <c r="AH684" s="300"/>
      <c r="AI684" s="301"/>
      <c r="AJ684" s="302"/>
      <c r="AK684" s="21"/>
    </row>
    <row r="685" ht="15.75" customHeight="1">
      <c r="AH685" s="300"/>
      <c r="AI685" s="301"/>
      <c r="AJ685" s="302"/>
      <c r="AK685" s="21"/>
    </row>
    <row r="686" ht="15.75" customHeight="1">
      <c r="AH686" s="300"/>
      <c r="AI686" s="301"/>
      <c r="AJ686" s="302"/>
      <c r="AK686" s="21"/>
    </row>
    <row r="687" ht="15.75" customHeight="1">
      <c r="AH687" s="300"/>
      <c r="AI687" s="301"/>
      <c r="AJ687" s="302"/>
      <c r="AK687" s="21"/>
    </row>
    <row r="688" ht="15.75" customHeight="1">
      <c r="AH688" s="300"/>
      <c r="AI688" s="301"/>
      <c r="AJ688" s="302"/>
      <c r="AK688" s="21"/>
    </row>
    <row r="689" ht="15.75" customHeight="1">
      <c r="AH689" s="300"/>
      <c r="AI689" s="301"/>
      <c r="AJ689" s="302"/>
      <c r="AK689" s="21"/>
    </row>
    <row r="690" ht="15.75" customHeight="1">
      <c r="AH690" s="300"/>
      <c r="AI690" s="301"/>
      <c r="AJ690" s="302"/>
      <c r="AK690" s="21"/>
    </row>
    <row r="691" ht="15.75" customHeight="1">
      <c r="AH691" s="300"/>
      <c r="AI691" s="301"/>
      <c r="AJ691" s="302"/>
      <c r="AK691" s="21"/>
    </row>
    <row r="692" ht="15.75" customHeight="1">
      <c r="AH692" s="300"/>
      <c r="AI692" s="301"/>
      <c r="AJ692" s="302"/>
      <c r="AK692" s="21"/>
    </row>
    <row r="693" ht="15.75" customHeight="1">
      <c r="AH693" s="300"/>
      <c r="AI693" s="301"/>
      <c r="AJ693" s="302"/>
      <c r="AK693" s="21"/>
    </row>
    <row r="694" ht="15.75" customHeight="1">
      <c r="AH694" s="300"/>
      <c r="AI694" s="301"/>
      <c r="AJ694" s="302"/>
      <c r="AK694" s="21"/>
    </row>
    <row r="695" ht="15.75" customHeight="1">
      <c r="AH695" s="300"/>
      <c r="AI695" s="301"/>
      <c r="AJ695" s="302"/>
      <c r="AK695" s="21"/>
    </row>
    <row r="696" ht="15.75" customHeight="1">
      <c r="AH696" s="300"/>
      <c r="AI696" s="301"/>
      <c r="AJ696" s="302"/>
      <c r="AK696" s="21"/>
    </row>
    <row r="697" ht="15.75" customHeight="1">
      <c r="AH697" s="300"/>
      <c r="AI697" s="301"/>
      <c r="AJ697" s="302"/>
      <c r="AK697" s="21"/>
    </row>
    <row r="698" ht="15.75" customHeight="1">
      <c r="AH698" s="300"/>
      <c r="AI698" s="301"/>
      <c r="AJ698" s="302"/>
      <c r="AK698" s="21"/>
    </row>
    <row r="699" ht="15.75" customHeight="1">
      <c r="AH699" s="300"/>
      <c r="AI699" s="301"/>
      <c r="AJ699" s="302"/>
      <c r="AK699" s="21"/>
    </row>
    <row r="700" ht="15.75" customHeight="1">
      <c r="AH700" s="300"/>
      <c r="AI700" s="301"/>
      <c r="AJ700" s="302"/>
      <c r="AK700" s="21"/>
    </row>
    <row r="701" ht="15.75" customHeight="1">
      <c r="AH701" s="300"/>
      <c r="AI701" s="301"/>
      <c r="AJ701" s="302"/>
      <c r="AK701" s="21"/>
    </row>
    <row r="702" ht="15.75" customHeight="1">
      <c r="AH702" s="300"/>
      <c r="AI702" s="301"/>
      <c r="AJ702" s="302"/>
      <c r="AK702" s="21"/>
    </row>
    <row r="703" ht="15.75" customHeight="1">
      <c r="AH703" s="300"/>
      <c r="AI703" s="301"/>
      <c r="AJ703" s="302"/>
      <c r="AK703" s="21"/>
    </row>
    <row r="704" ht="15.75" customHeight="1">
      <c r="AH704" s="300"/>
      <c r="AI704" s="301"/>
      <c r="AJ704" s="302"/>
      <c r="AK704" s="21"/>
    </row>
    <row r="705" ht="15.75" customHeight="1">
      <c r="AH705" s="300"/>
      <c r="AI705" s="301"/>
      <c r="AJ705" s="302"/>
      <c r="AK705" s="21"/>
    </row>
    <row r="706" ht="15.75" customHeight="1">
      <c r="AH706" s="300"/>
      <c r="AI706" s="301"/>
      <c r="AJ706" s="302"/>
      <c r="AK706" s="21"/>
    </row>
    <row r="707" ht="15.75" customHeight="1">
      <c r="AH707" s="300"/>
      <c r="AI707" s="301"/>
      <c r="AJ707" s="302"/>
      <c r="AK707" s="21"/>
    </row>
    <row r="708" ht="15.75" customHeight="1">
      <c r="AH708" s="300"/>
      <c r="AI708" s="301"/>
      <c r="AJ708" s="302"/>
      <c r="AK708" s="21"/>
    </row>
    <row r="709" ht="15.75" customHeight="1">
      <c r="AH709" s="300"/>
      <c r="AI709" s="301"/>
      <c r="AJ709" s="302"/>
      <c r="AK709" s="21"/>
    </row>
    <row r="710" ht="15.75" customHeight="1">
      <c r="AH710" s="300"/>
      <c r="AI710" s="301"/>
      <c r="AJ710" s="302"/>
      <c r="AK710" s="21"/>
    </row>
    <row r="711" ht="15.75" customHeight="1">
      <c r="AH711" s="300"/>
      <c r="AI711" s="301"/>
      <c r="AJ711" s="302"/>
      <c r="AK711" s="21"/>
    </row>
    <row r="712" ht="15.75" customHeight="1">
      <c r="AH712" s="300"/>
      <c r="AI712" s="301"/>
      <c r="AJ712" s="302"/>
      <c r="AK712" s="21"/>
    </row>
    <row r="713" ht="15.75" customHeight="1">
      <c r="AH713" s="300"/>
      <c r="AI713" s="301"/>
      <c r="AJ713" s="302"/>
      <c r="AK713" s="21"/>
    </row>
    <row r="714" ht="15.75" customHeight="1">
      <c r="AH714" s="300"/>
      <c r="AI714" s="301"/>
      <c r="AJ714" s="302"/>
      <c r="AK714" s="21"/>
    </row>
    <row r="715" ht="15.75" customHeight="1">
      <c r="AH715" s="300"/>
      <c r="AI715" s="301"/>
      <c r="AJ715" s="302"/>
      <c r="AK715" s="21"/>
    </row>
    <row r="716" ht="15.75" customHeight="1">
      <c r="AH716" s="300"/>
      <c r="AI716" s="301"/>
      <c r="AJ716" s="302"/>
      <c r="AK716" s="21"/>
    </row>
    <row r="717" ht="15.75" customHeight="1">
      <c r="AH717" s="300"/>
      <c r="AI717" s="301"/>
      <c r="AJ717" s="302"/>
      <c r="AK717" s="21"/>
    </row>
    <row r="718" ht="15.75" customHeight="1">
      <c r="AH718" s="300"/>
      <c r="AI718" s="301"/>
      <c r="AJ718" s="302"/>
      <c r="AK718" s="21"/>
    </row>
    <row r="719" ht="15.75" customHeight="1">
      <c r="AH719" s="300"/>
      <c r="AI719" s="301"/>
      <c r="AJ719" s="302"/>
      <c r="AK719" s="21"/>
    </row>
    <row r="720" ht="15.75" customHeight="1">
      <c r="AH720" s="300"/>
      <c r="AI720" s="301"/>
      <c r="AJ720" s="302"/>
      <c r="AK720" s="21"/>
    </row>
    <row r="721" ht="15.75" customHeight="1">
      <c r="AH721" s="300"/>
      <c r="AI721" s="301"/>
      <c r="AJ721" s="302"/>
      <c r="AK721" s="21"/>
    </row>
    <row r="722" ht="15.75" customHeight="1">
      <c r="AH722" s="300"/>
      <c r="AI722" s="301"/>
      <c r="AJ722" s="302"/>
      <c r="AK722" s="21"/>
    </row>
    <row r="723" ht="15.75" customHeight="1">
      <c r="AH723" s="300"/>
      <c r="AI723" s="301"/>
      <c r="AJ723" s="302"/>
      <c r="AK723" s="21"/>
    </row>
    <row r="724" ht="15.75" customHeight="1">
      <c r="AH724" s="300"/>
      <c r="AI724" s="301"/>
      <c r="AJ724" s="302"/>
      <c r="AK724" s="21"/>
    </row>
    <row r="725" ht="15.75" customHeight="1">
      <c r="AH725" s="300"/>
      <c r="AI725" s="301"/>
      <c r="AJ725" s="302"/>
      <c r="AK725" s="21"/>
    </row>
    <row r="726" ht="15.75" customHeight="1">
      <c r="AH726" s="300"/>
      <c r="AI726" s="301"/>
      <c r="AJ726" s="302"/>
      <c r="AK726" s="21"/>
    </row>
    <row r="727" ht="15.75" customHeight="1">
      <c r="AH727" s="300"/>
      <c r="AI727" s="301"/>
      <c r="AJ727" s="302"/>
      <c r="AK727" s="21"/>
    </row>
    <row r="728" ht="15.75" customHeight="1">
      <c r="AH728" s="300"/>
      <c r="AI728" s="301"/>
      <c r="AJ728" s="302"/>
      <c r="AK728" s="21"/>
    </row>
    <row r="729" ht="15.75" customHeight="1">
      <c r="AH729" s="300"/>
      <c r="AI729" s="301"/>
      <c r="AJ729" s="302"/>
      <c r="AK729" s="21"/>
    </row>
    <row r="730" ht="15.75" customHeight="1">
      <c r="AH730" s="300"/>
      <c r="AI730" s="301"/>
      <c r="AJ730" s="302"/>
      <c r="AK730" s="21"/>
    </row>
    <row r="731" ht="15.75" customHeight="1">
      <c r="AH731" s="300"/>
      <c r="AI731" s="301"/>
      <c r="AJ731" s="302"/>
      <c r="AK731" s="21"/>
    </row>
    <row r="732" ht="15.75" customHeight="1">
      <c r="AH732" s="300"/>
      <c r="AI732" s="301"/>
      <c r="AJ732" s="302"/>
      <c r="AK732" s="21"/>
    </row>
    <row r="733" ht="15.75" customHeight="1">
      <c r="AH733" s="300"/>
      <c r="AI733" s="301"/>
      <c r="AJ733" s="302"/>
      <c r="AK733" s="21"/>
    </row>
    <row r="734" ht="15.75" customHeight="1">
      <c r="AH734" s="300"/>
      <c r="AI734" s="301"/>
      <c r="AJ734" s="302"/>
      <c r="AK734" s="21"/>
    </row>
    <row r="735" ht="15.75" customHeight="1">
      <c r="AH735" s="300"/>
      <c r="AI735" s="301"/>
      <c r="AJ735" s="302"/>
      <c r="AK735" s="21"/>
    </row>
    <row r="736" ht="15.75" customHeight="1">
      <c r="AH736" s="300"/>
      <c r="AI736" s="301"/>
      <c r="AJ736" s="302"/>
      <c r="AK736" s="21"/>
    </row>
    <row r="737" ht="15.75" customHeight="1">
      <c r="AH737" s="300"/>
      <c r="AI737" s="301"/>
      <c r="AJ737" s="302"/>
      <c r="AK737" s="21"/>
    </row>
    <row r="738" ht="15.75" customHeight="1">
      <c r="AH738" s="300"/>
      <c r="AI738" s="301"/>
      <c r="AJ738" s="302"/>
      <c r="AK738" s="21"/>
    </row>
    <row r="739" ht="15.75" customHeight="1">
      <c r="AH739" s="300"/>
      <c r="AI739" s="301"/>
      <c r="AJ739" s="302"/>
      <c r="AK739" s="21"/>
    </row>
    <row r="740" ht="15.75" customHeight="1">
      <c r="AH740" s="300"/>
      <c r="AI740" s="301"/>
      <c r="AJ740" s="302"/>
      <c r="AK740" s="21"/>
    </row>
    <row r="741" ht="15.75" customHeight="1">
      <c r="AH741" s="300"/>
      <c r="AI741" s="301"/>
      <c r="AJ741" s="302"/>
      <c r="AK741" s="21"/>
    </row>
    <row r="742" ht="15.75" customHeight="1">
      <c r="AH742" s="300"/>
      <c r="AI742" s="301"/>
      <c r="AJ742" s="302"/>
      <c r="AK742" s="21"/>
    </row>
    <row r="743" ht="15.75" customHeight="1">
      <c r="AH743" s="300"/>
      <c r="AI743" s="301"/>
      <c r="AJ743" s="302"/>
      <c r="AK743" s="21"/>
    </row>
    <row r="744" ht="15.75" customHeight="1">
      <c r="AH744" s="300"/>
      <c r="AI744" s="301"/>
      <c r="AJ744" s="302"/>
      <c r="AK744" s="21"/>
    </row>
    <row r="745" ht="15.75" customHeight="1">
      <c r="AH745" s="300"/>
      <c r="AI745" s="301"/>
      <c r="AJ745" s="302"/>
      <c r="AK745" s="21"/>
    </row>
    <row r="746" ht="15.75" customHeight="1">
      <c r="AH746" s="300"/>
      <c r="AI746" s="301"/>
      <c r="AJ746" s="302"/>
      <c r="AK746" s="21"/>
    </row>
    <row r="747" ht="15.75" customHeight="1">
      <c r="AH747" s="300"/>
      <c r="AI747" s="301"/>
      <c r="AJ747" s="302"/>
      <c r="AK747" s="21"/>
    </row>
    <row r="748" ht="15.75" customHeight="1">
      <c r="AH748" s="300"/>
      <c r="AI748" s="301"/>
      <c r="AJ748" s="302"/>
      <c r="AK748" s="21"/>
    </row>
    <row r="749" ht="15.75" customHeight="1">
      <c r="AH749" s="300"/>
      <c r="AI749" s="301"/>
      <c r="AJ749" s="302"/>
      <c r="AK749" s="21"/>
    </row>
    <row r="750" ht="15.75" customHeight="1">
      <c r="AH750" s="300"/>
      <c r="AI750" s="301"/>
      <c r="AJ750" s="302"/>
      <c r="AK750" s="21"/>
    </row>
    <row r="751" ht="15.75" customHeight="1">
      <c r="AH751" s="300"/>
      <c r="AI751" s="301"/>
      <c r="AJ751" s="302"/>
      <c r="AK751" s="21"/>
    </row>
    <row r="752" ht="15.75" customHeight="1">
      <c r="AH752" s="300"/>
      <c r="AI752" s="301"/>
      <c r="AJ752" s="302"/>
      <c r="AK752" s="21"/>
    </row>
    <row r="753" ht="15.75" customHeight="1">
      <c r="AH753" s="300"/>
      <c r="AI753" s="301"/>
      <c r="AJ753" s="302"/>
      <c r="AK753" s="21"/>
    </row>
    <row r="754" ht="15.75" customHeight="1">
      <c r="AH754" s="300"/>
      <c r="AI754" s="301"/>
      <c r="AJ754" s="302"/>
      <c r="AK754" s="21"/>
    </row>
    <row r="755" ht="15.75" customHeight="1">
      <c r="AH755" s="300"/>
      <c r="AI755" s="301"/>
      <c r="AJ755" s="302"/>
      <c r="AK755" s="21"/>
    </row>
    <row r="756" ht="15.75" customHeight="1">
      <c r="AH756" s="300"/>
      <c r="AI756" s="301"/>
      <c r="AJ756" s="302"/>
      <c r="AK756" s="21"/>
    </row>
    <row r="757" ht="15.75" customHeight="1">
      <c r="AH757" s="300"/>
      <c r="AI757" s="301"/>
      <c r="AJ757" s="302"/>
      <c r="AK757" s="21"/>
    </row>
    <row r="758" ht="15.75" customHeight="1">
      <c r="AH758" s="300"/>
      <c r="AI758" s="301"/>
      <c r="AJ758" s="302"/>
      <c r="AK758" s="21"/>
    </row>
    <row r="759" ht="15.75" customHeight="1">
      <c r="AH759" s="300"/>
      <c r="AI759" s="301"/>
      <c r="AJ759" s="302"/>
      <c r="AK759" s="21"/>
    </row>
    <row r="760" ht="15.75" customHeight="1">
      <c r="AH760" s="300"/>
      <c r="AI760" s="301"/>
      <c r="AJ760" s="302"/>
      <c r="AK760" s="21"/>
    </row>
    <row r="761" ht="15.75" customHeight="1">
      <c r="AH761" s="300"/>
      <c r="AI761" s="301"/>
      <c r="AJ761" s="302"/>
      <c r="AK761" s="21"/>
    </row>
    <row r="762" ht="15.75" customHeight="1">
      <c r="AH762" s="300"/>
      <c r="AI762" s="301"/>
      <c r="AJ762" s="302"/>
      <c r="AK762" s="21"/>
    </row>
    <row r="763" ht="15.75" customHeight="1">
      <c r="AH763" s="300"/>
      <c r="AI763" s="301"/>
      <c r="AJ763" s="302"/>
      <c r="AK763" s="21"/>
    </row>
    <row r="764" ht="15.75" customHeight="1">
      <c r="AH764" s="300"/>
      <c r="AI764" s="301"/>
      <c r="AJ764" s="302"/>
      <c r="AK764" s="21"/>
    </row>
    <row r="765" ht="15.75" customHeight="1">
      <c r="AH765" s="300"/>
      <c r="AI765" s="301"/>
      <c r="AJ765" s="302"/>
      <c r="AK765" s="21"/>
    </row>
    <row r="766" ht="15.75" customHeight="1">
      <c r="AH766" s="300"/>
      <c r="AI766" s="301"/>
      <c r="AJ766" s="302"/>
      <c r="AK766" s="21"/>
    </row>
    <row r="767" ht="15.75" customHeight="1">
      <c r="AH767" s="300"/>
      <c r="AI767" s="301"/>
      <c r="AJ767" s="302"/>
      <c r="AK767" s="21"/>
    </row>
    <row r="768" ht="15.75" customHeight="1">
      <c r="AH768" s="300"/>
      <c r="AI768" s="301"/>
      <c r="AJ768" s="302"/>
      <c r="AK768" s="21"/>
    </row>
    <row r="769" ht="15.75" customHeight="1">
      <c r="AH769" s="300"/>
      <c r="AI769" s="301"/>
      <c r="AJ769" s="302"/>
      <c r="AK769" s="21"/>
    </row>
    <row r="770" ht="15.75" customHeight="1">
      <c r="AH770" s="300"/>
      <c r="AI770" s="301"/>
      <c r="AJ770" s="302"/>
      <c r="AK770" s="21"/>
    </row>
    <row r="771" ht="15.75" customHeight="1">
      <c r="AH771" s="300"/>
      <c r="AI771" s="301"/>
      <c r="AJ771" s="302"/>
      <c r="AK771" s="21"/>
    </row>
    <row r="772" ht="15.75" customHeight="1">
      <c r="AH772" s="300"/>
      <c r="AI772" s="301"/>
      <c r="AJ772" s="302"/>
      <c r="AK772" s="21"/>
    </row>
    <row r="773" ht="15.75" customHeight="1">
      <c r="AH773" s="300"/>
      <c r="AI773" s="301"/>
      <c r="AJ773" s="302"/>
      <c r="AK773" s="21"/>
    </row>
    <row r="774" ht="15.75" customHeight="1">
      <c r="AH774" s="300"/>
      <c r="AI774" s="301"/>
      <c r="AJ774" s="302"/>
      <c r="AK774" s="21"/>
    </row>
    <row r="775" ht="15.75" customHeight="1">
      <c r="AH775" s="300"/>
      <c r="AI775" s="301"/>
      <c r="AJ775" s="302"/>
      <c r="AK775" s="21"/>
    </row>
    <row r="776" ht="15.75" customHeight="1">
      <c r="AH776" s="300"/>
      <c r="AI776" s="301"/>
      <c r="AJ776" s="302"/>
      <c r="AK776" s="21"/>
    </row>
    <row r="777" ht="15.75" customHeight="1">
      <c r="AH777" s="300"/>
      <c r="AI777" s="301"/>
      <c r="AJ777" s="302"/>
      <c r="AK777" s="21"/>
    </row>
    <row r="778" ht="15.75" customHeight="1">
      <c r="AH778" s="300"/>
      <c r="AI778" s="301"/>
      <c r="AJ778" s="302"/>
      <c r="AK778" s="21"/>
    </row>
    <row r="779" ht="15.75" customHeight="1">
      <c r="AH779" s="300"/>
      <c r="AI779" s="301"/>
      <c r="AJ779" s="302"/>
      <c r="AK779" s="21"/>
    </row>
    <row r="780" ht="15.75" customHeight="1">
      <c r="AH780" s="300"/>
      <c r="AI780" s="301"/>
      <c r="AJ780" s="302"/>
      <c r="AK780" s="21"/>
    </row>
    <row r="781" ht="15.75" customHeight="1">
      <c r="AH781" s="300"/>
      <c r="AI781" s="301"/>
      <c r="AJ781" s="302"/>
      <c r="AK781" s="21"/>
    </row>
    <row r="782" ht="15.75" customHeight="1">
      <c r="AH782" s="300"/>
      <c r="AI782" s="301"/>
      <c r="AJ782" s="302"/>
      <c r="AK782" s="21"/>
    </row>
    <row r="783" ht="15.75" customHeight="1">
      <c r="AH783" s="300"/>
      <c r="AI783" s="301"/>
      <c r="AJ783" s="302"/>
      <c r="AK783" s="21"/>
    </row>
    <row r="784" ht="15.75" customHeight="1">
      <c r="AH784" s="300"/>
      <c r="AI784" s="301"/>
      <c r="AJ784" s="302"/>
      <c r="AK784" s="21"/>
    </row>
    <row r="785" ht="15.75" customHeight="1">
      <c r="AH785" s="300"/>
      <c r="AI785" s="301"/>
      <c r="AJ785" s="302"/>
      <c r="AK785" s="21"/>
    </row>
    <row r="786" ht="15.75" customHeight="1">
      <c r="AH786" s="300"/>
      <c r="AI786" s="301"/>
      <c r="AJ786" s="302"/>
      <c r="AK786" s="21"/>
    </row>
    <row r="787" ht="15.75" customHeight="1">
      <c r="AH787" s="300"/>
      <c r="AI787" s="301"/>
      <c r="AJ787" s="302"/>
      <c r="AK787" s="21"/>
    </row>
    <row r="788" ht="15.75" customHeight="1">
      <c r="AH788" s="300"/>
      <c r="AI788" s="301"/>
      <c r="AJ788" s="302"/>
      <c r="AK788" s="21"/>
    </row>
    <row r="789" ht="15.75" customHeight="1">
      <c r="AH789" s="300"/>
      <c r="AI789" s="301"/>
      <c r="AJ789" s="302"/>
      <c r="AK789" s="21"/>
    </row>
    <row r="790" ht="15.75" customHeight="1">
      <c r="AH790" s="300"/>
      <c r="AI790" s="301"/>
      <c r="AJ790" s="302"/>
      <c r="AK790" s="21"/>
    </row>
    <row r="791" ht="15.75" customHeight="1">
      <c r="AH791" s="300"/>
      <c r="AI791" s="301"/>
      <c r="AJ791" s="302"/>
      <c r="AK791" s="21"/>
    </row>
    <row r="792" ht="15.75" customHeight="1">
      <c r="AH792" s="300"/>
      <c r="AI792" s="301"/>
      <c r="AJ792" s="302"/>
      <c r="AK792" s="21"/>
    </row>
    <row r="793" ht="15.75" customHeight="1">
      <c r="AH793" s="300"/>
      <c r="AI793" s="301"/>
      <c r="AJ793" s="302"/>
      <c r="AK793" s="21"/>
    </row>
    <row r="794" ht="15.75" customHeight="1">
      <c r="AH794" s="300"/>
      <c r="AI794" s="301"/>
      <c r="AJ794" s="302"/>
      <c r="AK794" s="21"/>
    </row>
    <row r="795" ht="15.75" customHeight="1">
      <c r="AH795" s="300"/>
      <c r="AI795" s="301"/>
      <c r="AJ795" s="302"/>
      <c r="AK795" s="21"/>
    </row>
    <row r="796" ht="15.75" customHeight="1">
      <c r="AH796" s="300"/>
      <c r="AI796" s="301"/>
      <c r="AJ796" s="302"/>
      <c r="AK796" s="21"/>
    </row>
    <row r="797" ht="15.75" customHeight="1">
      <c r="AH797" s="300"/>
      <c r="AI797" s="301"/>
      <c r="AJ797" s="302"/>
      <c r="AK797" s="21"/>
    </row>
    <row r="798" ht="15.75" customHeight="1">
      <c r="AH798" s="300"/>
      <c r="AI798" s="301"/>
      <c r="AJ798" s="302"/>
      <c r="AK798" s="21"/>
    </row>
    <row r="799" ht="15.75" customHeight="1">
      <c r="AH799" s="300"/>
      <c r="AI799" s="301"/>
      <c r="AJ799" s="302"/>
      <c r="AK799" s="21"/>
    </row>
    <row r="800" ht="15.75" customHeight="1">
      <c r="AH800" s="300"/>
      <c r="AI800" s="301"/>
      <c r="AJ800" s="302"/>
      <c r="AK800" s="21"/>
    </row>
    <row r="801" ht="15.75" customHeight="1">
      <c r="AH801" s="300"/>
      <c r="AI801" s="301"/>
      <c r="AJ801" s="302"/>
      <c r="AK801" s="21"/>
    </row>
    <row r="802" ht="15.75" customHeight="1">
      <c r="AH802" s="300"/>
      <c r="AI802" s="301"/>
      <c r="AJ802" s="302"/>
      <c r="AK802" s="21"/>
    </row>
    <row r="803" ht="15.75" customHeight="1">
      <c r="AH803" s="300"/>
      <c r="AI803" s="301"/>
      <c r="AJ803" s="302"/>
      <c r="AK803" s="21"/>
    </row>
    <row r="804" ht="15.75" customHeight="1">
      <c r="AH804" s="300"/>
      <c r="AI804" s="301"/>
      <c r="AJ804" s="302"/>
      <c r="AK804" s="21"/>
    </row>
    <row r="805" ht="15.75" customHeight="1">
      <c r="AH805" s="300"/>
      <c r="AI805" s="301"/>
      <c r="AJ805" s="302"/>
      <c r="AK805" s="21"/>
    </row>
    <row r="806" ht="15.75" customHeight="1">
      <c r="AH806" s="300"/>
      <c r="AI806" s="301"/>
      <c r="AJ806" s="302"/>
      <c r="AK806" s="21"/>
    </row>
    <row r="807" ht="15.75" customHeight="1">
      <c r="AH807" s="300"/>
      <c r="AI807" s="301"/>
      <c r="AJ807" s="302"/>
      <c r="AK807" s="21"/>
    </row>
    <row r="808" ht="15.75" customHeight="1">
      <c r="AH808" s="300"/>
      <c r="AI808" s="301"/>
      <c r="AJ808" s="302"/>
      <c r="AK808" s="21"/>
    </row>
    <row r="809" ht="15.75" customHeight="1">
      <c r="AH809" s="300"/>
      <c r="AI809" s="301"/>
      <c r="AJ809" s="302"/>
      <c r="AK809" s="21"/>
    </row>
    <row r="810" ht="15.75" customHeight="1">
      <c r="AH810" s="300"/>
      <c r="AI810" s="301"/>
      <c r="AJ810" s="302"/>
      <c r="AK810" s="21"/>
    </row>
    <row r="811" ht="15.75" customHeight="1">
      <c r="AH811" s="300"/>
      <c r="AI811" s="301"/>
      <c r="AJ811" s="302"/>
      <c r="AK811" s="21"/>
    </row>
    <row r="812" ht="15.75" customHeight="1">
      <c r="AH812" s="300"/>
      <c r="AI812" s="301"/>
      <c r="AJ812" s="302"/>
      <c r="AK812" s="21"/>
    </row>
    <row r="813" ht="15.75" customHeight="1">
      <c r="AH813" s="300"/>
      <c r="AI813" s="301"/>
      <c r="AJ813" s="302"/>
      <c r="AK813" s="21"/>
    </row>
    <row r="814" ht="15.75" customHeight="1">
      <c r="AH814" s="300"/>
      <c r="AI814" s="301"/>
      <c r="AJ814" s="302"/>
      <c r="AK814" s="21"/>
    </row>
    <row r="815" ht="15.75" customHeight="1">
      <c r="AH815" s="300"/>
      <c r="AI815" s="301"/>
      <c r="AJ815" s="302"/>
      <c r="AK815" s="21"/>
    </row>
    <row r="816" ht="15.75" customHeight="1">
      <c r="AH816" s="300"/>
      <c r="AI816" s="301"/>
      <c r="AJ816" s="302"/>
      <c r="AK816" s="21"/>
    </row>
    <row r="817" ht="15.75" customHeight="1">
      <c r="AH817" s="300"/>
      <c r="AI817" s="301"/>
      <c r="AJ817" s="302"/>
      <c r="AK817" s="21"/>
    </row>
    <row r="818" ht="15.75" customHeight="1">
      <c r="AH818" s="300"/>
      <c r="AI818" s="301"/>
      <c r="AJ818" s="302"/>
      <c r="AK818" s="21"/>
    </row>
    <row r="819" ht="15.75" customHeight="1">
      <c r="AH819" s="300"/>
      <c r="AI819" s="301"/>
      <c r="AJ819" s="302"/>
      <c r="AK819" s="21"/>
    </row>
    <row r="820" ht="15.75" customHeight="1">
      <c r="AH820" s="300"/>
      <c r="AI820" s="301"/>
      <c r="AJ820" s="302"/>
      <c r="AK820" s="21"/>
    </row>
    <row r="821" ht="15.75" customHeight="1">
      <c r="AH821" s="300"/>
      <c r="AI821" s="301"/>
      <c r="AJ821" s="302"/>
      <c r="AK821" s="21"/>
    </row>
    <row r="822" ht="15.75" customHeight="1">
      <c r="AH822" s="300"/>
      <c r="AI822" s="301"/>
      <c r="AJ822" s="302"/>
      <c r="AK822" s="21"/>
    </row>
    <row r="823" ht="15.75" customHeight="1">
      <c r="AH823" s="300"/>
      <c r="AI823" s="301"/>
      <c r="AJ823" s="302"/>
      <c r="AK823" s="21"/>
    </row>
    <row r="824" ht="15.75" customHeight="1">
      <c r="AH824" s="300"/>
      <c r="AI824" s="301"/>
      <c r="AJ824" s="302"/>
      <c r="AK824" s="21"/>
    </row>
    <row r="825" ht="15.75" customHeight="1">
      <c r="AH825" s="300"/>
      <c r="AI825" s="301"/>
      <c r="AJ825" s="302"/>
      <c r="AK825" s="21"/>
    </row>
    <row r="826" ht="15.75" customHeight="1">
      <c r="AH826" s="300"/>
      <c r="AI826" s="301"/>
      <c r="AJ826" s="302"/>
      <c r="AK826" s="21"/>
    </row>
    <row r="827" ht="15.75" customHeight="1">
      <c r="AH827" s="300"/>
      <c r="AI827" s="301"/>
      <c r="AJ827" s="302"/>
      <c r="AK827" s="21"/>
    </row>
    <row r="828" ht="15.75" customHeight="1">
      <c r="AH828" s="300"/>
      <c r="AI828" s="301"/>
      <c r="AJ828" s="302"/>
      <c r="AK828" s="21"/>
    </row>
    <row r="829" ht="15.75" customHeight="1">
      <c r="AH829" s="300"/>
      <c r="AI829" s="301"/>
      <c r="AJ829" s="302"/>
      <c r="AK829" s="21"/>
    </row>
    <row r="830" ht="15.75" customHeight="1">
      <c r="AH830" s="300"/>
      <c r="AI830" s="301"/>
      <c r="AJ830" s="302"/>
      <c r="AK830" s="21"/>
    </row>
    <row r="831" ht="15.75" customHeight="1">
      <c r="AH831" s="300"/>
      <c r="AI831" s="301"/>
      <c r="AJ831" s="302"/>
      <c r="AK831" s="21"/>
    </row>
    <row r="832" ht="15.75" customHeight="1">
      <c r="AH832" s="300"/>
      <c r="AI832" s="301"/>
      <c r="AJ832" s="302"/>
      <c r="AK832" s="21"/>
    </row>
    <row r="833" ht="15.75" customHeight="1">
      <c r="AH833" s="300"/>
      <c r="AI833" s="301"/>
      <c r="AJ833" s="302"/>
      <c r="AK833" s="21"/>
    </row>
    <row r="834" ht="15.75" customHeight="1">
      <c r="AH834" s="300"/>
      <c r="AI834" s="301"/>
      <c r="AJ834" s="302"/>
      <c r="AK834" s="21"/>
    </row>
    <row r="835" ht="15.75" customHeight="1">
      <c r="AH835" s="300"/>
      <c r="AI835" s="301"/>
      <c r="AJ835" s="302"/>
      <c r="AK835" s="21"/>
    </row>
    <row r="836" ht="15.75" customHeight="1">
      <c r="AH836" s="300"/>
      <c r="AI836" s="301"/>
      <c r="AJ836" s="302"/>
      <c r="AK836" s="21"/>
    </row>
    <row r="837" ht="15.75" customHeight="1">
      <c r="AH837" s="300"/>
      <c r="AI837" s="301"/>
      <c r="AJ837" s="302"/>
      <c r="AK837" s="21"/>
    </row>
    <row r="838" ht="15.75" customHeight="1">
      <c r="AH838" s="300"/>
      <c r="AI838" s="301"/>
      <c r="AJ838" s="302"/>
      <c r="AK838" s="21"/>
    </row>
    <row r="839" ht="15.75" customHeight="1">
      <c r="AH839" s="300"/>
      <c r="AI839" s="301"/>
      <c r="AJ839" s="302"/>
      <c r="AK839" s="21"/>
    </row>
    <row r="840" ht="15.75" customHeight="1">
      <c r="AH840" s="300"/>
      <c r="AI840" s="301"/>
      <c r="AJ840" s="302"/>
      <c r="AK840" s="21"/>
    </row>
    <row r="841" ht="15.75" customHeight="1">
      <c r="AH841" s="300"/>
      <c r="AI841" s="301"/>
      <c r="AJ841" s="302"/>
      <c r="AK841" s="21"/>
    </row>
    <row r="842" ht="15.75" customHeight="1">
      <c r="AH842" s="300"/>
      <c r="AI842" s="301"/>
      <c r="AJ842" s="302"/>
      <c r="AK842" s="21"/>
    </row>
    <row r="843" ht="15.75" customHeight="1">
      <c r="AH843" s="300"/>
      <c r="AI843" s="301"/>
      <c r="AJ843" s="302"/>
      <c r="AK843" s="21"/>
    </row>
    <row r="844" ht="15.75" customHeight="1">
      <c r="AH844" s="300"/>
      <c r="AI844" s="301"/>
      <c r="AJ844" s="302"/>
      <c r="AK844" s="21"/>
    </row>
    <row r="845" ht="15.75" customHeight="1">
      <c r="AH845" s="300"/>
      <c r="AI845" s="301"/>
      <c r="AJ845" s="302"/>
      <c r="AK845" s="21"/>
    </row>
    <row r="846" ht="15.75" customHeight="1">
      <c r="AH846" s="300"/>
      <c r="AI846" s="301"/>
      <c r="AJ846" s="302"/>
      <c r="AK846" s="21"/>
    </row>
    <row r="847" ht="15.75" customHeight="1">
      <c r="AH847" s="300"/>
      <c r="AI847" s="301"/>
      <c r="AJ847" s="302"/>
      <c r="AK847" s="21"/>
    </row>
    <row r="848" ht="15.75" customHeight="1">
      <c r="AH848" s="300"/>
      <c r="AI848" s="301"/>
      <c r="AJ848" s="302"/>
      <c r="AK848" s="21"/>
    </row>
    <row r="849" ht="15.75" customHeight="1">
      <c r="AH849" s="300"/>
      <c r="AI849" s="301"/>
      <c r="AJ849" s="302"/>
      <c r="AK849" s="21"/>
    </row>
    <row r="850" ht="15.75" customHeight="1">
      <c r="AH850" s="300"/>
      <c r="AI850" s="301"/>
      <c r="AJ850" s="302"/>
      <c r="AK850" s="21"/>
    </row>
    <row r="851" ht="15.75" customHeight="1">
      <c r="AH851" s="300"/>
      <c r="AI851" s="301"/>
      <c r="AJ851" s="302"/>
      <c r="AK851" s="21"/>
    </row>
    <row r="852" ht="15.75" customHeight="1">
      <c r="AH852" s="300"/>
      <c r="AI852" s="301"/>
      <c r="AJ852" s="302"/>
      <c r="AK852" s="21"/>
    </row>
    <row r="853" ht="15.75" customHeight="1">
      <c r="AH853" s="300"/>
      <c r="AI853" s="301"/>
      <c r="AJ853" s="302"/>
      <c r="AK853" s="21"/>
    </row>
    <row r="854" ht="15.75" customHeight="1">
      <c r="AH854" s="300"/>
      <c r="AI854" s="301"/>
      <c r="AJ854" s="302"/>
      <c r="AK854" s="21"/>
    </row>
    <row r="855" ht="15.75" customHeight="1">
      <c r="AH855" s="300"/>
      <c r="AI855" s="301"/>
      <c r="AJ855" s="302"/>
      <c r="AK855" s="21"/>
    </row>
    <row r="856" ht="15.75" customHeight="1">
      <c r="AH856" s="300"/>
      <c r="AI856" s="301"/>
      <c r="AJ856" s="302"/>
      <c r="AK856" s="21"/>
    </row>
    <row r="857" ht="15.75" customHeight="1">
      <c r="AH857" s="300"/>
      <c r="AI857" s="301"/>
      <c r="AJ857" s="302"/>
      <c r="AK857" s="21"/>
    </row>
    <row r="858" ht="15.75" customHeight="1">
      <c r="AH858" s="300"/>
      <c r="AI858" s="301"/>
      <c r="AJ858" s="302"/>
      <c r="AK858" s="21"/>
    </row>
    <row r="859" ht="15.75" customHeight="1">
      <c r="AH859" s="300"/>
      <c r="AI859" s="301"/>
      <c r="AJ859" s="302"/>
      <c r="AK859" s="21"/>
    </row>
    <row r="860" ht="15.75" customHeight="1">
      <c r="AH860" s="300"/>
      <c r="AI860" s="301"/>
      <c r="AJ860" s="302"/>
      <c r="AK860" s="21"/>
    </row>
    <row r="861" ht="15.75" customHeight="1">
      <c r="AH861" s="300"/>
      <c r="AI861" s="301"/>
      <c r="AJ861" s="302"/>
      <c r="AK861" s="21"/>
    </row>
    <row r="862" ht="15.75" customHeight="1">
      <c r="AH862" s="300"/>
      <c r="AI862" s="301"/>
      <c r="AJ862" s="302"/>
      <c r="AK862" s="21"/>
    </row>
    <row r="863" ht="15.75" customHeight="1">
      <c r="AH863" s="300"/>
      <c r="AI863" s="301"/>
      <c r="AJ863" s="302"/>
      <c r="AK863" s="21"/>
    </row>
    <row r="864" ht="15.75" customHeight="1">
      <c r="AH864" s="300"/>
      <c r="AI864" s="301"/>
      <c r="AJ864" s="302"/>
      <c r="AK864" s="21"/>
    </row>
    <row r="865" ht="15.75" customHeight="1">
      <c r="AH865" s="300"/>
      <c r="AI865" s="301"/>
      <c r="AJ865" s="302"/>
      <c r="AK865" s="21"/>
    </row>
    <row r="866" ht="15.75" customHeight="1">
      <c r="AH866" s="300"/>
      <c r="AI866" s="301"/>
      <c r="AJ866" s="302"/>
      <c r="AK866" s="21"/>
    </row>
    <row r="867" ht="15.75" customHeight="1">
      <c r="AH867" s="300"/>
      <c r="AI867" s="301"/>
      <c r="AJ867" s="302"/>
      <c r="AK867" s="21"/>
    </row>
    <row r="868" ht="15.75" customHeight="1">
      <c r="AH868" s="300"/>
      <c r="AI868" s="301"/>
      <c r="AJ868" s="302"/>
      <c r="AK868" s="21"/>
    </row>
    <row r="869" ht="15.75" customHeight="1">
      <c r="AH869" s="300"/>
      <c r="AI869" s="301"/>
      <c r="AJ869" s="302"/>
      <c r="AK869" s="21"/>
    </row>
    <row r="870" ht="15.75" customHeight="1">
      <c r="AH870" s="300"/>
      <c r="AI870" s="301"/>
      <c r="AJ870" s="302"/>
      <c r="AK870" s="21"/>
    </row>
    <row r="871" ht="15.75" customHeight="1">
      <c r="AH871" s="300"/>
      <c r="AI871" s="301"/>
      <c r="AJ871" s="302"/>
      <c r="AK871" s="21"/>
    </row>
    <row r="872" ht="15.75" customHeight="1">
      <c r="AH872" s="300"/>
      <c r="AI872" s="301"/>
      <c r="AJ872" s="302"/>
      <c r="AK872" s="21"/>
    </row>
    <row r="873" ht="15.75" customHeight="1">
      <c r="AH873" s="300"/>
      <c r="AI873" s="301"/>
      <c r="AJ873" s="302"/>
      <c r="AK873" s="21"/>
    </row>
    <row r="874" ht="15.75" customHeight="1">
      <c r="AH874" s="300"/>
      <c r="AI874" s="301"/>
      <c r="AJ874" s="302"/>
      <c r="AK874" s="21"/>
    </row>
    <row r="875" ht="15.75" customHeight="1">
      <c r="AH875" s="300"/>
      <c r="AI875" s="301"/>
      <c r="AJ875" s="302"/>
      <c r="AK875" s="21"/>
    </row>
    <row r="876" ht="15.75" customHeight="1">
      <c r="AH876" s="300"/>
      <c r="AI876" s="301"/>
      <c r="AJ876" s="302"/>
      <c r="AK876" s="21"/>
    </row>
    <row r="877" ht="15.75" customHeight="1">
      <c r="AH877" s="300"/>
      <c r="AI877" s="301"/>
      <c r="AJ877" s="302"/>
      <c r="AK877" s="21"/>
    </row>
    <row r="878" ht="15.75" customHeight="1">
      <c r="AH878" s="300"/>
      <c r="AI878" s="301"/>
      <c r="AJ878" s="302"/>
      <c r="AK878" s="21"/>
    </row>
    <row r="879" ht="15.75" customHeight="1">
      <c r="AH879" s="300"/>
      <c r="AI879" s="301"/>
      <c r="AJ879" s="302"/>
      <c r="AK879" s="21"/>
    </row>
    <row r="880" ht="15.75" customHeight="1">
      <c r="AH880" s="300"/>
      <c r="AI880" s="301"/>
      <c r="AJ880" s="302"/>
      <c r="AK880" s="21"/>
    </row>
    <row r="881" ht="15.75" customHeight="1">
      <c r="AH881" s="300"/>
      <c r="AI881" s="301"/>
      <c r="AJ881" s="302"/>
      <c r="AK881" s="21"/>
    </row>
    <row r="882" ht="15.75" customHeight="1">
      <c r="AH882" s="300"/>
      <c r="AI882" s="301"/>
      <c r="AJ882" s="302"/>
      <c r="AK882" s="21"/>
    </row>
    <row r="883" ht="15.75" customHeight="1">
      <c r="AH883" s="300"/>
      <c r="AI883" s="301"/>
      <c r="AJ883" s="302"/>
      <c r="AK883" s="21"/>
    </row>
    <row r="884" ht="15.75" customHeight="1">
      <c r="AH884" s="300"/>
      <c r="AI884" s="301"/>
      <c r="AJ884" s="302"/>
      <c r="AK884" s="21"/>
    </row>
    <row r="885" ht="15.75" customHeight="1">
      <c r="AH885" s="300"/>
      <c r="AI885" s="301"/>
      <c r="AJ885" s="302"/>
      <c r="AK885" s="21"/>
    </row>
    <row r="886" ht="15.75" customHeight="1">
      <c r="AH886" s="300"/>
      <c r="AI886" s="301"/>
      <c r="AJ886" s="302"/>
      <c r="AK886" s="21"/>
    </row>
    <row r="887" ht="15.75" customHeight="1">
      <c r="AH887" s="300"/>
      <c r="AI887" s="301"/>
      <c r="AJ887" s="302"/>
      <c r="AK887" s="21"/>
    </row>
    <row r="888" ht="15.75" customHeight="1">
      <c r="AH888" s="300"/>
      <c r="AI888" s="301"/>
      <c r="AJ888" s="302"/>
      <c r="AK888" s="21"/>
    </row>
    <row r="889" ht="15.75" customHeight="1">
      <c r="AH889" s="300"/>
      <c r="AI889" s="301"/>
      <c r="AJ889" s="302"/>
      <c r="AK889" s="21"/>
    </row>
    <row r="890" ht="15.75" customHeight="1">
      <c r="AH890" s="300"/>
      <c r="AI890" s="301"/>
      <c r="AJ890" s="302"/>
      <c r="AK890" s="21"/>
    </row>
    <row r="891" ht="15.75" customHeight="1">
      <c r="AH891" s="300"/>
      <c r="AI891" s="301"/>
      <c r="AJ891" s="302"/>
      <c r="AK891" s="21"/>
    </row>
    <row r="892" ht="15.75" customHeight="1">
      <c r="AH892" s="300"/>
      <c r="AI892" s="301"/>
      <c r="AJ892" s="302"/>
      <c r="AK892" s="21"/>
    </row>
    <row r="893" ht="15.75" customHeight="1">
      <c r="AH893" s="300"/>
      <c r="AI893" s="301"/>
      <c r="AJ893" s="302"/>
      <c r="AK893" s="21"/>
    </row>
    <row r="894" ht="15.75" customHeight="1">
      <c r="AH894" s="300"/>
      <c r="AI894" s="301"/>
      <c r="AJ894" s="302"/>
      <c r="AK894" s="21"/>
    </row>
    <row r="895" ht="15.75" customHeight="1">
      <c r="AH895" s="300"/>
      <c r="AI895" s="301"/>
      <c r="AJ895" s="302"/>
      <c r="AK895" s="21"/>
    </row>
    <row r="896" ht="15.75" customHeight="1">
      <c r="AH896" s="300"/>
      <c r="AI896" s="301"/>
      <c r="AJ896" s="302"/>
      <c r="AK896" s="21"/>
    </row>
    <row r="897" ht="15.75" customHeight="1">
      <c r="AH897" s="300"/>
      <c r="AI897" s="301"/>
      <c r="AJ897" s="302"/>
      <c r="AK897" s="21"/>
    </row>
    <row r="898" ht="15.75" customHeight="1">
      <c r="AH898" s="300"/>
      <c r="AI898" s="301"/>
      <c r="AJ898" s="302"/>
      <c r="AK898" s="21"/>
    </row>
    <row r="899" ht="15.75" customHeight="1">
      <c r="AH899" s="300"/>
      <c r="AI899" s="301"/>
      <c r="AJ899" s="302"/>
      <c r="AK899" s="21"/>
    </row>
    <row r="900" ht="15.75" customHeight="1">
      <c r="AH900" s="300"/>
      <c r="AI900" s="301"/>
      <c r="AJ900" s="302"/>
      <c r="AK900" s="21"/>
    </row>
    <row r="901" ht="15.75" customHeight="1">
      <c r="AH901" s="300"/>
      <c r="AI901" s="301"/>
      <c r="AJ901" s="302"/>
      <c r="AK901" s="21"/>
    </row>
    <row r="902" ht="15.75" customHeight="1">
      <c r="AH902" s="300"/>
      <c r="AI902" s="301"/>
      <c r="AJ902" s="302"/>
      <c r="AK902" s="21"/>
    </row>
    <row r="903" ht="15.75" customHeight="1">
      <c r="AH903" s="300"/>
      <c r="AI903" s="301"/>
      <c r="AJ903" s="302"/>
      <c r="AK903" s="21"/>
    </row>
    <row r="904" ht="15.75" customHeight="1">
      <c r="AH904" s="300"/>
      <c r="AI904" s="301"/>
      <c r="AJ904" s="302"/>
      <c r="AK904" s="21"/>
    </row>
    <row r="905" ht="15.75" customHeight="1">
      <c r="AH905" s="300"/>
      <c r="AI905" s="301"/>
      <c r="AJ905" s="302"/>
      <c r="AK905" s="21"/>
    </row>
    <row r="906" ht="15.75" customHeight="1">
      <c r="AH906" s="300"/>
      <c r="AI906" s="301"/>
      <c r="AJ906" s="302"/>
      <c r="AK906" s="21"/>
    </row>
    <row r="907" ht="15.75" customHeight="1">
      <c r="AH907" s="300"/>
      <c r="AI907" s="301"/>
      <c r="AJ907" s="302"/>
      <c r="AK907" s="21"/>
    </row>
    <row r="908" ht="15.75" customHeight="1">
      <c r="AH908" s="300"/>
      <c r="AI908" s="301"/>
      <c r="AJ908" s="302"/>
      <c r="AK908" s="21"/>
    </row>
    <row r="909" ht="15.75" customHeight="1">
      <c r="AH909" s="300"/>
      <c r="AI909" s="301"/>
      <c r="AJ909" s="302"/>
      <c r="AK909" s="21"/>
    </row>
    <row r="910" ht="15.75" customHeight="1">
      <c r="AH910" s="300"/>
      <c r="AI910" s="301"/>
      <c r="AJ910" s="302"/>
      <c r="AK910" s="21"/>
    </row>
    <row r="911" ht="15.75" customHeight="1">
      <c r="AH911" s="300"/>
      <c r="AI911" s="301"/>
      <c r="AJ911" s="302"/>
      <c r="AK911" s="21"/>
    </row>
    <row r="912" ht="15.75" customHeight="1">
      <c r="AH912" s="300"/>
      <c r="AI912" s="301"/>
      <c r="AJ912" s="302"/>
      <c r="AK912" s="21"/>
    </row>
    <row r="913" ht="15.75" customHeight="1">
      <c r="AH913" s="300"/>
      <c r="AI913" s="301"/>
      <c r="AJ913" s="302"/>
      <c r="AK913" s="21"/>
    </row>
    <row r="914" ht="15.75" customHeight="1">
      <c r="AH914" s="300"/>
      <c r="AI914" s="301"/>
      <c r="AJ914" s="302"/>
      <c r="AK914" s="21"/>
    </row>
    <row r="915" ht="15.75" customHeight="1">
      <c r="AH915" s="300"/>
      <c r="AI915" s="301"/>
      <c r="AJ915" s="302"/>
      <c r="AK915" s="21"/>
    </row>
    <row r="916" ht="15.75" customHeight="1">
      <c r="AH916" s="300"/>
      <c r="AI916" s="301"/>
      <c r="AJ916" s="302"/>
      <c r="AK916" s="21"/>
    </row>
    <row r="917" ht="15.75" customHeight="1">
      <c r="AH917" s="300"/>
      <c r="AI917" s="301"/>
      <c r="AJ917" s="302"/>
      <c r="AK917" s="21"/>
    </row>
    <row r="918" ht="15.75" customHeight="1">
      <c r="AH918" s="300"/>
      <c r="AI918" s="301"/>
      <c r="AJ918" s="302"/>
      <c r="AK918" s="21"/>
    </row>
    <row r="919" ht="15.75" customHeight="1">
      <c r="AH919" s="300"/>
      <c r="AI919" s="301"/>
      <c r="AJ919" s="302"/>
      <c r="AK919" s="21"/>
    </row>
    <row r="920" ht="15.75" customHeight="1">
      <c r="AH920" s="300"/>
      <c r="AI920" s="301"/>
      <c r="AJ920" s="302"/>
      <c r="AK920" s="21"/>
    </row>
    <row r="921" ht="15.75" customHeight="1">
      <c r="AH921" s="300"/>
      <c r="AI921" s="301"/>
      <c r="AJ921" s="302"/>
      <c r="AK921" s="21"/>
    </row>
    <row r="922" ht="15.75" customHeight="1">
      <c r="AH922" s="300"/>
      <c r="AI922" s="301"/>
      <c r="AJ922" s="302"/>
      <c r="AK922" s="21"/>
    </row>
    <row r="923" ht="15.75" customHeight="1">
      <c r="AH923" s="300"/>
      <c r="AI923" s="301"/>
      <c r="AJ923" s="302"/>
      <c r="AK923" s="21"/>
    </row>
    <row r="924" ht="15.75" customHeight="1">
      <c r="AH924" s="300"/>
      <c r="AI924" s="301"/>
      <c r="AJ924" s="302"/>
      <c r="AK924" s="21"/>
    </row>
    <row r="925" ht="15.75" customHeight="1">
      <c r="AH925" s="300"/>
      <c r="AI925" s="301"/>
      <c r="AJ925" s="302"/>
      <c r="AK925" s="21"/>
    </row>
    <row r="926" ht="15.75" customHeight="1">
      <c r="AH926" s="300"/>
      <c r="AI926" s="301"/>
      <c r="AJ926" s="302"/>
      <c r="AK926" s="21"/>
    </row>
    <row r="927" ht="15.75" customHeight="1">
      <c r="AH927" s="300"/>
      <c r="AI927" s="301"/>
      <c r="AJ927" s="302"/>
      <c r="AK927" s="21"/>
    </row>
    <row r="928" ht="15.75" customHeight="1">
      <c r="AH928" s="300"/>
      <c r="AI928" s="301"/>
      <c r="AJ928" s="302"/>
      <c r="AK928" s="21"/>
    </row>
    <row r="929" ht="15.75" customHeight="1">
      <c r="AH929" s="300"/>
      <c r="AI929" s="301"/>
      <c r="AJ929" s="302"/>
      <c r="AK929" s="21"/>
    </row>
    <row r="930" ht="15.75" customHeight="1">
      <c r="AH930" s="300"/>
      <c r="AI930" s="301"/>
      <c r="AJ930" s="302"/>
      <c r="AK930" s="21"/>
    </row>
    <row r="931" ht="15.75" customHeight="1">
      <c r="AH931" s="300"/>
      <c r="AI931" s="301"/>
      <c r="AJ931" s="302"/>
      <c r="AK931" s="21"/>
    </row>
    <row r="932" ht="15.75" customHeight="1">
      <c r="AH932" s="300"/>
      <c r="AI932" s="301"/>
      <c r="AJ932" s="302"/>
      <c r="AK932" s="21"/>
    </row>
    <row r="933" ht="15.75" customHeight="1">
      <c r="AH933" s="300"/>
      <c r="AI933" s="301"/>
      <c r="AJ933" s="302"/>
      <c r="AK933" s="21"/>
    </row>
    <row r="934" ht="15.75" customHeight="1">
      <c r="AH934" s="300"/>
      <c r="AI934" s="301"/>
      <c r="AJ934" s="302"/>
      <c r="AK934" s="21"/>
    </row>
    <row r="935" ht="15.75" customHeight="1">
      <c r="AH935" s="300"/>
      <c r="AI935" s="301"/>
      <c r="AJ935" s="302"/>
      <c r="AK935" s="21"/>
    </row>
    <row r="936" ht="15.75" customHeight="1">
      <c r="AH936" s="300"/>
      <c r="AI936" s="301"/>
      <c r="AJ936" s="302"/>
      <c r="AK936" s="21"/>
    </row>
    <row r="937" ht="15.75" customHeight="1">
      <c r="AH937" s="300"/>
      <c r="AI937" s="301"/>
      <c r="AJ937" s="302"/>
      <c r="AK937" s="21"/>
    </row>
    <row r="938" ht="15.75" customHeight="1">
      <c r="AH938" s="300"/>
      <c r="AI938" s="301"/>
      <c r="AJ938" s="302"/>
      <c r="AK938" s="21"/>
    </row>
    <row r="939" ht="15.75" customHeight="1">
      <c r="AH939" s="300"/>
      <c r="AI939" s="301"/>
      <c r="AJ939" s="302"/>
      <c r="AK939" s="21"/>
    </row>
    <row r="940" ht="15.75" customHeight="1">
      <c r="AH940" s="300"/>
      <c r="AI940" s="301"/>
      <c r="AJ940" s="302"/>
      <c r="AK940" s="21"/>
    </row>
    <row r="941" ht="15.75" customHeight="1">
      <c r="AH941" s="300"/>
      <c r="AI941" s="301"/>
      <c r="AJ941" s="302"/>
      <c r="AK941" s="21"/>
    </row>
    <row r="942" ht="15.75" customHeight="1">
      <c r="AH942" s="300"/>
      <c r="AI942" s="301"/>
      <c r="AJ942" s="302"/>
      <c r="AK942" s="21"/>
    </row>
    <row r="943" ht="15.75" customHeight="1">
      <c r="AH943" s="300"/>
      <c r="AI943" s="301"/>
      <c r="AJ943" s="302"/>
      <c r="AK943" s="21"/>
    </row>
    <row r="944" ht="15.75" customHeight="1">
      <c r="AH944" s="300"/>
      <c r="AI944" s="301"/>
      <c r="AJ944" s="302"/>
      <c r="AK944" s="21"/>
    </row>
    <row r="945" ht="15.75" customHeight="1">
      <c r="AH945" s="300"/>
      <c r="AI945" s="301"/>
      <c r="AJ945" s="302"/>
      <c r="AK945" s="21"/>
    </row>
    <row r="946" ht="15.75" customHeight="1">
      <c r="AH946" s="300"/>
      <c r="AI946" s="301"/>
      <c r="AJ946" s="302"/>
      <c r="AK946" s="21"/>
    </row>
    <row r="947" ht="15.75" customHeight="1">
      <c r="AH947" s="300"/>
      <c r="AI947" s="301"/>
      <c r="AJ947" s="302"/>
      <c r="AK947" s="21"/>
    </row>
    <row r="948" ht="15.75" customHeight="1">
      <c r="AH948" s="300"/>
      <c r="AI948" s="301"/>
      <c r="AJ948" s="302"/>
      <c r="AK948" s="21"/>
    </row>
    <row r="949" ht="15.75" customHeight="1">
      <c r="AH949" s="300"/>
      <c r="AI949" s="301"/>
      <c r="AJ949" s="302"/>
      <c r="AK949" s="21"/>
    </row>
    <row r="950" ht="15.75" customHeight="1">
      <c r="AH950" s="300"/>
      <c r="AI950" s="301"/>
      <c r="AJ950" s="302"/>
      <c r="AK950" s="21"/>
    </row>
    <row r="951" ht="15.75" customHeight="1">
      <c r="AH951" s="300"/>
      <c r="AI951" s="301"/>
      <c r="AJ951" s="302"/>
      <c r="AK951" s="21"/>
    </row>
    <row r="952" ht="15.75" customHeight="1">
      <c r="AH952" s="300"/>
      <c r="AI952" s="301"/>
      <c r="AJ952" s="302"/>
      <c r="AK952" s="21"/>
    </row>
    <row r="953" ht="15.75" customHeight="1">
      <c r="AH953" s="300"/>
      <c r="AI953" s="301"/>
      <c r="AJ953" s="302"/>
      <c r="AK953" s="21"/>
    </row>
    <row r="954" ht="15.75" customHeight="1">
      <c r="AH954" s="300"/>
      <c r="AI954" s="301"/>
      <c r="AJ954" s="302"/>
      <c r="AK954" s="21"/>
    </row>
    <row r="955" ht="15.75" customHeight="1">
      <c r="AH955" s="300"/>
      <c r="AI955" s="301"/>
      <c r="AJ955" s="302"/>
      <c r="AK955" s="21"/>
    </row>
    <row r="956" ht="15.75" customHeight="1">
      <c r="AH956" s="300"/>
      <c r="AI956" s="301"/>
      <c r="AJ956" s="302"/>
      <c r="AK956" s="21"/>
    </row>
    <row r="957" ht="15.75" customHeight="1">
      <c r="AH957" s="300"/>
      <c r="AI957" s="301"/>
      <c r="AJ957" s="302"/>
      <c r="AK957" s="21"/>
    </row>
    <row r="958" ht="15.75" customHeight="1">
      <c r="AH958" s="300"/>
      <c r="AI958" s="301"/>
      <c r="AJ958" s="302"/>
      <c r="AK958" s="21"/>
    </row>
    <row r="959" ht="15.75" customHeight="1">
      <c r="AH959" s="300"/>
      <c r="AI959" s="301"/>
      <c r="AJ959" s="302"/>
      <c r="AK959" s="21"/>
    </row>
    <row r="960" ht="15.75" customHeight="1">
      <c r="AH960" s="300"/>
      <c r="AI960" s="301"/>
      <c r="AJ960" s="302"/>
      <c r="AK960" s="21"/>
    </row>
    <row r="961" ht="15.75" customHeight="1">
      <c r="AH961" s="300"/>
      <c r="AI961" s="301"/>
      <c r="AJ961" s="302"/>
      <c r="AK961" s="21"/>
    </row>
    <row r="962" ht="15.75" customHeight="1">
      <c r="AH962" s="300"/>
      <c r="AI962" s="301"/>
      <c r="AJ962" s="302"/>
      <c r="AK962" s="21"/>
    </row>
    <row r="963" ht="15.75" customHeight="1">
      <c r="AH963" s="300"/>
      <c r="AI963" s="301"/>
      <c r="AJ963" s="302"/>
      <c r="AK963" s="21"/>
    </row>
    <row r="964" ht="15.75" customHeight="1">
      <c r="AH964" s="300"/>
      <c r="AI964" s="301"/>
      <c r="AJ964" s="302"/>
      <c r="AK964" s="21"/>
    </row>
    <row r="965" ht="15.75" customHeight="1">
      <c r="AH965" s="300"/>
      <c r="AI965" s="301"/>
      <c r="AJ965" s="302"/>
      <c r="AK965" s="21"/>
    </row>
    <row r="966" ht="15.75" customHeight="1">
      <c r="AH966" s="300"/>
      <c r="AI966" s="301"/>
      <c r="AJ966" s="302"/>
      <c r="AK966" s="21"/>
    </row>
    <row r="967" ht="15.75" customHeight="1">
      <c r="AH967" s="300"/>
      <c r="AI967" s="301"/>
      <c r="AJ967" s="302"/>
      <c r="AK967" s="21"/>
    </row>
    <row r="968" ht="15.75" customHeight="1">
      <c r="AH968" s="300"/>
      <c r="AI968" s="301"/>
      <c r="AJ968" s="302"/>
      <c r="AK968" s="21"/>
    </row>
    <row r="969" ht="15.75" customHeight="1">
      <c r="AH969" s="300"/>
      <c r="AI969" s="301"/>
      <c r="AJ969" s="302"/>
      <c r="AK969" s="21"/>
    </row>
    <row r="970" ht="15.75" customHeight="1">
      <c r="AH970" s="300"/>
      <c r="AI970" s="301"/>
      <c r="AJ970" s="302"/>
      <c r="AK970" s="21"/>
    </row>
    <row r="971" ht="15.75" customHeight="1">
      <c r="AH971" s="300"/>
      <c r="AI971" s="301"/>
      <c r="AJ971" s="302"/>
      <c r="AK971" s="21"/>
    </row>
    <row r="972" ht="15.75" customHeight="1">
      <c r="AH972" s="300"/>
      <c r="AI972" s="301"/>
      <c r="AJ972" s="302"/>
      <c r="AK972" s="21"/>
    </row>
    <row r="973" ht="15.75" customHeight="1">
      <c r="AH973" s="300"/>
      <c r="AI973" s="301"/>
      <c r="AJ973" s="302"/>
      <c r="AK973" s="21"/>
    </row>
    <row r="974" ht="15.75" customHeight="1">
      <c r="AH974" s="300"/>
      <c r="AI974" s="301"/>
      <c r="AJ974" s="302"/>
      <c r="AK974" s="21"/>
    </row>
    <row r="975" ht="15.75" customHeight="1">
      <c r="AH975" s="300"/>
      <c r="AI975" s="301"/>
      <c r="AJ975" s="302"/>
      <c r="AK975" s="21"/>
    </row>
    <row r="976" ht="15.75" customHeight="1">
      <c r="AH976" s="300"/>
      <c r="AI976" s="301"/>
      <c r="AJ976" s="302"/>
      <c r="AK976" s="21"/>
    </row>
    <row r="977" ht="15.75" customHeight="1">
      <c r="AH977" s="300"/>
      <c r="AI977" s="301"/>
      <c r="AJ977" s="302"/>
      <c r="AK977" s="21"/>
    </row>
    <row r="978" ht="15.75" customHeight="1">
      <c r="AH978" s="300"/>
      <c r="AI978" s="301"/>
      <c r="AJ978" s="302"/>
      <c r="AK978" s="21"/>
    </row>
    <row r="979" ht="15.75" customHeight="1">
      <c r="AH979" s="300"/>
      <c r="AI979" s="301"/>
      <c r="AJ979" s="302"/>
      <c r="AK979" s="21"/>
    </row>
    <row r="980" ht="15.75" customHeight="1">
      <c r="AH980" s="300"/>
      <c r="AI980" s="301"/>
      <c r="AJ980" s="302"/>
      <c r="AK980" s="21"/>
    </row>
    <row r="981" ht="15.75" customHeight="1">
      <c r="AH981" s="300"/>
      <c r="AI981" s="301"/>
      <c r="AJ981" s="302"/>
      <c r="AK981" s="21"/>
    </row>
    <row r="982" ht="15.75" customHeight="1">
      <c r="AH982" s="300"/>
      <c r="AI982" s="301"/>
      <c r="AJ982" s="302"/>
      <c r="AK982" s="21"/>
    </row>
    <row r="983" ht="15.75" customHeight="1">
      <c r="AH983" s="300"/>
      <c r="AI983" s="301"/>
      <c r="AJ983" s="302"/>
      <c r="AK983" s="21"/>
    </row>
    <row r="984" ht="15.75" customHeight="1">
      <c r="AH984" s="300"/>
      <c r="AI984" s="301"/>
      <c r="AJ984" s="302"/>
      <c r="AK984" s="21"/>
    </row>
    <row r="985" ht="15.75" customHeight="1">
      <c r="AH985" s="300"/>
      <c r="AI985" s="301"/>
      <c r="AJ985" s="302"/>
      <c r="AK985" s="21"/>
    </row>
    <row r="986" ht="15.75" customHeight="1">
      <c r="AH986" s="300"/>
      <c r="AI986" s="301"/>
      <c r="AJ986" s="302"/>
      <c r="AK986" s="21"/>
    </row>
    <row r="987" ht="15.75" customHeight="1">
      <c r="AH987" s="300"/>
      <c r="AI987" s="301"/>
      <c r="AJ987" s="302"/>
      <c r="AK987" s="21"/>
    </row>
    <row r="988" ht="15.75" customHeight="1">
      <c r="AH988" s="300"/>
      <c r="AI988" s="301"/>
      <c r="AJ988" s="302"/>
      <c r="AK988" s="21"/>
    </row>
    <row r="989" ht="15.75" customHeight="1">
      <c r="AH989" s="300"/>
      <c r="AI989" s="301"/>
      <c r="AJ989" s="302"/>
      <c r="AK989" s="21"/>
    </row>
    <row r="990" ht="15.75" customHeight="1">
      <c r="AH990" s="300"/>
      <c r="AI990" s="301"/>
      <c r="AJ990" s="302"/>
      <c r="AK990" s="21"/>
    </row>
    <row r="991" ht="15.75" customHeight="1">
      <c r="AH991" s="300"/>
      <c r="AI991" s="301"/>
      <c r="AJ991" s="302"/>
      <c r="AK991" s="21"/>
    </row>
    <row r="992" ht="15.75" customHeight="1">
      <c r="AH992" s="300"/>
      <c r="AI992" s="301"/>
      <c r="AJ992" s="302"/>
      <c r="AK992" s="21"/>
    </row>
    <row r="993" ht="15.75" customHeight="1">
      <c r="AH993" s="300"/>
      <c r="AI993" s="301"/>
      <c r="AJ993" s="302"/>
      <c r="AK993" s="21"/>
    </row>
    <row r="994" ht="15.75" customHeight="1">
      <c r="AH994" s="300"/>
      <c r="AI994" s="301"/>
      <c r="AJ994" s="302"/>
      <c r="AK994" s="21"/>
    </row>
    <row r="995" ht="15.75" customHeight="1">
      <c r="AH995" s="300"/>
      <c r="AI995" s="301"/>
      <c r="AJ995" s="302"/>
      <c r="AK995" s="21"/>
    </row>
    <row r="996" ht="15.75" customHeight="1">
      <c r="AH996" s="300"/>
      <c r="AI996" s="301"/>
      <c r="AJ996" s="302"/>
      <c r="AK996" s="21"/>
    </row>
    <row r="997" ht="15.75" customHeight="1">
      <c r="AH997" s="300"/>
      <c r="AI997" s="301"/>
      <c r="AJ997" s="302"/>
      <c r="AK997" s="21"/>
    </row>
    <row r="998" ht="15.75" customHeight="1">
      <c r="AH998" s="300"/>
      <c r="AI998" s="301"/>
      <c r="AJ998" s="302"/>
      <c r="AK998" s="21"/>
    </row>
    <row r="999" ht="15.75" customHeight="1">
      <c r="AH999" s="300"/>
      <c r="AI999" s="301"/>
      <c r="AJ999" s="302"/>
      <c r="AK999" s="21"/>
    </row>
    <row r="1000" ht="15.75" customHeight="1">
      <c r="AH1000" s="300"/>
      <c r="AI1000" s="301"/>
      <c r="AJ1000" s="302"/>
      <c r="AK1000" s="21"/>
    </row>
    <row r="1001" ht="15.75" customHeight="1">
      <c r="AH1001" s="300"/>
      <c r="AI1001" s="301"/>
      <c r="AJ1001" s="302"/>
      <c r="AK1001" s="21"/>
    </row>
  </sheetData>
  <mergeCells count="28">
    <mergeCell ref="AU43:AU45"/>
    <mergeCell ref="AV43:AV45"/>
    <mergeCell ref="AU41:AV42"/>
    <mergeCell ref="AU46:AU47"/>
    <mergeCell ref="AV46:AV47"/>
    <mergeCell ref="AN47:AO50"/>
    <mergeCell ref="AP47:AQ50"/>
    <mergeCell ref="A58:A65"/>
    <mergeCell ref="A66:A73"/>
    <mergeCell ref="A74:A81"/>
    <mergeCell ref="A82:A89"/>
    <mergeCell ref="A90:A97"/>
    <mergeCell ref="A2:A9"/>
    <mergeCell ref="A10:A17"/>
    <mergeCell ref="A18:A25"/>
    <mergeCell ref="A26:A33"/>
    <mergeCell ref="A34:A41"/>
    <mergeCell ref="A42:A49"/>
    <mergeCell ref="A50:A57"/>
    <mergeCell ref="AM63:AN65"/>
    <mergeCell ref="AM69:AN70"/>
    <mergeCell ref="AN45:AQ46"/>
    <mergeCell ref="AN51:AO52"/>
    <mergeCell ref="AP51:AQ52"/>
    <mergeCell ref="AM53:AM55"/>
    <mergeCell ref="AN53:AN55"/>
    <mergeCell ref="AM57:AM58"/>
    <mergeCell ref="AN57:AN58"/>
  </mergeCells>
  <printOptions/>
  <pageMargins bottom="0.75" footer="0.0" header="0.0" left="0.7" right="0.7" top="0.75"/>
  <pageSetup paperSize="5" orientation="landscape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outlinePr summaryBelow="0" summaryRight="0"/>
  </sheetPr>
  <sheetViews>
    <sheetView workbookViewId="0"/>
  </sheetViews>
  <sheetFormatPr customHeight="1" defaultColWidth="11.22" defaultRowHeight="15.0"/>
  <cols>
    <col customWidth="1" min="2" max="2" width="12.67"/>
    <col customWidth="1" min="4" max="4" width="12.67"/>
    <col customWidth="1" min="5" max="5" width="13.89"/>
    <col customWidth="1" min="13" max="13" width="14.33"/>
  </cols>
  <sheetData>
    <row r="2">
      <c r="B2" s="96" t="s">
        <v>176</v>
      </c>
      <c r="C2" s="35"/>
      <c r="D2" s="35"/>
      <c r="E2" s="36"/>
      <c r="L2" s="37"/>
      <c r="M2" s="37" t="s">
        <v>40</v>
      </c>
      <c r="N2" s="37"/>
    </row>
    <row r="3">
      <c r="B3" s="38"/>
      <c r="C3" s="15"/>
      <c r="D3" s="15"/>
      <c r="E3" s="39">
        <f>+SUM(E4:E14)</f>
        <v>1</v>
      </c>
      <c r="F3" s="15"/>
      <c r="G3" s="15"/>
      <c r="H3" s="15"/>
      <c r="L3" s="40"/>
      <c r="M3" s="40"/>
      <c r="N3" s="40"/>
    </row>
    <row r="4">
      <c r="B4" s="108" t="s">
        <v>41</v>
      </c>
      <c r="C4" s="15"/>
      <c r="D4" s="42">
        <f>+'Planilha de Rentabilidade'!E94</f>
        <v>-100534</v>
      </c>
      <c r="E4" s="39">
        <f t="shared" ref="E4:E14" si="1">D4/$E$15</f>
        <v>-0.02774596695</v>
      </c>
      <c r="F4" s="15"/>
      <c r="G4" s="15"/>
      <c r="H4" s="15"/>
      <c r="L4" s="40" t="s">
        <v>42</v>
      </c>
      <c r="M4" s="43">
        <f>SUM(D5:D7)</f>
        <v>413158.28</v>
      </c>
      <c r="N4" s="44">
        <f t="shared" ref="N4:N14" si="2">M4/$M$15</f>
        <v>0.1140258617</v>
      </c>
    </row>
    <row r="5">
      <c r="B5" s="108" t="s">
        <v>109</v>
      </c>
      <c r="C5" s="15"/>
      <c r="D5" s="42">
        <f>+'Planilha de Rentabilidade'!Q94</f>
        <v>62619.35</v>
      </c>
      <c r="E5" s="39">
        <f t="shared" si="1"/>
        <v>0.01728205797</v>
      </c>
      <c r="F5" s="15"/>
      <c r="G5" s="15"/>
      <c r="H5" s="15"/>
      <c r="L5" s="40"/>
      <c r="M5" s="40">
        <v>0.0</v>
      </c>
      <c r="N5" s="44">
        <f t="shared" si="2"/>
        <v>0</v>
      </c>
    </row>
    <row r="6">
      <c r="B6" s="108" t="s">
        <v>110</v>
      </c>
      <c r="C6" s="15"/>
      <c r="D6" s="42">
        <f>+'Planilha de Rentabilidade'!P94</f>
        <v>229663.28</v>
      </c>
      <c r="E6" s="39">
        <f t="shared" si="1"/>
        <v>0.06338382813</v>
      </c>
      <c r="F6" s="15"/>
      <c r="G6" s="15"/>
      <c r="H6" s="15"/>
      <c r="L6" s="40"/>
      <c r="M6" s="40">
        <v>0.0</v>
      </c>
      <c r="N6" s="44">
        <f t="shared" si="2"/>
        <v>0</v>
      </c>
    </row>
    <row r="7">
      <c r="B7" s="108" t="s">
        <v>45</v>
      </c>
      <c r="C7" s="15"/>
      <c r="D7" s="42">
        <f>'Planilha de Rentabilidade'!O94</f>
        <v>120875.65</v>
      </c>
      <c r="E7" s="39">
        <f t="shared" si="1"/>
        <v>0.03335997563</v>
      </c>
      <c r="F7" s="15"/>
      <c r="G7" s="15"/>
      <c r="H7" s="15"/>
      <c r="L7" s="40" t="s">
        <v>46</v>
      </c>
      <c r="M7" s="43">
        <f>+D11</f>
        <v>0</v>
      </c>
      <c r="N7" s="44">
        <f t="shared" si="2"/>
        <v>0</v>
      </c>
    </row>
    <row r="8">
      <c r="B8" s="108" t="s">
        <v>47</v>
      </c>
      <c r="C8" s="15"/>
      <c r="D8" s="42">
        <f>'Planilha de Rentabilidade'!C94+'Planilha de Rentabilidade'!D94+'Planilha de Rentabilidade'!S94+'Planilha de Rentabilidade'!F94</f>
        <v>279680.63</v>
      </c>
      <c r="E8" s="39">
        <f t="shared" si="1"/>
        <v>0.07718791172</v>
      </c>
      <c r="F8" s="15"/>
      <c r="G8" s="15"/>
      <c r="H8" s="15"/>
      <c r="L8" s="40" t="s">
        <v>48</v>
      </c>
      <c r="M8" s="43">
        <f>D8+D12+D13</f>
        <v>1059164.79</v>
      </c>
      <c r="N8" s="44">
        <f t="shared" si="2"/>
        <v>0.2923145529</v>
      </c>
    </row>
    <row r="9">
      <c r="B9" s="108" t="s">
        <v>49</v>
      </c>
      <c r="C9" s="15"/>
      <c r="D9" s="42">
        <f>'Planilha de Rentabilidade'!L94</f>
        <v>59982.56</v>
      </c>
      <c r="E9" s="39">
        <f t="shared" si="1"/>
        <v>0.01655434109</v>
      </c>
      <c r="F9" s="15"/>
      <c r="G9" s="15"/>
      <c r="H9" s="15"/>
      <c r="L9" s="47" t="s">
        <v>177</v>
      </c>
      <c r="M9" s="43">
        <f>+D10</f>
        <v>284245.72</v>
      </c>
      <c r="N9" s="44">
        <f t="shared" si="2"/>
        <v>0.07844781222</v>
      </c>
    </row>
    <row r="10">
      <c r="B10" s="109" t="s">
        <v>114</v>
      </c>
      <c r="C10" s="15"/>
      <c r="D10" s="42">
        <f>'Planilha de Rentabilidade'!M94</f>
        <v>284245.72</v>
      </c>
      <c r="E10" s="39">
        <f t="shared" si="1"/>
        <v>0.07844781222</v>
      </c>
      <c r="F10" s="15"/>
      <c r="G10" s="15"/>
      <c r="H10" s="15"/>
      <c r="L10" s="40" t="s">
        <v>49</v>
      </c>
      <c r="M10" s="43">
        <f>D9</f>
        <v>59982.56</v>
      </c>
      <c r="N10" s="44">
        <f t="shared" si="2"/>
        <v>0.01655434109</v>
      </c>
    </row>
    <row r="11">
      <c r="B11" s="108" t="s">
        <v>46</v>
      </c>
      <c r="C11" s="15"/>
      <c r="D11" s="42">
        <f>0</f>
        <v>0</v>
      </c>
      <c r="E11" s="39">
        <f t="shared" si="1"/>
        <v>0</v>
      </c>
      <c r="F11" s="15"/>
      <c r="G11" s="15"/>
      <c r="H11" s="15"/>
      <c r="L11" s="40"/>
      <c r="M11" s="40"/>
      <c r="N11" s="44">
        <f t="shared" si="2"/>
        <v>0</v>
      </c>
    </row>
    <row r="12">
      <c r="B12" s="108" t="s">
        <v>52</v>
      </c>
      <c r="C12" s="15"/>
      <c r="D12" s="42">
        <f>'Planilha de Rentabilidade'!G94+'Planilha de Rentabilidade'!I94+'Planilha de Rentabilidade'!J94</f>
        <v>534753.53</v>
      </c>
      <c r="E12" s="39">
        <f t="shared" si="1"/>
        <v>0.1475844368</v>
      </c>
      <c r="F12" s="15"/>
      <c r="G12" s="15"/>
      <c r="H12" s="15"/>
      <c r="L12" s="40" t="s">
        <v>41</v>
      </c>
      <c r="M12" s="43">
        <f>+D4</f>
        <v>-100534</v>
      </c>
      <c r="N12" s="44">
        <f t="shared" si="2"/>
        <v>-0.02774596695</v>
      </c>
    </row>
    <row r="13">
      <c r="B13" s="109" t="s">
        <v>53</v>
      </c>
      <c r="C13" s="15"/>
      <c r="D13" s="46">
        <f>'Planilha de Rentabilidade'!H94+'Planilha de Rentabilidade'!K94</f>
        <v>244730.63</v>
      </c>
      <c r="E13" s="39">
        <f t="shared" si="1"/>
        <v>0.06754220435</v>
      </c>
      <c r="F13" s="15"/>
      <c r="G13" s="15"/>
      <c r="H13" s="15"/>
      <c r="L13" s="40"/>
      <c r="M13" s="40"/>
      <c r="N13" s="44">
        <f t="shared" si="2"/>
        <v>0</v>
      </c>
    </row>
    <row r="14">
      <c r="B14" s="108" t="s">
        <v>54</v>
      </c>
      <c r="C14" s="15"/>
      <c r="D14" s="42">
        <f>B33</f>
        <v>1907356.1</v>
      </c>
      <c r="E14" s="39">
        <f t="shared" si="1"/>
        <v>0.526403399</v>
      </c>
      <c r="F14" s="15"/>
      <c r="G14" s="15"/>
      <c r="H14" s="15"/>
      <c r="L14" s="40" t="s">
        <v>73</v>
      </c>
      <c r="M14" s="43">
        <f>D14</f>
        <v>1907356.1</v>
      </c>
      <c r="N14" s="44">
        <f t="shared" si="2"/>
        <v>0.526403399</v>
      </c>
    </row>
    <row r="15">
      <c r="B15" s="48"/>
      <c r="C15" s="49" t="s">
        <v>56</v>
      </c>
      <c r="D15" s="49"/>
      <c r="E15" s="77">
        <f>SUM(D4:D14)</f>
        <v>3623373.45</v>
      </c>
      <c r="F15" s="15"/>
      <c r="G15" s="15"/>
      <c r="H15" s="15"/>
      <c r="L15" s="51"/>
      <c r="M15" s="97">
        <f t="shared" ref="M15:N15" si="3">SUM(M4:M14)</f>
        <v>3623373.45</v>
      </c>
      <c r="N15" s="94">
        <f t="shared" si="3"/>
        <v>1</v>
      </c>
    </row>
    <row r="16">
      <c r="C16" s="54"/>
      <c r="D16" s="15"/>
      <c r="E16" s="15"/>
      <c r="F16" s="15"/>
      <c r="G16" s="15"/>
      <c r="H16" s="15"/>
    </row>
    <row r="17">
      <c r="C17" s="54"/>
      <c r="D17" s="15"/>
      <c r="E17" s="15"/>
      <c r="F17" s="15"/>
      <c r="G17" s="15"/>
      <c r="H17" s="15"/>
    </row>
    <row r="18">
      <c r="B18" s="96" t="s">
        <v>178</v>
      </c>
      <c r="C18" s="55"/>
      <c r="D18" s="56"/>
      <c r="E18" s="57"/>
      <c r="F18" s="15"/>
      <c r="G18" s="15"/>
      <c r="H18" s="15"/>
    </row>
    <row r="19">
      <c r="B19" s="58"/>
      <c r="C19" s="59" t="s">
        <v>58</v>
      </c>
      <c r="D19" s="15"/>
      <c r="E19" s="60"/>
      <c r="F19" s="15"/>
      <c r="G19" s="15"/>
      <c r="H19" s="15"/>
    </row>
    <row r="20">
      <c r="B20" s="112">
        <f>+'Planilha de Rentabilidade'!Z94+'Planilha de Rentabilidade'!W94</f>
        <v>71960</v>
      </c>
      <c r="C20" s="54">
        <f t="shared" ref="C20:C33" si="4">B20/$B$33</f>
        <v>0.03772761678</v>
      </c>
      <c r="D20" s="79" t="s">
        <v>79</v>
      </c>
      <c r="E20" s="60"/>
      <c r="F20" s="15"/>
      <c r="G20" s="15"/>
      <c r="H20" s="15"/>
    </row>
    <row r="21">
      <c r="B21" s="303">
        <v>0.0</v>
      </c>
      <c r="C21" s="54">
        <f t="shared" si="4"/>
        <v>0</v>
      </c>
      <c r="D21" s="64" t="s">
        <v>60</v>
      </c>
      <c r="E21" s="60"/>
      <c r="F21" s="15"/>
      <c r="G21" s="15"/>
      <c r="H21" s="15"/>
    </row>
    <row r="22">
      <c r="B22" s="113">
        <f>+'Planilha de Rentabilidade'!AF94+'Planilha de Rentabilidade'!U94</f>
        <v>915123.6</v>
      </c>
      <c r="C22" s="54">
        <f t="shared" si="4"/>
        <v>0.4797864437</v>
      </c>
      <c r="D22" s="64" t="s">
        <v>61</v>
      </c>
      <c r="E22" s="60"/>
      <c r="F22" s="15"/>
      <c r="G22" s="15"/>
      <c r="H22" s="15"/>
    </row>
    <row r="23">
      <c r="B23" s="113">
        <f>+'Planilha de Rentabilidade'!V94+'Planilha de Rentabilidade'!AD94</f>
        <v>198273</v>
      </c>
      <c r="C23" s="54">
        <f t="shared" si="4"/>
        <v>0.1039517477</v>
      </c>
      <c r="D23" s="66" t="s">
        <v>117</v>
      </c>
      <c r="E23" s="60"/>
      <c r="F23" s="15"/>
      <c r="G23" s="15"/>
      <c r="H23" s="15"/>
    </row>
    <row r="24">
      <c r="B24" s="113">
        <f>+'Planilha de Rentabilidade'!AE94</f>
        <v>0</v>
      </c>
      <c r="C24" s="54">
        <f t="shared" si="4"/>
        <v>0</v>
      </c>
      <c r="D24" s="64" t="s">
        <v>63</v>
      </c>
      <c r="E24" s="65"/>
      <c r="F24" s="15"/>
      <c r="G24" s="15"/>
      <c r="H24" s="15"/>
    </row>
    <row r="25">
      <c r="B25" s="113">
        <v>0.0</v>
      </c>
      <c r="C25" s="54">
        <f t="shared" si="4"/>
        <v>0</v>
      </c>
      <c r="D25" s="66" t="s">
        <v>118</v>
      </c>
      <c r="E25" s="60"/>
      <c r="F25" s="15"/>
      <c r="G25" s="15"/>
      <c r="H25" s="15"/>
    </row>
    <row r="26">
      <c r="B26" s="113">
        <f>0</f>
        <v>0</v>
      </c>
      <c r="C26" s="54">
        <f t="shared" si="4"/>
        <v>0</v>
      </c>
      <c r="D26" s="64" t="s">
        <v>65</v>
      </c>
      <c r="E26" s="60"/>
      <c r="F26" s="15"/>
      <c r="G26" s="15"/>
      <c r="H26" s="15"/>
    </row>
    <row r="27">
      <c r="B27" s="113">
        <f>+'Planilha de Rentabilidade'!AA94</f>
        <v>50082</v>
      </c>
      <c r="C27" s="54">
        <f t="shared" si="4"/>
        <v>0.02625728882</v>
      </c>
      <c r="D27" s="66" t="s">
        <v>80</v>
      </c>
      <c r="E27" s="60"/>
      <c r="F27" s="15"/>
      <c r="G27" s="15"/>
      <c r="H27" s="15"/>
    </row>
    <row r="28">
      <c r="B28" s="113">
        <f>+'Planilha de Rentabilidade'!R94</f>
        <v>259435.5</v>
      </c>
      <c r="C28" s="54">
        <f t="shared" si="4"/>
        <v>0.1360183869</v>
      </c>
      <c r="D28" s="66" t="s">
        <v>119</v>
      </c>
      <c r="E28" s="60"/>
      <c r="F28" s="15"/>
      <c r="G28" s="15"/>
      <c r="H28" s="15"/>
    </row>
    <row r="29">
      <c r="B29" s="113">
        <f>+'Planilha de Rentabilidade'!X94+'Planilha de Rentabilidade'!Y946+'Planilha de Rentabilidade'!AC94</f>
        <v>208740</v>
      </c>
      <c r="C29" s="54">
        <f t="shared" si="4"/>
        <v>0.1094394487</v>
      </c>
      <c r="D29" s="66" t="s">
        <v>122</v>
      </c>
      <c r="E29" s="60"/>
      <c r="F29" s="15"/>
      <c r="G29" s="15"/>
      <c r="H29" s="15"/>
    </row>
    <row r="30">
      <c r="B30" s="113">
        <f>'Planilha de Rentabilidade'!T94+'Planilha de Rentabilidade'!AG94</f>
        <v>0</v>
      </c>
      <c r="C30" s="54">
        <f t="shared" si="4"/>
        <v>0</v>
      </c>
      <c r="D30" s="64" t="s">
        <v>69</v>
      </c>
      <c r="E30" s="60"/>
      <c r="F30" s="15"/>
      <c r="G30" s="15"/>
      <c r="H30" s="15"/>
    </row>
    <row r="31">
      <c r="B31" s="113">
        <f>'Planilha de Rentabilidade'!N94+'Planilha de Rentabilidade'!AH94</f>
        <v>0</v>
      </c>
      <c r="C31" s="54">
        <f t="shared" si="4"/>
        <v>0</v>
      </c>
      <c r="D31" s="64" t="s">
        <v>70</v>
      </c>
      <c r="E31" s="60"/>
      <c r="F31" s="15"/>
      <c r="G31" s="15"/>
      <c r="H31" s="15"/>
    </row>
    <row r="32">
      <c r="B32" s="113">
        <f>+'Planilha de Rentabilidade'!AB94</f>
        <v>203742</v>
      </c>
      <c r="C32" s="54">
        <f t="shared" si="4"/>
        <v>0.1068190675</v>
      </c>
      <c r="D32" s="66" t="s">
        <v>107</v>
      </c>
      <c r="E32" s="60"/>
      <c r="F32" s="15"/>
      <c r="G32" s="15"/>
      <c r="H32" s="15"/>
    </row>
    <row r="33">
      <c r="B33" s="67">
        <f>SUM(B20:B32)</f>
        <v>1907356.1</v>
      </c>
      <c r="C33" s="68">
        <f t="shared" si="4"/>
        <v>1</v>
      </c>
      <c r="D33" s="69"/>
      <c r="E33" s="70"/>
      <c r="F33" s="15"/>
      <c r="G33" s="15"/>
      <c r="H33" s="15"/>
    </row>
  </sheetData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2017-08-15T13:40:54Z</dcterms:created>
  <dc:creator>Usuário do Microsoft Office</dc:creator>
</cp:coreProperties>
</file>